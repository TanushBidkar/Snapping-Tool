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mc:AlternateContent xmlns:mc="http://schemas.openxmlformats.org/markup-compatibility/2006">
    <mc:Choice Requires="x15">
      <x15ac:absPath xmlns:x15ac="http://schemas.microsoft.com/office/spreadsheetml/2010/11/ac" url="C:\Users\Tanush.Bidkar\Downloads\"/>
    </mc:Choice>
  </mc:AlternateContent>
  <xr:revisionPtr revIDLastSave="0" documentId="13_ncr:1_{87245E3F-9B4A-4A0A-BE94-902DCE940504}" xr6:coauthVersionLast="47" xr6:coauthVersionMax="47" xr10:uidLastSave="{00000000-0000-0000-0000-000000000000}"/>
  <bookViews>
    <workbookView xWindow="-108" yWindow="-108" windowWidth="23256" windowHeight="13896" tabRatio="926" activeTab="2" xr2:uid="{00000000-000D-0000-FFFF-FFFF00000000}"/>
  </bookViews>
  <sheets>
    <sheet name="CWI Summary" sheetId="27" r:id="rId1"/>
    <sheet name="Extracted Data" sheetId="35" r:id="rId2"/>
    <sheet name="Summary Sheet" sheetId="36" r:id="rId3"/>
    <sheet name="BOQ" sheetId="18" r:id="rId4"/>
    <sheet name="Measurement sheet" sheetId="26" r:id="rId5"/>
    <sheet name="Debit" sheetId="28" r:id="rId6"/>
    <sheet name="Documnets" sheetId="29" r:id="rId7"/>
    <sheet name="Make and Models" sheetId="19" r:id="rId8"/>
  </sheets>
  <externalReferences>
    <externalReference r:id="rId9"/>
  </externalReferences>
  <definedNames>
    <definedName name="_xlnm._FilterDatabase" localSheetId="3" hidden="1">BOQ!$A$2:$O$1163</definedName>
    <definedName name="_GoBack">#REF!</definedName>
    <definedName name="Excel_BuiltIn_Print_Titles_13">'[1]extra work elec bill '!#REF!</definedName>
    <definedName name="_xlnm.Print_Area" localSheetId="3">BOQ!$A$1:$O$1163</definedName>
    <definedName name="_xlnm.Print_Area" localSheetId="7">'Make and Models'!$A$1:$D$130</definedName>
    <definedName name="_xlnm.Print_Area" localSheetId="4">'Measurement sheet'!$A$1:$G$813</definedName>
    <definedName name="_xlnm.Print_Titles" localSheetId="4">'Measurement sheet'!$1:$2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3" i="26" l="1"/>
  <c r="F205" i="26"/>
  <c r="H13" i="28"/>
  <c r="I13" i="28" s="1"/>
  <c r="G13" i="28"/>
  <c r="I8" i="28"/>
  <c r="G8" i="28"/>
  <c r="I7" i="28"/>
  <c r="G7" i="28"/>
  <c r="I6" i="28"/>
  <c r="G6" i="28"/>
  <c r="I5" i="28"/>
  <c r="G5" i="28"/>
  <c r="H4" i="28"/>
  <c r="I4" i="28" s="1"/>
  <c r="G4" i="28"/>
  <c r="J188" i="18" l="1"/>
  <c r="H188" i="18"/>
  <c r="I188" i="18" s="1"/>
  <c r="G1162" i="18"/>
  <c r="J1162" i="18" s="1"/>
  <c r="F1162" i="18"/>
  <c r="G1161" i="18"/>
  <c r="J1161" i="18" s="1"/>
  <c r="F1161" i="18"/>
  <c r="G1158" i="18"/>
  <c r="J1158" i="18" s="1"/>
  <c r="F1158" i="18"/>
  <c r="F188" i="18"/>
  <c r="G274" i="18"/>
  <c r="J903" i="18"/>
  <c r="H903" i="18"/>
  <c r="I903" i="18" s="1"/>
  <c r="J904" i="18"/>
  <c r="H904" i="18"/>
  <c r="I904" i="18" s="1"/>
  <c r="J1129" i="18"/>
  <c r="H1129" i="18"/>
  <c r="I1129" i="18" s="1"/>
  <c r="J1127" i="18"/>
  <c r="H1127" i="18"/>
  <c r="I1127" i="18" s="1"/>
  <c r="J1126" i="18"/>
  <c r="H1126" i="18"/>
  <c r="I1126" i="18" s="1"/>
  <c r="J1125" i="18"/>
  <c r="H1125" i="18"/>
  <c r="I1125" i="18" s="1"/>
  <c r="J1117" i="18"/>
  <c r="H1117" i="18"/>
  <c r="I1117" i="18" s="1"/>
  <c r="I1119" i="18" s="1"/>
  <c r="J1112" i="18"/>
  <c r="H1112" i="18"/>
  <c r="I1112" i="18" s="1"/>
  <c r="J1111" i="18"/>
  <c r="H1111" i="18"/>
  <c r="I1111" i="18" s="1"/>
  <c r="J1108" i="18"/>
  <c r="H1108" i="18"/>
  <c r="I1108" i="18" s="1"/>
  <c r="J1107" i="18"/>
  <c r="H1107" i="18"/>
  <c r="I1107" i="18" s="1"/>
  <c r="J1106" i="18"/>
  <c r="H1106" i="18"/>
  <c r="I1106" i="18" s="1"/>
  <c r="J1097" i="18"/>
  <c r="H1097" i="18"/>
  <c r="I1097" i="18" s="1"/>
  <c r="J1091" i="18"/>
  <c r="H1091" i="18"/>
  <c r="I1091" i="18" s="1"/>
  <c r="J1088" i="18"/>
  <c r="H1088" i="18"/>
  <c r="I1088" i="18" s="1"/>
  <c r="J1087" i="18"/>
  <c r="H1087" i="18"/>
  <c r="I1087" i="18" s="1"/>
  <c r="J1086" i="18"/>
  <c r="H1086" i="18"/>
  <c r="I1086" i="18" s="1"/>
  <c r="J1085" i="18"/>
  <c r="H1085" i="18"/>
  <c r="I1085" i="18" s="1"/>
  <c r="J1084" i="18"/>
  <c r="H1084" i="18"/>
  <c r="I1084" i="18" s="1"/>
  <c r="J1073" i="18"/>
  <c r="H1073" i="18"/>
  <c r="I1073" i="18" s="1"/>
  <c r="J1069" i="18"/>
  <c r="H1069" i="18"/>
  <c r="I1069" i="18" s="1"/>
  <c r="J1068" i="18"/>
  <c r="H1068" i="18"/>
  <c r="I1068" i="18" s="1"/>
  <c r="J1067" i="18"/>
  <c r="H1067" i="18"/>
  <c r="I1067" i="18" s="1"/>
  <c r="J1063" i="18"/>
  <c r="H1063" i="18"/>
  <c r="I1063" i="18" s="1"/>
  <c r="J1062" i="18"/>
  <c r="H1062" i="18"/>
  <c r="I1062" i="18" s="1"/>
  <c r="J1059" i="18"/>
  <c r="H1059" i="18"/>
  <c r="I1059" i="18" s="1"/>
  <c r="J1055" i="18"/>
  <c r="H1055" i="18"/>
  <c r="I1055" i="18" s="1"/>
  <c r="J1051" i="18"/>
  <c r="H1051" i="18"/>
  <c r="I1051" i="18" s="1"/>
  <c r="J1047" i="18"/>
  <c r="H1047" i="18"/>
  <c r="I1047" i="18" s="1"/>
  <c r="J1046" i="18"/>
  <c r="H1046" i="18"/>
  <c r="I1046" i="18" s="1"/>
  <c r="J1045" i="18"/>
  <c r="H1045" i="18"/>
  <c r="I1045" i="18" s="1"/>
  <c r="J1041" i="18"/>
  <c r="H1041" i="18"/>
  <c r="I1041" i="18" s="1"/>
  <c r="J1040" i="18"/>
  <c r="H1040" i="18"/>
  <c r="I1040" i="18" s="1"/>
  <c r="J1035" i="18"/>
  <c r="H1035" i="18"/>
  <c r="I1035" i="18" s="1"/>
  <c r="J1034" i="18"/>
  <c r="H1034" i="18"/>
  <c r="I1034" i="18" s="1"/>
  <c r="J1017" i="18"/>
  <c r="H1017" i="18"/>
  <c r="I1017" i="18" s="1"/>
  <c r="J1016" i="18"/>
  <c r="H1016" i="18"/>
  <c r="I1016" i="18" s="1"/>
  <c r="J1015" i="18"/>
  <c r="H1015" i="18"/>
  <c r="I1015" i="18" s="1"/>
  <c r="J1014" i="18"/>
  <c r="H1014" i="18"/>
  <c r="I1014" i="18" s="1"/>
  <c r="J1013" i="18"/>
  <c r="H1013" i="18"/>
  <c r="I1013" i="18" s="1"/>
  <c r="J1012" i="18"/>
  <c r="H1012" i="18"/>
  <c r="I1012" i="18" s="1"/>
  <c r="J1010" i="18"/>
  <c r="H1010" i="18"/>
  <c r="I1010" i="18" s="1"/>
  <c r="J994" i="18"/>
  <c r="H994" i="18"/>
  <c r="I994" i="18" s="1"/>
  <c r="J986" i="18"/>
  <c r="H986" i="18"/>
  <c r="I986" i="18" s="1"/>
  <c r="J984" i="18"/>
  <c r="H984" i="18"/>
  <c r="I984" i="18" s="1"/>
  <c r="J976" i="18"/>
  <c r="H976" i="18"/>
  <c r="I976" i="18" s="1"/>
  <c r="J966" i="18"/>
  <c r="H966" i="18"/>
  <c r="I966" i="18" s="1"/>
  <c r="J954" i="18"/>
  <c r="H954" i="18"/>
  <c r="I954" i="18" s="1"/>
  <c r="J952" i="18"/>
  <c r="H952" i="18"/>
  <c r="I952" i="18" s="1"/>
  <c r="J950" i="18"/>
  <c r="H950" i="18"/>
  <c r="I950" i="18" s="1"/>
  <c r="J948" i="18"/>
  <c r="H948" i="18"/>
  <c r="I948" i="18" s="1"/>
  <c r="J946" i="18"/>
  <c r="H946" i="18"/>
  <c r="I946" i="18" s="1"/>
  <c r="J937" i="18"/>
  <c r="H937" i="18"/>
  <c r="I937" i="18" s="1"/>
  <c r="J935" i="18"/>
  <c r="H935" i="18"/>
  <c r="I935" i="18" s="1"/>
  <c r="J933" i="18"/>
  <c r="H933" i="18"/>
  <c r="I933" i="18" s="1"/>
  <c r="J931" i="18"/>
  <c r="H931" i="18"/>
  <c r="I931" i="18" s="1"/>
  <c r="J929" i="18"/>
  <c r="H929" i="18"/>
  <c r="I929" i="18" s="1"/>
  <c r="J923" i="18"/>
  <c r="H923" i="18"/>
  <c r="I923" i="18" s="1"/>
  <c r="J915" i="18"/>
  <c r="H915" i="18"/>
  <c r="I915" i="18" s="1"/>
  <c r="J911" i="18"/>
  <c r="H911" i="18"/>
  <c r="I911" i="18" s="1"/>
  <c r="J902" i="18"/>
  <c r="H902" i="18"/>
  <c r="I902" i="18" s="1"/>
  <c r="J900" i="18"/>
  <c r="H900" i="18"/>
  <c r="I900" i="18" s="1"/>
  <c r="J899" i="18"/>
  <c r="H899" i="18"/>
  <c r="I899" i="18" s="1"/>
  <c r="J888" i="18"/>
  <c r="H888" i="18"/>
  <c r="I888" i="18" s="1"/>
  <c r="J886" i="18"/>
  <c r="H886" i="18"/>
  <c r="I886" i="18" s="1"/>
  <c r="J884" i="18"/>
  <c r="H884" i="18"/>
  <c r="I884" i="18" s="1"/>
  <c r="J880" i="18"/>
  <c r="H880" i="18"/>
  <c r="I880" i="18" s="1"/>
  <c r="J878" i="18"/>
  <c r="H878" i="18"/>
  <c r="I878" i="18" s="1"/>
  <c r="J876" i="18"/>
  <c r="H876" i="18"/>
  <c r="I876" i="18" s="1"/>
  <c r="J874" i="18"/>
  <c r="H874" i="18"/>
  <c r="I874" i="18" s="1"/>
  <c r="J872" i="18"/>
  <c r="H872" i="18"/>
  <c r="I872" i="18" s="1"/>
  <c r="J870" i="18"/>
  <c r="H870" i="18"/>
  <c r="I870" i="18" s="1"/>
  <c r="J868" i="18"/>
  <c r="H868" i="18"/>
  <c r="I868" i="18" s="1"/>
  <c r="J864" i="18"/>
  <c r="H864" i="18"/>
  <c r="I864" i="18" s="1"/>
  <c r="J862" i="18"/>
  <c r="H862" i="18"/>
  <c r="I862" i="18" s="1"/>
  <c r="J852" i="18"/>
  <c r="H852" i="18"/>
  <c r="I852" i="18" s="1"/>
  <c r="J850" i="18"/>
  <c r="H850" i="18"/>
  <c r="I850" i="18" s="1"/>
  <c r="J846" i="18"/>
  <c r="H846" i="18"/>
  <c r="I846" i="18" s="1"/>
  <c r="J844" i="18"/>
  <c r="H844" i="18"/>
  <c r="I844" i="18" s="1"/>
  <c r="J842" i="18"/>
  <c r="H842" i="18"/>
  <c r="I842" i="18" s="1"/>
  <c r="J840" i="18"/>
  <c r="H840" i="18"/>
  <c r="I840" i="18" s="1"/>
  <c r="J838" i="18"/>
  <c r="H838" i="18"/>
  <c r="I838" i="18" s="1"/>
  <c r="J836" i="18"/>
  <c r="H836" i="18"/>
  <c r="I836" i="18" s="1"/>
  <c r="J834" i="18"/>
  <c r="H834" i="18"/>
  <c r="I834" i="18" s="1"/>
  <c r="J830" i="18"/>
  <c r="H830" i="18"/>
  <c r="I830" i="18" s="1"/>
  <c r="J828" i="18"/>
  <c r="H828" i="18"/>
  <c r="I828" i="18" s="1"/>
  <c r="J812" i="18"/>
  <c r="H812" i="18"/>
  <c r="I812" i="18" s="1"/>
  <c r="J800" i="18"/>
  <c r="H800" i="18"/>
  <c r="I800" i="18" s="1"/>
  <c r="J794" i="18"/>
  <c r="H794" i="18"/>
  <c r="I794" i="18" s="1"/>
  <c r="J789" i="18"/>
  <c r="H789" i="18"/>
  <c r="I789" i="18" s="1"/>
  <c r="J765" i="18"/>
  <c r="H765" i="18"/>
  <c r="I765" i="18" s="1"/>
  <c r="J755" i="18"/>
  <c r="H755" i="18"/>
  <c r="I755" i="18" s="1"/>
  <c r="J744" i="18"/>
  <c r="H744" i="18"/>
  <c r="I744" i="18" s="1"/>
  <c r="J734" i="18"/>
  <c r="H734" i="18"/>
  <c r="I734" i="18" s="1"/>
  <c r="J721" i="18"/>
  <c r="H721" i="18"/>
  <c r="I721" i="18" s="1"/>
  <c r="J711" i="18"/>
  <c r="H711" i="18"/>
  <c r="I711" i="18" s="1"/>
  <c r="J700" i="18"/>
  <c r="H700" i="18"/>
  <c r="I700" i="18" s="1"/>
  <c r="J690" i="18"/>
  <c r="H690" i="18"/>
  <c r="I690" i="18" s="1"/>
  <c r="J681" i="18"/>
  <c r="H681" i="18"/>
  <c r="I681" i="18" s="1"/>
  <c r="J675" i="18"/>
  <c r="H675" i="18"/>
  <c r="I675" i="18" s="1"/>
  <c r="J671" i="18"/>
  <c r="H671" i="18"/>
  <c r="I671" i="18" s="1"/>
  <c r="J663" i="18"/>
  <c r="H663" i="18"/>
  <c r="I663" i="18" s="1"/>
  <c r="J636" i="18"/>
  <c r="H636" i="18"/>
  <c r="I636" i="18" s="1"/>
  <c r="J621" i="18"/>
  <c r="H621" i="18"/>
  <c r="I621" i="18" s="1"/>
  <c r="J606" i="18"/>
  <c r="H606" i="18"/>
  <c r="I606" i="18" s="1"/>
  <c r="J600" i="18"/>
  <c r="H600" i="18"/>
  <c r="I600" i="18" s="1"/>
  <c r="J598" i="18"/>
  <c r="H598" i="18"/>
  <c r="I598" i="18" s="1"/>
  <c r="J596" i="18"/>
  <c r="H596" i="18"/>
  <c r="I596" i="18" s="1"/>
  <c r="J594" i="18"/>
  <c r="H594" i="18"/>
  <c r="I594" i="18" s="1"/>
  <c r="J592" i="18"/>
  <c r="H592" i="18"/>
  <c r="I592" i="18" s="1"/>
  <c r="J590" i="18"/>
  <c r="H590" i="18"/>
  <c r="I590" i="18" s="1"/>
  <c r="J588" i="18"/>
  <c r="H588" i="18"/>
  <c r="I588" i="18" s="1"/>
  <c r="J565" i="18"/>
  <c r="H565" i="18"/>
  <c r="I565" i="18" s="1"/>
  <c r="J563" i="18"/>
  <c r="H563" i="18"/>
  <c r="I563" i="18" s="1"/>
  <c r="J562" i="18"/>
  <c r="H562" i="18"/>
  <c r="I562" i="18" s="1"/>
  <c r="L562" i="18" s="1"/>
  <c r="J561" i="18"/>
  <c r="H561" i="18"/>
  <c r="I561" i="18" s="1"/>
  <c r="J558" i="18"/>
  <c r="H558" i="18"/>
  <c r="I558" i="18" s="1"/>
  <c r="J557" i="18"/>
  <c r="H557" i="18"/>
  <c r="I557" i="18" s="1"/>
  <c r="L557" i="18" s="1"/>
  <c r="J556" i="18"/>
  <c r="H556" i="18"/>
  <c r="I556" i="18" s="1"/>
  <c r="J529" i="18"/>
  <c r="H529" i="18"/>
  <c r="I529" i="18" s="1"/>
  <c r="J515" i="18"/>
  <c r="H515" i="18"/>
  <c r="I515" i="18" s="1"/>
  <c r="J507" i="18"/>
  <c r="H507" i="18"/>
  <c r="I507" i="18" s="1"/>
  <c r="J504" i="18"/>
  <c r="H504" i="18"/>
  <c r="I504" i="18" s="1"/>
  <c r="J501" i="18"/>
  <c r="H501" i="18"/>
  <c r="I501" i="18" s="1"/>
  <c r="J498" i="18"/>
  <c r="H498" i="18"/>
  <c r="I498" i="18" s="1"/>
  <c r="J496" i="18"/>
  <c r="H496" i="18"/>
  <c r="I496" i="18" s="1"/>
  <c r="J494" i="18"/>
  <c r="H494" i="18"/>
  <c r="I494" i="18" s="1"/>
  <c r="J492" i="18"/>
  <c r="H492" i="18"/>
  <c r="I492" i="18" s="1"/>
  <c r="J488" i="18"/>
  <c r="H488" i="18"/>
  <c r="I488" i="18" s="1"/>
  <c r="J486" i="18"/>
  <c r="H486" i="18"/>
  <c r="I486" i="18" s="1"/>
  <c r="J479" i="18"/>
  <c r="H479" i="18"/>
  <c r="I479" i="18" s="1"/>
  <c r="J476" i="18"/>
  <c r="H476" i="18"/>
  <c r="I476" i="18" s="1"/>
  <c r="J473" i="18"/>
  <c r="H473" i="18"/>
  <c r="I473" i="18" s="1"/>
  <c r="J454" i="18"/>
  <c r="H454" i="18"/>
  <c r="I454" i="18" s="1"/>
  <c r="J453" i="18"/>
  <c r="H453" i="18"/>
  <c r="I453" i="18" s="1"/>
  <c r="J449" i="18"/>
  <c r="H449" i="18"/>
  <c r="I449" i="18" s="1"/>
  <c r="J448" i="18"/>
  <c r="H448" i="18"/>
  <c r="I448" i="18" s="1"/>
  <c r="J443" i="18"/>
  <c r="H443" i="18"/>
  <c r="I443" i="18" s="1"/>
  <c r="J442" i="18"/>
  <c r="H442" i="18"/>
  <c r="I442" i="18" s="1"/>
  <c r="J440" i="18"/>
  <c r="H440" i="18"/>
  <c r="I440" i="18" s="1"/>
  <c r="J439" i="18"/>
  <c r="H439" i="18"/>
  <c r="I439" i="18" s="1"/>
  <c r="J434" i="18"/>
  <c r="H434" i="18"/>
  <c r="I434" i="18" s="1"/>
  <c r="J433" i="18"/>
  <c r="H433" i="18"/>
  <c r="I433" i="18" s="1"/>
  <c r="J426" i="18"/>
  <c r="H426" i="18"/>
  <c r="I426" i="18" s="1"/>
  <c r="J425" i="18"/>
  <c r="H425" i="18"/>
  <c r="I425" i="18" s="1"/>
  <c r="J422" i="18"/>
  <c r="H422" i="18"/>
  <c r="I422" i="18" s="1"/>
  <c r="J421" i="18"/>
  <c r="H421" i="18"/>
  <c r="I421" i="18" s="1"/>
  <c r="J418" i="18"/>
  <c r="H418" i="18"/>
  <c r="I418" i="18" s="1"/>
  <c r="J412" i="18"/>
  <c r="H412" i="18"/>
  <c r="I412" i="18" s="1"/>
  <c r="J411" i="18"/>
  <c r="H411" i="18"/>
  <c r="I411" i="18" s="1"/>
  <c r="J405" i="18"/>
  <c r="H405" i="18"/>
  <c r="I405" i="18" s="1"/>
  <c r="J402" i="18"/>
  <c r="H402" i="18"/>
  <c r="I402" i="18" s="1"/>
  <c r="J399" i="18"/>
  <c r="H399" i="18"/>
  <c r="I399" i="18" s="1"/>
  <c r="J395" i="18"/>
  <c r="H395" i="18"/>
  <c r="I395" i="18" s="1"/>
  <c r="J393" i="18"/>
  <c r="H393" i="18"/>
  <c r="I393" i="18" s="1"/>
  <c r="J389" i="18"/>
  <c r="H389" i="18"/>
  <c r="I389" i="18" s="1"/>
  <c r="J385" i="18"/>
  <c r="H385" i="18"/>
  <c r="I385" i="18" s="1"/>
  <c r="J384" i="18"/>
  <c r="H384" i="18"/>
  <c r="I384" i="18" s="1"/>
  <c r="J376" i="18"/>
  <c r="H376" i="18"/>
  <c r="I376" i="18" s="1"/>
  <c r="J375" i="18"/>
  <c r="H375" i="18"/>
  <c r="I375" i="18" s="1"/>
  <c r="J371" i="18"/>
  <c r="H371" i="18"/>
  <c r="I371" i="18" s="1"/>
  <c r="J370" i="18"/>
  <c r="H370" i="18"/>
  <c r="I370" i="18" s="1"/>
  <c r="J369" i="18"/>
  <c r="H369" i="18"/>
  <c r="I369" i="18" s="1"/>
  <c r="J368" i="18"/>
  <c r="H368" i="18"/>
  <c r="I368" i="18" s="1"/>
  <c r="J367" i="18"/>
  <c r="H367" i="18"/>
  <c r="I367" i="18" s="1"/>
  <c r="J364" i="18"/>
  <c r="H364" i="18"/>
  <c r="I364" i="18" s="1"/>
  <c r="J363" i="18"/>
  <c r="H363" i="18"/>
  <c r="I363" i="18" s="1"/>
  <c r="J359" i="18"/>
  <c r="H359" i="18"/>
  <c r="I359" i="18" s="1"/>
  <c r="J350" i="18"/>
  <c r="H350" i="18"/>
  <c r="I350" i="18" s="1"/>
  <c r="J346" i="18"/>
  <c r="H346" i="18"/>
  <c r="I346" i="18" s="1"/>
  <c r="J340" i="18"/>
  <c r="H340" i="18"/>
  <c r="I340" i="18" s="1"/>
  <c r="J339" i="18"/>
  <c r="H339" i="18"/>
  <c r="I339" i="18" s="1"/>
  <c r="J337" i="18"/>
  <c r="H337" i="18"/>
  <c r="I337" i="18" s="1"/>
  <c r="J329" i="18"/>
  <c r="H329" i="18"/>
  <c r="I329" i="18" s="1"/>
  <c r="J323" i="18"/>
  <c r="H323" i="18"/>
  <c r="I323" i="18" s="1"/>
  <c r="J322" i="18"/>
  <c r="H322" i="18"/>
  <c r="I322" i="18" s="1"/>
  <c r="J320" i="18"/>
  <c r="H320" i="18"/>
  <c r="I320" i="18" s="1"/>
  <c r="J319" i="18"/>
  <c r="H319" i="18"/>
  <c r="I319" i="18" s="1"/>
  <c r="J316" i="18"/>
  <c r="H316" i="18"/>
  <c r="I316" i="18" s="1"/>
  <c r="J313" i="18"/>
  <c r="H313" i="18"/>
  <c r="I313" i="18" s="1"/>
  <c r="J310" i="18"/>
  <c r="H310" i="18"/>
  <c r="I310" i="18" s="1"/>
  <c r="J309" i="18"/>
  <c r="H309" i="18"/>
  <c r="I309" i="18" s="1"/>
  <c r="J306" i="18"/>
  <c r="H306" i="18"/>
  <c r="I306" i="18" s="1"/>
  <c r="J305" i="18"/>
  <c r="H305" i="18"/>
  <c r="I305" i="18" s="1"/>
  <c r="J304" i="18"/>
  <c r="H304" i="18"/>
  <c r="I304" i="18" s="1"/>
  <c r="J300" i="18"/>
  <c r="H300" i="18"/>
  <c r="I300" i="18" s="1"/>
  <c r="J299" i="18"/>
  <c r="H299" i="18"/>
  <c r="I299" i="18" s="1"/>
  <c r="J296" i="18"/>
  <c r="H296" i="18"/>
  <c r="I296" i="18" s="1"/>
  <c r="J295" i="18"/>
  <c r="H295" i="18"/>
  <c r="I295" i="18" s="1"/>
  <c r="J294" i="18"/>
  <c r="H294" i="18"/>
  <c r="I294" i="18" s="1"/>
  <c r="J291" i="18"/>
  <c r="H291" i="18"/>
  <c r="I291" i="18" s="1"/>
  <c r="J284" i="18"/>
  <c r="H284" i="18"/>
  <c r="I284" i="18" s="1"/>
  <c r="J283" i="18"/>
  <c r="H283" i="18"/>
  <c r="I283" i="18" s="1"/>
  <c r="J282" i="18"/>
  <c r="H282" i="18"/>
  <c r="I282" i="18" s="1"/>
  <c r="J281" i="18"/>
  <c r="H281" i="18"/>
  <c r="I281" i="18" s="1"/>
  <c r="J280" i="18"/>
  <c r="H280" i="18"/>
  <c r="I280" i="18" s="1"/>
  <c r="J275" i="18"/>
  <c r="H275" i="18"/>
  <c r="I275" i="18" s="1"/>
  <c r="J273" i="18"/>
  <c r="H273" i="18"/>
  <c r="I273" i="18" s="1"/>
  <c r="J271" i="18"/>
  <c r="H271" i="18"/>
  <c r="I271" i="18" s="1"/>
  <c r="J270" i="18"/>
  <c r="H270" i="18"/>
  <c r="I270" i="18" s="1"/>
  <c r="J269" i="18"/>
  <c r="H269" i="18"/>
  <c r="I269" i="18" s="1"/>
  <c r="J268" i="18"/>
  <c r="H268" i="18"/>
  <c r="I268" i="18" s="1"/>
  <c r="J264" i="18"/>
  <c r="H264" i="18"/>
  <c r="I264" i="18" s="1"/>
  <c r="J260" i="18"/>
  <c r="H260" i="18"/>
  <c r="I260" i="18" s="1"/>
  <c r="J258" i="18"/>
  <c r="H258" i="18"/>
  <c r="I258" i="18" s="1"/>
  <c r="J254" i="18"/>
  <c r="H254" i="18"/>
  <c r="I254" i="18" s="1"/>
  <c r="J253" i="18"/>
  <c r="H253" i="18"/>
  <c r="I253" i="18" s="1"/>
  <c r="J252" i="18"/>
  <c r="H252" i="18"/>
  <c r="I252" i="18" s="1"/>
  <c r="J248" i="18"/>
  <c r="H248" i="18"/>
  <c r="I248" i="18" s="1"/>
  <c r="J247" i="18"/>
  <c r="H247" i="18"/>
  <c r="I247" i="18" s="1"/>
  <c r="J246" i="18"/>
  <c r="H246" i="18"/>
  <c r="I246" i="18" s="1"/>
  <c r="J245" i="18"/>
  <c r="H245" i="18"/>
  <c r="I245" i="18" s="1"/>
  <c r="J244" i="18"/>
  <c r="H244" i="18"/>
  <c r="I244" i="18" s="1"/>
  <c r="J242" i="18"/>
  <c r="H242" i="18"/>
  <c r="I242" i="18" s="1"/>
  <c r="J238" i="18"/>
  <c r="H238" i="18"/>
  <c r="I238" i="18" s="1"/>
  <c r="J235" i="18"/>
  <c r="H235" i="18"/>
  <c r="I235" i="18" s="1"/>
  <c r="J234" i="18"/>
  <c r="H234" i="18"/>
  <c r="I234" i="18" s="1"/>
  <c r="J231" i="18"/>
  <c r="H231" i="18"/>
  <c r="I231" i="18" s="1"/>
  <c r="J227" i="18"/>
  <c r="H227" i="18"/>
  <c r="I227" i="18" s="1"/>
  <c r="J226" i="18"/>
  <c r="H226" i="18"/>
  <c r="I226" i="18" s="1"/>
  <c r="J225" i="18"/>
  <c r="H225" i="18"/>
  <c r="I225" i="18" s="1"/>
  <c r="J224" i="18"/>
  <c r="H224" i="18"/>
  <c r="I224" i="18" s="1"/>
  <c r="J215" i="18"/>
  <c r="H215" i="18"/>
  <c r="I215" i="18" s="1"/>
  <c r="J214" i="18"/>
  <c r="H214" i="18"/>
  <c r="I214" i="18" s="1"/>
  <c r="J213" i="18"/>
  <c r="H213" i="18"/>
  <c r="I213" i="18" s="1"/>
  <c r="J193" i="18"/>
  <c r="H193" i="18"/>
  <c r="I193" i="18" s="1"/>
  <c r="J184" i="18"/>
  <c r="H184" i="18"/>
  <c r="I184" i="18" s="1"/>
  <c r="J175" i="18"/>
  <c r="H175" i="18"/>
  <c r="I175" i="18" s="1"/>
  <c r="J174" i="18"/>
  <c r="H174" i="18"/>
  <c r="I174" i="18" s="1"/>
  <c r="J173" i="18"/>
  <c r="H173" i="18"/>
  <c r="I173" i="18" s="1"/>
  <c r="J172" i="18"/>
  <c r="H172" i="18"/>
  <c r="I172" i="18" s="1"/>
  <c r="J170" i="18"/>
  <c r="H170" i="18"/>
  <c r="I170" i="18" s="1"/>
  <c r="J168" i="18"/>
  <c r="H168" i="18"/>
  <c r="I168" i="18" s="1"/>
  <c r="J166" i="18"/>
  <c r="H166" i="18"/>
  <c r="I166" i="18" s="1"/>
  <c r="J164" i="18"/>
  <c r="H164" i="18"/>
  <c r="I164" i="18" s="1"/>
  <c r="J162" i="18"/>
  <c r="H162" i="18"/>
  <c r="I162" i="18" s="1"/>
  <c r="J161" i="18"/>
  <c r="H161" i="18"/>
  <c r="I161" i="18" s="1"/>
  <c r="J149" i="18"/>
  <c r="H149" i="18"/>
  <c r="I149" i="18" s="1"/>
  <c r="J140" i="18"/>
  <c r="H140" i="18"/>
  <c r="I140" i="18" s="1"/>
  <c r="J139" i="18"/>
  <c r="H139" i="18"/>
  <c r="I139" i="18" s="1"/>
  <c r="J136" i="18"/>
  <c r="H136" i="18"/>
  <c r="I136" i="18" s="1"/>
  <c r="J135" i="18"/>
  <c r="H135" i="18"/>
  <c r="I135" i="18" s="1"/>
  <c r="J123" i="18"/>
  <c r="H123" i="18"/>
  <c r="I123" i="18" s="1"/>
  <c r="J122" i="18"/>
  <c r="H122" i="18"/>
  <c r="I122" i="18" s="1"/>
  <c r="J119" i="18"/>
  <c r="H119" i="18"/>
  <c r="I119" i="18" s="1"/>
  <c r="J118" i="18"/>
  <c r="H118" i="18"/>
  <c r="I118" i="18" s="1"/>
  <c r="J115" i="18"/>
  <c r="H115" i="18"/>
  <c r="I115" i="18" s="1"/>
  <c r="J112" i="18"/>
  <c r="H112" i="18"/>
  <c r="I112" i="18" s="1"/>
  <c r="J109" i="18"/>
  <c r="H109" i="18"/>
  <c r="I109" i="18" s="1"/>
  <c r="J108" i="18"/>
  <c r="H108" i="18"/>
  <c r="I108" i="18" s="1"/>
  <c r="J107" i="18"/>
  <c r="H107" i="18"/>
  <c r="I107" i="18" s="1"/>
  <c r="J106" i="18"/>
  <c r="H106" i="18"/>
  <c r="I106" i="18" s="1"/>
  <c r="J100" i="18"/>
  <c r="H100" i="18"/>
  <c r="I100" i="18" s="1"/>
  <c r="J99" i="18"/>
  <c r="H99" i="18"/>
  <c r="I99" i="18" s="1"/>
  <c r="J95" i="18"/>
  <c r="H95" i="18"/>
  <c r="I95" i="18" s="1"/>
  <c r="J94" i="18"/>
  <c r="H94" i="18"/>
  <c r="I94" i="18" s="1"/>
  <c r="J90" i="18"/>
  <c r="H90" i="18"/>
  <c r="I90" i="18" s="1"/>
  <c r="J87" i="18"/>
  <c r="H87" i="18"/>
  <c r="I87" i="18" s="1"/>
  <c r="J80" i="18"/>
  <c r="H80" i="18"/>
  <c r="I80" i="18" s="1"/>
  <c r="J77" i="18"/>
  <c r="H77" i="18"/>
  <c r="I77" i="18" s="1"/>
  <c r="J74" i="18"/>
  <c r="H74" i="18"/>
  <c r="I74" i="18" s="1"/>
  <c r="J73" i="18"/>
  <c r="H73" i="18"/>
  <c r="I73" i="18" s="1"/>
  <c r="J70" i="18"/>
  <c r="H70" i="18"/>
  <c r="I70" i="18" s="1"/>
  <c r="J69" i="18"/>
  <c r="H69" i="18"/>
  <c r="I69" i="18" s="1"/>
  <c r="J59" i="18"/>
  <c r="H59" i="18"/>
  <c r="I59" i="18" s="1"/>
  <c r="J58" i="18"/>
  <c r="H58" i="18"/>
  <c r="I58" i="18" s="1"/>
  <c r="J55" i="18"/>
  <c r="H55" i="18"/>
  <c r="I55" i="18" s="1"/>
  <c r="J54" i="18"/>
  <c r="H54" i="18"/>
  <c r="I54" i="18" s="1"/>
  <c r="J53" i="18"/>
  <c r="H53" i="18"/>
  <c r="I53" i="18" s="1"/>
  <c r="J52" i="18"/>
  <c r="H52" i="18"/>
  <c r="I52" i="18" s="1"/>
  <c r="J51" i="18"/>
  <c r="H51" i="18"/>
  <c r="I51" i="18" s="1"/>
  <c r="J50" i="18"/>
  <c r="H50" i="18"/>
  <c r="I50" i="18" s="1"/>
  <c r="J40" i="18"/>
  <c r="H40" i="18"/>
  <c r="I40" i="18" s="1"/>
  <c r="J36" i="18"/>
  <c r="H36" i="18"/>
  <c r="I36" i="18" s="1"/>
  <c r="J35" i="18"/>
  <c r="H35" i="18"/>
  <c r="I35" i="18" s="1"/>
  <c r="J34" i="18"/>
  <c r="H34" i="18"/>
  <c r="I34" i="18" s="1"/>
  <c r="J33" i="18"/>
  <c r="H33" i="18"/>
  <c r="I33" i="18" s="1"/>
  <c r="J32" i="18"/>
  <c r="H32" i="18"/>
  <c r="I32" i="18" s="1"/>
  <c r="J31" i="18"/>
  <c r="H31" i="18"/>
  <c r="I31" i="18" s="1"/>
  <c r="J30" i="18"/>
  <c r="H30" i="18"/>
  <c r="I30" i="18" s="1"/>
  <c r="J29" i="18"/>
  <c r="H29" i="18"/>
  <c r="I29" i="18" s="1"/>
  <c r="J28" i="18"/>
  <c r="H28" i="18"/>
  <c r="I28" i="18" s="1"/>
  <c r="J27" i="18"/>
  <c r="H27" i="18"/>
  <c r="I27" i="18" s="1"/>
  <c r="J26" i="18"/>
  <c r="H26" i="18"/>
  <c r="I26" i="18" s="1"/>
  <c r="J22" i="18"/>
  <c r="H22" i="18"/>
  <c r="I22" i="18" s="1"/>
  <c r="J21" i="18"/>
  <c r="H21" i="18"/>
  <c r="I21" i="18" s="1"/>
  <c r="J20" i="18"/>
  <c r="H20" i="18"/>
  <c r="I20" i="18" s="1"/>
  <c r="J16" i="18"/>
  <c r="H16" i="18"/>
  <c r="I16" i="18" s="1"/>
  <c r="J15" i="18"/>
  <c r="H15" i="18"/>
  <c r="I15" i="18" s="1"/>
  <c r="J14" i="18"/>
  <c r="H14" i="18"/>
  <c r="I14" i="18" s="1"/>
  <c r="J13" i="18"/>
  <c r="H13" i="18"/>
  <c r="I13" i="18" s="1"/>
  <c r="J12" i="18"/>
  <c r="H12" i="18"/>
  <c r="I12" i="18" s="1"/>
  <c r="J11" i="18"/>
  <c r="H11" i="18"/>
  <c r="I11" i="18" s="1"/>
  <c r="J6" i="18"/>
  <c r="H6" i="18"/>
  <c r="I6" i="18" s="1"/>
  <c r="H1162" i="18" l="1"/>
  <c r="I1162" i="18" s="1"/>
  <c r="L1162" i="18" s="1"/>
  <c r="M188" i="18"/>
  <c r="L188" i="18"/>
  <c r="K188" i="18"/>
  <c r="H1161" i="18"/>
  <c r="I1161" i="18" s="1"/>
  <c r="K1161" i="18" s="1"/>
  <c r="H1158" i="18"/>
  <c r="I1158" i="18" s="1"/>
  <c r="K1158" i="18" s="1"/>
  <c r="I956" i="18"/>
  <c r="I1140" i="18" s="1"/>
  <c r="J956" i="18"/>
  <c r="I776" i="18"/>
  <c r="I1135" i="18" s="1"/>
  <c r="I656" i="18"/>
  <c r="I1134" i="18" s="1"/>
  <c r="I509" i="18"/>
  <c r="D14" i="27" s="1"/>
  <c r="K562" i="18"/>
  <c r="M562" i="18"/>
  <c r="N562" i="18" s="1"/>
  <c r="M557" i="18"/>
  <c r="N557" i="18" s="1"/>
  <c r="M558" i="18"/>
  <c r="L558" i="18"/>
  <c r="K558" i="18"/>
  <c r="M563" i="18"/>
  <c r="L563" i="18"/>
  <c r="K563" i="18"/>
  <c r="M561" i="18"/>
  <c r="L561" i="18"/>
  <c r="K561" i="18"/>
  <c r="M556" i="18"/>
  <c r="L556" i="18"/>
  <c r="K556" i="18"/>
  <c r="K557" i="18"/>
  <c r="K1162" i="18" l="1"/>
  <c r="M1162" i="18"/>
  <c r="N1162" i="18" s="1"/>
  <c r="N188" i="18"/>
  <c r="L1158" i="18"/>
  <c r="L1161" i="18"/>
  <c r="M1161" i="18"/>
  <c r="M1158" i="18"/>
  <c r="I1146" i="18"/>
  <c r="N558" i="18"/>
  <c r="N561" i="18"/>
  <c r="N556" i="18"/>
  <c r="N563" i="18"/>
  <c r="N1161" i="18" l="1"/>
  <c r="N1158" i="18"/>
  <c r="F735" i="26"/>
  <c r="F734" i="26"/>
  <c r="F731" i="26"/>
  <c r="F725" i="26"/>
  <c r="F717" i="26"/>
  <c r="F707" i="26"/>
  <c r="F708" i="26"/>
  <c r="F709" i="26"/>
  <c r="F710" i="26"/>
  <c r="F706" i="26"/>
  <c r="F716" i="26"/>
  <c r="F718" i="26"/>
  <c r="F719" i="26"/>
  <c r="F720" i="26"/>
  <c r="F721" i="26"/>
  <c r="F722" i="26"/>
  <c r="F723" i="26"/>
  <c r="F724" i="26"/>
  <c r="F726" i="26"/>
  <c r="F727" i="26"/>
  <c r="F728" i="26"/>
  <c r="F729" i="26"/>
  <c r="F730" i="26"/>
  <c r="F732" i="26"/>
  <c r="F733" i="26"/>
  <c r="F736" i="26"/>
  <c r="F737" i="26"/>
  <c r="F738" i="26"/>
  <c r="F715" i="26"/>
  <c r="F696" i="26"/>
  <c r="F697" i="26"/>
  <c r="F698" i="26"/>
  <c r="F699" i="26"/>
  <c r="F700" i="26"/>
  <c r="F701" i="26"/>
  <c r="F695" i="26"/>
  <c r="E680" i="26"/>
  <c r="F680" i="26" s="1"/>
  <c r="F683" i="26"/>
  <c r="F682" i="26"/>
  <c r="F681" i="26"/>
  <c r="F677" i="26"/>
  <c r="F676" i="26" s="1"/>
  <c r="G856" i="18" s="1"/>
  <c r="F674" i="26"/>
  <c r="F673" i="26"/>
  <c r="F672" i="26"/>
  <c r="F671" i="26"/>
  <c r="F670" i="26"/>
  <c r="F667" i="26"/>
  <c r="F666" i="26" s="1"/>
  <c r="G832" i="18" s="1"/>
  <c r="G546" i="18"/>
  <c r="F279" i="26"/>
  <c r="F280" i="26" s="1"/>
  <c r="G178" i="18" s="1"/>
  <c r="F620" i="26"/>
  <c r="F593" i="26"/>
  <c r="F592" i="26"/>
  <c r="F591" i="26"/>
  <c r="F590" i="26"/>
  <c r="F589" i="26"/>
  <c r="F587" i="26"/>
  <c r="F586" i="26"/>
  <c r="F523" i="26"/>
  <c r="F522" i="26"/>
  <c r="F524" i="26"/>
  <c r="F512" i="26"/>
  <c r="F507" i="26"/>
  <c r="F508" i="26"/>
  <c r="F509" i="26"/>
  <c r="F510" i="26"/>
  <c r="F511" i="26"/>
  <c r="F474" i="26"/>
  <c r="F475" i="26"/>
  <c r="F446" i="26"/>
  <c r="G263" i="18" s="1"/>
  <c r="D414" i="26"/>
  <c r="F414" i="26" s="1"/>
  <c r="F408" i="26"/>
  <c r="F409" i="26"/>
  <c r="F410" i="26"/>
  <c r="F359" i="26"/>
  <c r="G210" i="18" s="1"/>
  <c r="F333" i="26"/>
  <c r="F328" i="26"/>
  <c r="F316" i="26"/>
  <c r="F305" i="26"/>
  <c r="F296" i="26"/>
  <c r="G192" i="18" s="1"/>
  <c r="F232" i="26"/>
  <c r="F233" i="26"/>
  <c r="F234" i="26"/>
  <c r="F235" i="26"/>
  <c r="F236" i="26"/>
  <c r="F237" i="26"/>
  <c r="F238" i="26"/>
  <c r="F116" i="26"/>
  <c r="F117" i="26"/>
  <c r="F118" i="26"/>
  <c r="F119" i="26"/>
  <c r="F120" i="26"/>
  <c r="F204" i="26"/>
  <c r="F182" i="26"/>
  <c r="F170" i="26"/>
  <c r="F169" i="26"/>
  <c r="D168" i="26"/>
  <c r="F168" i="26" s="1"/>
  <c r="F138" i="26"/>
  <c r="F93" i="26"/>
  <c r="F92" i="26"/>
  <c r="F807" i="26"/>
  <c r="G1156" i="18" s="1"/>
  <c r="F806" i="26"/>
  <c r="G1155" i="18" s="1"/>
  <c r="F805" i="26"/>
  <c r="G1154" i="18" s="1"/>
  <c r="F633" i="26"/>
  <c r="F634" i="26"/>
  <c r="F635" i="26"/>
  <c r="F636" i="26"/>
  <c r="F637" i="26"/>
  <c r="F638" i="26"/>
  <c r="F639" i="26"/>
  <c r="F640" i="26"/>
  <c r="F641" i="26"/>
  <c r="F642" i="26"/>
  <c r="F643" i="26"/>
  <c r="F644" i="26"/>
  <c r="F645" i="26"/>
  <c r="F616" i="26"/>
  <c r="F617" i="26"/>
  <c r="F618" i="26"/>
  <c r="F619" i="26"/>
  <c r="F621" i="26"/>
  <c r="F622" i="26"/>
  <c r="F623" i="26"/>
  <c r="F624" i="26"/>
  <c r="F625" i="26"/>
  <c r="F626" i="26"/>
  <c r="F627" i="26"/>
  <c r="F628" i="26"/>
  <c r="F629" i="26"/>
  <c r="F330" i="26"/>
  <c r="F331" i="26"/>
  <c r="F332" i="26"/>
  <c r="F334" i="26"/>
  <c r="F335" i="26"/>
  <c r="F336" i="26"/>
  <c r="D337" i="26"/>
  <c r="F337" i="26" s="1"/>
  <c r="F342" i="26"/>
  <c r="F343" i="26"/>
  <c r="F344" i="26"/>
  <c r="F345" i="26"/>
  <c r="F346" i="26"/>
  <c r="F347" i="26"/>
  <c r="F348" i="26"/>
  <c r="F349" i="26"/>
  <c r="F350" i="26"/>
  <c r="F351" i="26"/>
  <c r="F352" i="26"/>
  <c r="F353" i="26"/>
  <c r="F354" i="26"/>
  <c r="F355" i="26"/>
  <c r="F356" i="26"/>
  <c r="F341" i="26"/>
  <c r="F327" i="26"/>
  <c r="F313" i="26"/>
  <c r="F314" i="26"/>
  <c r="F315" i="26"/>
  <c r="F317" i="26"/>
  <c r="F318" i="26"/>
  <c r="F319" i="26"/>
  <c r="F320" i="26"/>
  <c r="F321" i="26"/>
  <c r="F322" i="26"/>
  <c r="F312" i="26"/>
  <c r="F599" i="26"/>
  <c r="F600" i="26"/>
  <c r="F576" i="26"/>
  <c r="G415" i="18" s="1"/>
  <c r="F567" i="26"/>
  <c r="F568" i="26"/>
  <c r="F556" i="26"/>
  <c r="F557" i="26"/>
  <c r="F558" i="26"/>
  <c r="F559" i="26"/>
  <c r="F560" i="26"/>
  <c r="F561" i="26"/>
  <c r="F562" i="26"/>
  <c r="F563" i="26"/>
  <c r="F546" i="26"/>
  <c r="F547" i="26"/>
  <c r="F548" i="26"/>
  <c r="F549" i="26"/>
  <c r="F550" i="26"/>
  <c r="F551" i="26"/>
  <c r="F552" i="26"/>
  <c r="F543" i="26"/>
  <c r="G386" i="18" s="1"/>
  <c r="F535" i="26"/>
  <c r="F536" i="26"/>
  <c r="F537" i="26"/>
  <c r="F527" i="26"/>
  <c r="F528" i="26"/>
  <c r="F529" i="26"/>
  <c r="F517" i="26"/>
  <c r="F519" i="26" s="1"/>
  <c r="G360" i="18" s="1"/>
  <c r="F501" i="26"/>
  <c r="F503" i="26" s="1"/>
  <c r="G351" i="18" s="1"/>
  <c r="F496" i="26"/>
  <c r="F497" i="26"/>
  <c r="F498" i="26"/>
  <c r="F491" i="26"/>
  <c r="F493" i="26" s="1"/>
  <c r="G343" i="18" s="1"/>
  <c r="F486" i="26"/>
  <c r="F488" i="26" s="1"/>
  <c r="G338" i="18" s="1"/>
  <c r="F480" i="26"/>
  <c r="F481" i="26"/>
  <c r="F482" i="26"/>
  <c r="F468" i="26"/>
  <c r="F470" i="26" s="1"/>
  <c r="G326" i="18" s="1"/>
  <c r="F465" i="26"/>
  <c r="G321" i="18" s="1"/>
  <c r="F459" i="26"/>
  <c r="G290" i="18" s="1"/>
  <c r="F441" i="26"/>
  <c r="G259" i="18" s="1"/>
  <c r="F422" i="26"/>
  <c r="F423" i="26"/>
  <c r="F424" i="26"/>
  <c r="F425" i="26"/>
  <c r="F426" i="26"/>
  <c r="F427" i="26"/>
  <c r="F428" i="26"/>
  <c r="F429" i="26"/>
  <c r="F430" i="26"/>
  <c r="F431" i="26"/>
  <c r="F432" i="26"/>
  <c r="F433" i="26"/>
  <c r="F434" i="26"/>
  <c r="F421" i="26"/>
  <c r="F435" i="26"/>
  <c r="F397" i="26"/>
  <c r="F398" i="26"/>
  <c r="F399" i="26"/>
  <c r="F400" i="26"/>
  <c r="F401" i="26"/>
  <c r="F402" i="26"/>
  <c r="F403" i="26"/>
  <c r="F404" i="26"/>
  <c r="F405" i="26"/>
  <c r="F406" i="26"/>
  <c r="F407" i="26"/>
  <c r="F411" i="26"/>
  <c r="F412" i="26"/>
  <c r="F413" i="26"/>
  <c r="F415" i="26"/>
  <c r="F416" i="26"/>
  <c r="F417" i="26"/>
  <c r="F418" i="26"/>
  <c r="F396" i="26"/>
  <c r="F384" i="26"/>
  <c r="F385" i="26"/>
  <c r="F386" i="26"/>
  <c r="F387" i="26"/>
  <c r="F388" i="26"/>
  <c r="F389" i="26"/>
  <c r="F390" i="26"/>
  <c r="F391" i="26"/>
  <c r="F383" i="26"/>
  <c r="F366" i="26"/>
  <c r="F367" i="26"/>
  <c r="F368" i="26"/>
  <c r="F369" i="26"/>
  <c r="F370" i="26"/>
  <c r="F371" i="26"/>
  <c r="F372" i="26"/>
  <c r="F373" i="26"/>
  <c r="F374" i="26"/>
  <c r="F375" i="26"/>
  <c r="F376" i="26"/>
  <c r="F377" i="26"/>
  <c r="F378" i="26"/>
  <c r="F379" i="26"/>
  <c r="F365" i="26"/>
  <c r="F304" i="26"/>
  <c r="F306" i="26"/>
  <c r="F307" i="26"/>
  <c r="F303" i="26"/>
  <c r="F289" i="26"/>
  <c r="F290" i="26" s="1"/>
  <c r="G187" i="18" s="1"/>
  <c r="F242" i="26"/>
  <c r="F243" i="26"/>
  <c r="F244" i="26"/>
  <c r="F245" i="26"/>
  <c r="F241" i="26"/>
  <c r="F227" i="26"/>
  <c r="F229" i="26" s="1"/>
  <c r="G103" i="18" s="1"/>
  <c r="F215" i="26"/>
  <c r="F216" i="26"/>
  <c r="F217" i="26"/>
  <c r="F218" i="26"/>
  <c r="F219" i="26"/>
  <c r="F220" i="26"/>
  <c r="F221" i="26"/>
  <c r="F222" i="26"/>
  <c r="F223" i="26"/>
  <c r="F210" i="26"/>
  <c r="G98" i="18" s="1"/>
  <c r="F198" i="26"/>
  <c r="F200" i="26" s="1"/>
  <c r="G86" i="18" s="1"/>
  <c r="F189" i="26"/>
  <c r="F190" i="26"/>
  <c r="F191" i="26"/>
  <c r="F192" i="26"/>
  <c r="F193" i="26"/>
  <c r="F194" i="26"/>
  <c r="F181" i="26"/>
  <c r="D184" i="26"/>
  <c r="F184" i="26" s="1"/>
  <c r="F183" i="26"/>
  <c r="D185" i="26"/>
  <c r="F185" i="26" s="1"/>
  <c r="F154" i="26"/>
  <c r="D155" i="26"/>
  <c r="F155" i="26" s="1"/>
  <c r="F156" i="26"/>
  <c r="F157" i="26"/>
  <c r="F158" i="26"/>
  <c r="D159" i="26"/>
  <c r="F159" i="26" s="1"/>
  <c r="F160" i="26"/>
  <c r="F161" i="26"/>
  <c r="F162" i="26"/>
  <c r="F163" i="26"/>
  <c r="F164" i="26"/>
  <c r="F165" i="26"/>
  <c r="D166" i="26"/>
  <c r="F166" i="26" s="1"/>
  <c r="F167" i="26"/>
  <c r="F171" i="26"/>
  <c r="F172" i="26"/>
  <c r="F173" i="26"/>
  <c r="F174" i="26"/>
  <c r="F175" i="26"/>
  <c r="F176" i="26"/>
  <c r="E144" i="26" s="1"/>
  <c r="F144" i="26" s="1"/>
  <c r="F177" i="26"/>
  <c r="F178" i="26"/>
  <c r="F147" i="26"/>
  <c r="F148" i="26"/>
  <c r="F149" i="26"/>
  <c r="F135" i="26"/>
  <c r="F136" i="26"/>
  <c r="F139" i="26"/>
  <c r="F140" i="26"/>
  <c r="F142" i="26"/>
  <c r="F141" i="26"/>
  <c r="F143" i="26"/>
  <c r="F130" i="26"/>
  <c r="F129" i="26"/>
  <c r="F128" i="26"/>
  <c r="F127" i="26"/>
  <c r="F126" i="26"/>
  <c r="F125" i="26"/>
  <c r="F124" i="26"/>
  <c r="F112" i="26"/>
  <c r="F111" i="26"/>
  <c r="F110" i="26"/>
  <c r="F109" i="26"/>
  <c r="D108" i="26"/>
  <c r="F108" i="26" s="1"/>
  <c r="F107" i="26"/>
  <c r="F106" i="26"/>
  <c r="F105" i="26"/>
  <c r="D104" i="26"/>
  <c r="F104" i="26" s="1"/>
  <c r="F103" i="26"/>
  <c r="F98" i="26"/>
  <c r="F97" i="26"/>
  <c r="F96" i="26"/>
  <c r="F95" i="26"/>
  <c r="F94" i="26"/>
  <c r="F91" i="26"/>
  <c r="F90" i="26"/>
  <c r="F89" i="26"/>
  <c r="F88" i="26"/>
  <c r="F87" i="26"/>
  <c r="F86" i="26"/>
  <c r="F85" i="26"/>
  <c r="F84" i="26"/>
  <c r="F79" i="26"/>
  <c r="F78" i="26"/>
  <c r="F77" i="26"/>
  <c r="F76" i="26"/>
  <c r="F75" i="26"/>
  <c r="F74" i="26"/>
  <c r="F73" i="26"/>
  <c r="F72" i="26"/>
  <c r="F71" i="26"/>
  <c r="F70" i="26"/>
  <c r="F69" i="26"/>
  <c r="F68" i="26"/>
  <c r="F67" i="26"/>
  <c r="F66" i="26"/>
  <c r="F65" i="26"/>
  <c r="F64" i="26"/>
  <c r="F63" i="26"/>
  <c r="F62" i="26"/>
  <c r="F61" i="26"/>
  <c r="F60" i="26"/>
  <c r="F59" i="26"/>
  <c r="F58" i="26"/>
  <c r="F57" i="26"/>
  <c r="F53" i="26"/>
  <c r="F54" i="26" s="1"/>
  <c r="G17" i="18" s="1"/>
  <c r="F51" i="26"/>
  <c r="G10" i="18" s="1"/>
  <c r="F46" i="26"/>
  <c r="F45" i="26"/>
  <c r="F44" i="26"/>
  <c r="F43" i="26"/>
  <c r="F42" i="26"/>
  <c r="F41" i="26"/>
  <c r="F40" i="26"/>
  <c r="F39" i="26"/>
  <c r="F38" i="26"/>
  <c r="F37" i="26"/>
  <c r="F34" i="26"/>
  <c r="F33" i="26"/>
  <c r="F32" i="26"/>
  <c r="F31" i="26"/>
  <c r="F30" i="26"/>
  <c r="F29" i="26"/>
  <c r="F28" i="26"/>
  <c r="F25" i="26"/>
  <c r="F24" i="26"/>
  <c r="F23" i="26"/>
  <c r="F22" i="26"/>
  <c r="F21" i="26"/>
  <c r="F20" i="26"/>
  <c r="F19" i="26"/>
  <c r="F18" i="26"/>
  <c r="F17" i="26"/>
  <c r="F16" i="26"/>
  <c r="F15" i="26"/>
  <c r="F14" i="26"/>
  <c r="F13" i="26"/>
  <c r="F12" i="26"/>
  <c r="F11" i="26"/>
  <c r="F10" i="26"/>
  <c r="F9" i="26"/>
  <c r="F8" i="26"/>
  <c r="F7" i="26"/>
  <c r="F6" i="26"/>
  <c r="G1152" i="18"/>
  <c r="G1153" i="18"/>
  <c r="G1157" i="18"/>
  <c r="G1159" i="18"/>
  <c r="G1160" i="18"/>
  <c r="F1160" i="18"/>
  <c r="F1159" i="18"/>
  <c r="F1157" i="18"/>
  <c r="F1156" i="18"/>
  <c r="F1155" i="18"/>
  <c r="F1154" i="18"/>
  <c r="F1153" i="18"/>
  <c r="F1152" i="18"/>
  <c r="G584" i="18"/>
  <c r="G784" i="18"/>
  <c r="G805" i="18"/>
  <c r="G817" i="18"/>
  <c r="G866" i="18"/>
  <c r="G882" i="18"/>
  <c r="G890" i="18"/>
  <c r="G892" i="18"/>
  <c r="G925" i="18"/>
  <c r="G927" i="18"/>
  <c r="G939" i="18"/>
  <c r="G962" i="18"/>
  <c r="G964" i="18"/>
  <c r="G969" i="18"/>
  <c r="G972" i="18"/>
  <c r="G974" i="18"/>
  <c r="G988" i="18"/>
  <c r="G990" i="18"/>
  <c r="G992" i="18"/>
  <c r="G996" i="18"/>
  <c r="G1003" i="18"/>
  <c r="G1004" i="18"/>
  <c r="G1005" i="18"/>
  <c r="G1006" i="18"/>
  <c r="G1009" i="18"/>
  <c r="G1011" i="18"/>
  <c r="G1020" i="18"/>
  <c r="G1021" i="18"/>
  <c r="G1022" i="18"/>
  <c r="G1023" i="18"/>
  <c r="G1033" i="18"/>
  <c r="G1039" i="18"/>
  <c r="G1060" i="18"/>
  <c r="G1071" i="18"/>
  <c r="G1075" i="18"/>
  <c r="G1077" i="18"/>
  <c r="G1092" i="18"/>
  <c r="G1093" i="18"/>
  <c r="G1094" i="18"/>
  <c r="G1098" i="18"/>
  <c r="G1099" i="18"/>
  <c r="G1102" i="18"/>
  <c r="G1103" i="18"/>
  <c r="G1122" i="18"/>
  <c r="F1129" i="18"/>
  <c r="F1127" i="18"/>
  <c r="F1126" i="18"/>
  <c r="F1125" i="18"/>
  <c r="F1122" i="18"/>
  <c r="F1117" i="18"/>
  <c r="F1119" i="18" s="1"/>
  <c r="F1112" i="18"/>
  <c r="F1111" i="18"/>
  <c r="F1108" i="18"/>
  <c r="F1107" i="18"/>
  <c r="F1106" i="18"/>
  <c r="F1103" i="18"/>
  <c r="F1102" i="18"/>
  <c r="F1099" i="18"/>
  <c r="F1098" i="18"/>
  <c r="F1097" i="18"/>
  <c r="F1094" i="18"/>
  <c r="F1093" i="18"/>
  <c r="F1092" i="18"/>
  <c r="F1091" i="18"/>
  <c r="F1088" i="18"/>
  <c r="F1087" i="18"/>
  <c r="F1086" i="18"/>
  <c r="F1085" i="18"/>
  <c r="F1084" i="18"/>
  <c r="F1077" i="18"/>
  <c r="F1075" i="18"/>
  <c r="F1073" i="18"/>
  <c r="F1071" i="18"/>
  <c r="F1069" i="18"/>
  <c r="F1068" i="18"/>
  <c r="F1067" i="18"/>
  <c r="F1063" i="18"/>
  <c r="F1062" i="18"/>
  <c r="F1060" i="18"/>
  <c r="F1059" i="18"/>
  <c r="F1055" i="18"/>
  <c r="F1051" i="18"/>
  <c r="F1047" i="18"/>
  <c r="F1046" i="18"/>
  <c r="F1045" i="18"/>
  <c r="F1041" i="18"/>
  <c r="F1040" i="18"/>
  <c r="F1039" i="18"/>
  <c r="F1035" i="18"/>
  <c r="F1034" i="18"/>
  <c r="F1033" i="18"/>
  <c r="F1023" i="18"/>
  <c r="F1022" i="18"/>
  <c r="F1021" i="18"/>
  <c r="F1020" i="18"/>
  <c r="F1017" i="18"/>
  <c r="F1016" i="18"/>
  <c r="F1015" i="18"/>
  <c r="F1014" i="18"/>
  <c r="F1013" i="18"/>
  <c r="F1012" i="18"/>
  <c r="F1011" i="18"/>
  <c r="F1010" i="18"/>
  <c r="F1009" i="18"/>
  <c r="F1006" i="18"/>
  <c r="F1005" i="18"/>
  <c r="F1004" i="18"/>
  <c r="F1003" i="18"/>
  <c r="F996" i="18"/>
  <c r="F994" i="18"/>
  <c r="F992" i="18"/>
  <c r="F990" i="18"/>
  <c r="F988" i="18"/>
  <c r="F986" i="18"/>
  <c r="F984" i="18"/>
  <c r="F976" i="18"/>
  <c r="F974" i="18"/>
  <c r="F972" i="18"/>
  <c r="F969" i="18"/>
  <c r="F966" i="18"/>
  <c r="F964" i="18"/>
  <c r="F962" i="18"/>
  <c r="F954" i="18"/>
  <c r="F952" i="18"/>
  <c r="F950" i="18"/>
  <c r="F948" i="18"/>
  <c r="F946" i="18"/>
  <c r="F939" i="18"/>
  <c r="F937" i="18"/>
  <c r="F935" i="18"/>
  <c r="F933" i="18"/>
  <c r="F931" i="18"/>
  <c r="F929" i="18"/>
  <c r="F927" i="18"/>
  <c r="F925" i="18"/>
  <c r="F923" i="18"/>
  <c r="F915" i="18"/>
  <c r="F914" i="18"/>
  <c r="F911" i="18"/>
  <c r="F908" i="18"/>
  <c r="F905" i="18"/>
  <c r="F904" i="18"/>
  <c r="F903" i="18"/>
  <c r="F902" i="18"/>
  <c r="F900" i="18"/>
  <c r="F899" i="18"/>
  <c r="F892" i="18"/>
  <c r="F890" i="18"/>
  <c r="F888" i="18"/>
  <c r="F886" i="18"/>
  <c r="F884" i="18"/>
  <c r="F882" i="18"/>
  <c r="F880" i="18"/>
  <c r="F878" i="18"/>
  <c r="F876" i="18"/>
  <c r="F874" i="18"/>
  <c r="F872" i="18"/>
  <c r="F870" i="18"/>
  <c r="F868" i="18"/>
  <c r="F866" i="18"/>
  <c r="F864" i="18"/>
  <c r="F862" i="18"/>
  <c r="F858" i="18"/>
  <c r="F856" i="18"/>
  <c r="F854" i="18"/>
  <c r="F852" i="18"/>
  <c r="F850" i="18"/>
  <c r="F848" i="18"/>
  <c r="F846" i="18"/>
  <c r="F844" i="18"/>
  <c r="F842" i="18"/>
  <c r="F840" i="18"/>
  <c r="F838" i="18"/>
  <c r="F836" i="18"/>
  <c r="F834" i="18"/>
  <c r="F832" i="18"/>
  <c r="F830" i="18"/>
  <c r="F828" i="18"/>
  <c r="F817" i="18"/>
  <c r="F812" i="18"/>
  <c r="F805" i="18"/>
  <c r="F800" i="18"/>
  <c r="F794" i="18"/>
  <c r="F789" i="18"/>
  <c r="F784" i="18"/>
  <c r="F765" i="18"/>
  <c r="F755" i="18"/>
  <c r="F744" i="18"/>
  <c r="F734" i="18"/>
  <c r="F721" i="18"/>
  <c r="F711" i="18"/>
  <c r="F700" i="18"/>
  <c r="F690" i="18"/>
  <c r="F681" i="18"/>
  <c r="F675" i="18"/>
  <c r="F671" i="18"/>
  <c r="F663" i="18"/>
  <c r="F636" i="18"/>
  <c r="F621" i="18"/>
  <c r="F606" i="18"/>
  <c r="F600" i="18"/>
  <c r="F598" i="18"/>
  <c r="F596" i="18"/>
  <c r="F594" i="18"/>
  <c r="F592" i="18"/>
  <c r="F590" i="18"/>
  <c r="F588" i="18"/>
  <c r="F584" i="18"/>
  <c r="F565" i="18"/>
  <c r="F546" i="18"/>
  <c r="F529" i="18"/>
  <c r="F515" i="18"/>
  <c r="F507" i="18"/>
  <c r="F504" i="18"/>
  <c r="F501" i="18"/>
  <c r="F498" i="18"/>
  <c r="F496" i="18"/>
  <c r="F494" i="18"/>
  <c r="F492" i="18"/>
  <c r="F488" i="18"/>
  <c r="F486" i="18"/>
  <c r="F479" i="18"/>
  <c r="F476" i="18"/>
  <c r="F473" i="18"/>
  <c r="F470" i="18"/>
  <c r="F467" i="18"/>
  <c r="F464" i="18"/>
  <c r="F461" i="18"/>
  <c r="G272" i="18"/>
  <c r="G279" i="18"/>
  <c r="G286" i="18"/>
  <c r="G303" i="18"/>
  <c r="G429" i="18"/>
  <c r="G432" i="18"/>
  <c r="G437" i="18"/>
  <c r="G441" i="18"/>
  <c r="G445" i="18"/>
  <c r="G446" i="18"/>
  <c r="G447" i="18"/>
  <c r="G408" i="18"/>
  <c r="G438" i="18"/>
  <c r="F290" i="18"/>
  <c r="F303" i="18"/>
  <c r="F454" i="18"/>
  <c r="F453" i="18"/>
  <c r="F450" i="18"/>
  <c r="F449" i="18"/>
  <c r="F448" i="18"/>
  <c r="F447" i="18"/>
  <c r="F446" i="18"/>
  <c r="F445" i="18"/>
  <c r="F444" i="18"/>
  <c r="F443" i="18"/>
  <c r="F442" i="18"/>
  <c r="F441" i="18"/>
  <c r="F440" i="18"/>
  <c r="F439" i="18"/>
  <c r="F438" i="18"/>
  <c r="F437" i="18"/>
  <c r="F434" i="18"/>
  <c r="F433" i="18"/>
  <c r="F432" i="18"/>
  <c r="F429" i="18"/>
  <c r="F426" i="18"/>
  <c r="F425" i="18"/>
  <c r="F422" i="18"/>
  <c r="F421" i="18"/>
  <c r="F418" i="18"/>
  <c r="F415" i="18"/>
  <c r="F412" i="18"/>
  <c r="F411" i="18"/>
  <c r="F408" i="18"/>
  <c r="F405" i="18"/>
  <c r="F402" i="18"/>
  <c r="F399" i="18"/>
  <c r="F398" i="18"/>
  <c r="F395" i="18"/>
  <c r="F394" i="18"/>
  <c r="F393" i="18"/>
  <c r="F390" i="18"/>
  <c r="F389" i="18"/>
  <c r="F386" i="18"/>
  <c r="F385" i="18"/>
  <c r="F384" i="18"/>
  <c r="F381" i="18"/>
  <c r="F377" i="18"/>
  <c r="F376" i="18"/>
  <c r="F375" i="18"/>
  <c r="F374" i="18"/>
  <c r="F371" i="18"/>
  <c r="F370" i="18"/>
  <c r="F369" i="18"/>
  <c r="F368" i="18"/>
  <c r="F367" i="18"/>
  <c r="F364" i="18"/>
  <c r="F363" i="18"/>
  <c r="F360" i="18"/>
  <c r="F359" i="18"/>
  <c r="F355" i="18"/>
  <c r="F351" i="18"/>
  <c r="F350" i="18"/>
  <c r="F349" i="18"/>
  <c r="F346" i="18"/>
  <c r="F343" i="18"/>
  <c r="F340" i="18"/>
  <c r="F339" i="18"/>
  <c r="F338" i="18"/>
  <c r="F337" i="18"/>
  <c r="F336" i="18"/>
  <c r="F333" i="18"/>
  <c r="F329" i="18"/>
  <c r="F326" i="18"/>
  <c r="F323" i="18"/>
  <c r="F322" i="18"/>
  <c r="F321" i="18"/>
  <c r="F320" i="18"/>
  <c r="F319" i="18"/>
  <c r="F316" i="18"/>
  <c r="F313" i="18"/>
  <c r="F310" i="18"/>
  <c r="F309" i="18"/>
  <c r="F306" i="18"/>
  <c r="F305" i="18"/>
  <c r="F304" i="18"/>
  <c r="F300" i="18"/>
  <c r="F299" i="18"/>
  <c r="F296" i="18"/>
  <c r="F295" i="18"/>
  <c r="F294" i="18"/>
  <c r="F291" i="18"/>
  <c r="F286" i="18"/>
  <c r="F284" i="18"/>
  <c r="F283" i="18"/>
  <c r="F282" i="18"/>
  <c r="F281" i="18"/>
  <c r="F280" i="18"/>
  <c r="F279" i="18"/>
  <c r="F275" i="18"/>
  <c r="F274" i="18"/>
  <c r="F273" i="18"/>
  <c r="F272" i="18"/>
  <c r="F271" i="18"/>
  <c r="F270" i="18"/>
  <c r="F269" i="18"/>
  <c r="F268" i="18"/>
  <c r="F264" i="18"/>
  <c r="F263" i="18"/>
  <c r="F260" i="18"/>
  <c r="F259" i="18"/>
  <c r="F258" i="18"/>
  <c r="F254" i="18"/>
  <c r="F253" i="18"/>
  <c r="F252" i="18"/>
  <c r="F249" i="18"/>
  <c r="F248" i="18"/>
  <c r="F247" i="18"/>
  <c r="F246" i="18"/>
  <c r="F245" i="18"/>
  <c r="F244" i="18"/>
  <c r="F243" i="18"/>
  <c r="F242" i="18"/>
  <c r="F238" i="18"/>
  <c r="F235" i="18"/>
  <c r="F234" i="18"/>
  <c r="F231" i="18"/>
  <c r="F230" i="18"/>
  <c r="F227" i="18"/>
  <c r="F226" i="18"/>
  <c r="F225" i="18"/>
  <c r="F224" i="18"/>
  <c r="F223" i="18"/>
  <c r="F215" i="18"/>
  <c r="F214" i="18"/>
  <c r="F213" i="18"/>
  <c r="F210" i="18"/>
  <c r="F209" i="18"/>
  <c r="F208" i="18"/>
  <c r="F205" i="18"/>
  <c r="F198" i="18"/>
  <c r="G197" i="18"/>
  <c r="F197" i="18"/>
  <c r="G196" i="18"/>
  <c r="F196" i="18"/>
  <c r="G195" i="18"/>
  <c r="F195" i="18"/>
  <c r="G194" i="18"/>
  <c r="F194" i="18"/>
  <c r="F193" i="18"/>
  <c r="F192" i="18"/>
  <c r="G191" i="18"/>
  <c r="F191" i="18"/>
  <c r="G190" i="18"/>
  <c r="F190" i="18"/>
  <c r="G189" i="18"/>
  <c r="F189" i="18"/>
  <c r="F187" i="18"/>
  <c r="G186" i="18"/>
  <c r="F186" i="18"/>
  <c r="G185" i="18"/>
  <c r="F185" i="18"/>
  <c r="F184" i="18"/>
  <c r="G183" i="18"/>
  <c r="F183" i="18"/>
  <c r="G182" i="18"/>
  <c r="F182" i="18"/>
  <c r="G181" i="18"/>
  <c r="F181" i="18"/>
  <c r="F178" i="18"/>
  <c r="F175" i="18"/>
  <c r="F174" i="18"/>
  <c r="F173" i="18"/>
  <c r="F172" i="18"/>
  <c r="F170" i="18"/>
  <c r="F168" i="18"/>
  <c r="G167" i="18"/>
  <c r="F167" i="18"/>
  <c r="F166" i="18"/>
  <c r="F164" i="18"/>
  <c r="G163" i="18"/>
  <c r="F163" i="18"/>
  <c r="F162" i="18"/>
  <c r="F161" i="18"/>
  <c r="G157" i="18"/>
  <c r="F157" i="18"/>
  <c r="G156" i="18"/>
  <c r="F156" i="18"/>
  <c r="G155" i="18"/>
  <c r="F155" i="18"/>
  <c r="G154" i="18"/>
  <c r="F154" i="18"/>
  <c r="G151" i="18"/>
  <c r="F151" i="18"/>
  <c r="G150" i="18"/>
  <c r="F150" i="18"/>
  <c r="F149" i="18"/>
  <c r="G148" i="18"/>
  <c r="F148" i="18"/>
  <c r="G147" i="18"/>
  <c r="F147" i="18"/>
  <c r="G146" i="18"/>
  <c r="F146" i="18"/>
  <c r="G145" i="18"/>
  <c r="F145" i="18"/>
  <c r="G144" i="18"/>
  <c r="F144" i="18"/>
  <c r="G141" i="18"/>
  <c r="F141" i="18"/>
  <c r="F140" i="18"/>
  <c r="F139" i="18"/>
  <c r="G138" i="18"/>
  <c r="F138" i="18"/>
  <c r="G137" i="18"/>
  <c r="F137" i="18"/>
  <c r="F136" i="18"/>
  <c r="F135" i="18"/>
  <c r="G134" i="18"/>
  <c r="F134" i="18"/>
  <c r="G131" i="18"/>
  <c r="F131" i="18"/>
  <c r="G130" i="18"/>
  <c r="F130" i="18"/>
  <c r="G129" i="18"/>
  <c r="F129" i="18"/>
  <c r="G128" i="18"/>
  <c r="F128" i="18"/>
  <c r="G127" i="18"/>
  <c r="F127" i="18"/>
  <c r="G126" i="18"/>
  <c r="F126" i="18"/>
  <c r="F123" i="18"/>
  <c r="F122" i="18"/>
  <c r="F119" i="18"/>
  <c r="F118" i="18"/>
  <c r="F115" i="18"/>
  <c r="F112" i="18"/>
  <c r="F111" i="18"/>
  <c r="F110" i="18"/>
  <c r="F109" i="18"/>
  <c r="F108" i="18"/>
  <c r="F107" i="18"/>
  <c r="F106" i="18"/>
  <c r="F103" i="18"/>
  <c r="F102" i="18"/>
  <c r="G101" i="18"/>
  <c r="F101" i="18"/>
  <c r="F100" i="18"/>
  <c r="F99" i="18"/>
  <c r="F98" i="18"/>
  <c r="F95" i="18"/>
  <c r="F94" i="18"/>
  <c r="F91" i="18"/>
  <c r="F90" i="18"/>
  <c r="F87" i="18"/>
  <c r="F86" i="18"/>
  <c r="F83" i="18"/>
  <c r="F80" i="18"/>
  <c r="F77" i="18"/>
  <c r="F74" i="18"/>
  <c r="F73" i="18"/>
  <c r="F70" i="18"/>
  <c r="F69" i="18"/>
  <c r="F66" i="18"/>
  <c r="F65" i="18"/>
  <c r="F64" i="18"/>
  <c r="F63" i="18"/>
  <c r="F59" i="18"/>
  <c r="F58" i="18"/>
  <c r="F55" i="18"/>
  <c r="F54" i="18"/>
  <c r="F53" i="18"/>
  <c r="F52" i="18"/>
  <c r="F51" i="18"/>
  <c r="F50" i="18"/>
  <c r="F49" i="18"/>
  <c r="F46" i="18"/>
  <c r="F43" i="18"/>
  <c r="F40" i="18"/>
  <c r="F39" i="18"/>
  <c r="F36" i="18"/>
  <c r="F35" i="18"/>
  <c r="F34" i="18"/>
  <c r="F33" i="18"/>
  <c r="F32" i="18"/>
  <c r="F31" i="18"/>
  <c r="F30" i="18"/>
  <c r="F29" i="18"/>
  <c r="F28" i="18"/>
  <c r="F27" i="18"/>
  <c r="F26" i="18"/>
  <c r="F23" i="18"/>
  <c r="F22" i="18"/>
  <c r="F21" i="18"/>
  <c r="F20" i="18"/>
  <c r="F17" i="18"/>
  <c r="F16" i="18"/>
  <c r="F15" i="18"/>
  <c r="F14" i="18"/>
  <c r="F13" i="18"/>
  <c r="F12" i="18"/>
  <c r="F11" i="18"/>
  <c r="F10" i="18"/>
  <c r="F9" i="18"/>
  <c r="F8" i="18"/>
  <c r="F7" i="18"/>
  <c r="F6" i="18"/>
  <c r="F1079" i="18" l="1"/>
  <c r="F1144" i="18" s="1"/>
  <c r="F1163" i="18"/>
  <c r="F704" i="26"/>
  <c r="G908" i="18" s="1"/>
  <c r="J856" i="18"/>
  <c r="H856" i="18"/>
  <c r="I856" i="18" s="1"/>
  <c r="K856" i="18" s="1"/>
  <c r="F713" i="26"/>
  <c r="G914" i="18" s="1"/>
  <c r="J914" i="18" s="1"/>
  <c r="F941" i="18"/>
  <c r="F1139" i="18" s="1"/>
  <c r="F917" i="18"/>
  <c r="F1138" i="18" s="1"/>
  <c r="M904" i="18"/>
  <c r="K904" i="18"/>
  <c r="L904" i="18"/>
  <c r="M903" i="18"/>
  <c r="L903" i="18"/>
  <c r="K903" i="18"/>
  <c r="F1131" i="18"/>
  <c r="F1147" i="18" s="1"/>
  <c r="F978" i="18"/>
  <c r="F1141" i="18" s="1"/>
  <c r="F602" i="18"/>
  <c r="F1133" i="18" s="1"/>
  <c r="F656" i="18"/>
  <c r="F894" i="18"/>
  <c r="F1137" i="18" s="1"/>
  <c r="F776" i="18"/>
  <c r="F822" i="18"/>
  <c r="F1136" i="18" s="1"/>
  <c r="F956" i="18"/>
  <c r="F998" i="18"/>
  <c r="F1142" i="18" s="1"/>
  <c r="F1025" i="18"/>
  <c r="F1143" i="18" s="1"/>
  <c r="F1114" i="18"/>
  <c r="F1145" i="18" s="1"/>
  <c r="J157" i="18"/>
  <c r="H157" i="18"/>
  <c r="I157" i="18" s="1"/>
  <c r="L157" i="18" s="1"/>
  <c r="J186" i="18"/>
  <c r="H186" i="18"/>
  <c r="I186" i="18" s="1"/>
  <c r="K186" i="18" s="1"/>
  <c r="H151" i="18"/>
  <c r="I151" i="18" s="1"/>
  <c r="M151" i="18" s="1"/>
  <c r="J151" i="18"/>
  <c r="J163" i="18"/>
  <c r="H163" i="18"/>
  <c r="I163" i="18" s="1"/>
  <c r="M163" i="18" s="1"/>
  <c r="J438" i="18"/>
  <c r="H438" i="18"/>
  <c r="I438" i="18" s="1"/>
  <c r="M438" i="18" s="1"/>
  <c r="J274" i="18"/>
  <c r="H274" i="18"/>
  <c r="I274" i="18" s="1"/>
  <c r="M274" i="18" s="1"/>
  <c r="J1098" i="18"/>
  <c r="H1098" i="18"/>
  <c r="I1098" i="18" s="1"/>
  <c r="L1098" i="18" s="1"/>
  <c r="J1021" i="18"/>
  <c r="H1021" i="18"/>
  <c r="I1021" i="18" s="1"/>
  <c r="M1021" i="18" s="1"/>
  <c r="J974" i="18"/>
  <c r="H974" i="18"/>
  <c r="I974" i="18" s="1"/>
  <c r="K974" i="18" s="1"/>
  <c r="H866" i="18"/>
  <c r="I866" i="18" s="1"/>
  <c r="K866" i="18" s="1"/>
  <c r="J866" i="18"/>
  <c r="H1152" i="18"/>
  <c r="J1152" i="18"/>
  <c r="J290" i="18"/>
  <c r="H290" i="18"/>
  <c r="I290" i="18" s="1"/>
  <c r="L290" i="18" s="1"/>
  <c r="J360" i="18"/>
  <c r="H360" i="18"/>
  <c r="I360" i="18" s="1"/>
  <c r="K360" i="18" s="1"/>
  <c r="J832" i="18"/>
  <c r="H832" i="18"/>
  <c r="J185" i="18"/>
  <c r="H185" i="18"/>
  <c r="I185" i="18" s="1"/>
  <c r="M185" i="18" s="1"/>
  <c r="J127" i="18"/>
  <c r="H127" i="18"/>
  <c r="I127" i="18" s="1"/>
  <c r="L127" i="18" s="1"/>
  <c r="H145" i="18"/>
  <c r="I145" i="18" s="1"/>
  <c r="L145" i="18" s="1"/>
  <c r="J145" i="18"/>
  <c r="J195" i="18"/>
  <c r="H195" i="18"/>
  <c r="I195" i="18" s="1"/>
  <c r="K195" i="18" s="1"/>
  <c r="J1020" i="18"/>
  <c r="H1020" i="18"/>
  <c r="I1020" i="18" s="1"/>
  <c r="M1020" i="18" s="1"/>
  <c r="J817" i="18"/>
  <c r="H817" i="18"/>
  <c r="I817" i="18" s="1"/>
  <c r="K817" i="18" s="1"/>
  <c r="J321" i="18"/>
  <c r="H321" i="18"/>
  <c r="I321" i="18" s="1"/>
  <c r="L321" i="18" s="1"/>
  <c r="J154" i="18"/>
  <c r="H154" i="18"/>
  <c r="I154" i="18" s="1"/>
  <c r="M154" i="18" s="1"/>
  <c r="J447" i="18"/>
  <c r="H447" i="18"/>
  <c r="I447" i="18" s="1"/>
  <c r="L447" i="18" s="1"/>
  <c r="J1093" i="18"/>
  <c r="H1093" i="18"/>
  <c r="I1093" i="18" s="1"/>
  <c r="K1093" i="18" s="1"/>
  <c r="J1011" i="18"/>
  <c r="H1011" i="18"/>
  <c r="I1011" i="18" s="1"/>
  <c r="K1011" i="18" s="1"/>
  <c r="J969" i="18"/>
  <c r="H969" i="18"/>
  <c r="I969" i="18" s="1"/>
  <c r="M969" i="18" s="1"/>
  <c r="J805" i="18"/>
  <c r="H805" i="18"/>
  <c r="I805" i="18" s="1"/>
  <c r="K805" i="18" s="1"/>
  <c r="J10" i="18"/>
  <c r="H10" i="18"/>
  <c r="I10" i="18" s="1"/>
  <c r="K10" i="18" s="1"/>
  <c r="J103" i="18"/>
  <c r="H103" i="18"/>
  <c r="I103" i="18" s="1"/>
  <c r="M103" i="18" s="1"/>
  <c r="J326" i="18"/>
  <c r="H326" i="18"/>
  <c r="I326" i="18" s="1"/>
  <c r="L326" i="18" s="1"/>
  <c r="H263" i="18"/>
  <c r="I263" i="18" s="1"/>
  <c r="M263" i="18" s="1"/>
  <c r="J263" i="18"/>
  <c r="J137" i="18"/>
  <c r="H137" i="18"/>
  <c r="I137" i="18" s="1"/>
  <c r="M137" i="18" s="1"/>
  <c r="J182" i="18"/>
  <c r="H182" i="18"/>
  <c r="I182" i="18" s="1"/>
  <c r="M182" i="18" s="1"/>
  <c r="J189" i="18"/>
  <c r="H189" i="18"/>
  <c r="I189" i="18" s="1"/>
  <c r="M189" i="18" s="1"/>
  <c r="H446" i="18"/>
  <c r="I446" i="18" s="1"/>
  <c r="L446" i="18" s="1"/>
  <c r="J446" i="18"/>
  <c r="J1092" i="18"/>
  <c r="H1092" i="18"/>
  <c r="J1009" i="18"/>
  <c r="H1009" i="18"/>
  <c r="I1009" i="18" s="1"/>
  <c r="L1009" i="18" s="1"/>
  <c r="J964" i="18"/>
  <c r="H964" i="18"/>
  <c r="I964" i="18" s="1"/>
  <c r="K964" i="18" s="1"/>
  <c r="J784" i="18"/>
  <c r="H784" i="18"/>
  <c r="J17" i="18"/>
  <c r="H17" i="18"/>
  <c r="I17" i="18" s="1"/>
  <c r="M17" i="18" s="1"/>
  <c r="J86" i="18"/>
  <c r="H86" i="18"/>
  <c r="I86" i="18" s="1"/>
  <c r="L86" i="18" s="1"/>
  <c r="J408" i="18"/>
  <c r="H408" i="18"/>
  <c r="I408" i="18" s="1"/>
  <c r="M408" i="18" s="1"/>
  <c r="H1094" i="18"/>
  <c r="I1094" i="18" s="1"/>
  <c r="K1094" i="18" s="1"/>
  <c r="J1094" i="18"/>
  <c r="H972" i="18"/>
  <c r="I972" i="18" s="1"/>
  <c r="K972" i="18" s="1"/>
  <c r="J972" i="18"/>
  <c r="J415" i="18"/>
  <c r="H415" i="18"/>
  <c r="I415" i="18" s="1"/>
  <c r="K415" i="18" s="1"/>
  <c r="J128" i="18"/>
  <c r="H128" i="18"/>
  <c r="I128" i="18" s="1"/>
  <c r="L128" i="18" s="1"/>
  <c r="J146" i="18"/>
  <c r="H146" i="18"/>
  <c r="I146" i="18" s="1"/>
  <c r="M146" i="18" s="1"/>
  <c r="J196" i="18"/>
  <c r="H196" i="18"/>
  <c r="I196" i="18" s="1"/>
  <c r="L196" i="18" s="1"/>
  <c r="J155" i="18"/>
  <c r="H155" i="18"/>
  <c r="I155" i="18" s="1"/>
  <c r="K155" i="18" s="1"/>
  <c r="J167" i="18"/>
  <c r="H167" i="18"/>
  <c r="I167" i="18" s="1"/>
  <c r="M167" i="18" s="1"/>
  <c r="J445" i="18"/>
  <c r="H445" i="18"/>
  <c r="I445" i="18" s="1"/>
  <c r="K445" i="18" s="1"/>
  <c r="J1077" i="18"/>
  <c r="H1077" i="18"/>
  <c r="I1077" i="18" s="1"/>
  <c r="M1077" i="18" s="1"/>
  <c r="J1006" i="18"/>
  <c r="H1006" i="18"/>
  <c r="I1006" i="18" s="1"/>
  <c r="L1006" i="18" s="1"/>
  <c r="J962" i="18"/>
  <c r="H962" i="18"/>
  <c r="H584" i="18"/>
  <c r="I584" i="18" s="1"/>
  <c r="M584" i="18" s="1"/>
  <c r="J584" i="18"/>
  <c r="J98" i="18"/>
  <c r="H98" i="18"/>
  <c r="I98" i="18" s="1"/>
  <c r="M98" i="18" s="1"/>
  <c r="J1154" i="18"/>
  <c r="H1154" i="18"/>
  <c r="I1154" i="18" s="1"/>
  <c r="L1154" i="18" s="1"/>
  <c r="J192" i="18"/>
  <c r="H192" i="18"/>
  <c r="I192" i="18" s="1"/>
  <c r="M192" i="18" s="1"/>
  <c r="J138" i="18"/>
  <c r="H138" i="18"/>
  <c r="I138" i="18" s="1"/>
  <c r="K138" i="18" s="1"/>
  <c r="J183" i="18"/>
  <c r="H183" i="18"/>
  <c r="I183" i="18" s="1"/>
  <c r="K183" i="18" s="1"/>
  <c r="J190" i="18"/>
  <c r="H190" i="18"/>
  <c r="I190" i="18" s="1"/>
  <c r="M190" i="18" s="1"/>
  <c r="J197" i="18"/>
  <c r="H197" i="18"/>
  <c r="I197" i="18" s="1"/>
  <c r="M197" i="18" s="1"/>
  <c r="J441" i="18"/>
  <c r="H441" i="18"/>
  <c r="I441" i="18" s="1"/>
  <c r="L441" i="18" s="1"/>
  <c r="J1075" i="18"/>
  <c r="H1075" i="18"/>
  <c r="I1075" i="18" s="1"/>
  <c r="M1075" i="18" s="1"/>
  <c r="J1005" i="18"/>
  <c r="H1005" i="18"/>
  <c r="I1005" i="18" s="1"/>
  <c r="M1005" i="18" s="1"/>
  <c r="J939" i="18"/>
  <c r="H939" i="18"/>
  <c r="I939" i="18" s="1"/>
  <c r="L939" i="18" s="1"/>
  <c r="J1155" i="18"/>
  <c r="H1155" i="18"/>
  <c r="I1155" i="18" s="1"/>
  <c r="L1155" i="18" s="1"/>
  <c r="J156" i="18"/>
  <c r="H156" i="18"/>
  <c r="I156" i="18" s="1"/>
  <c r="K156" i="18" s="1"/>
  <c r="H437" i="18"/>
  <c r="I437" i="18" s="1"/>
  <c r="L437" i="18" s="1"/>
  <c r="J437" i="18"/>
  <c r="H1071" i="18"/>
  <c r="I1071" i="18" s="1"/>
  <c r="L1071" i="18" s="1"/>
  <c r="J1071" i="18"/>
  <c r="J1004" i="18"/>
  <c r="H1004" i="18"/>
  <c r="I1004" i="18" s="1"/>
  <c r="L1004" i="18" s="1"/>
  <c r="J927" i="18"/>
  <c r="H927" i="18"/>
  <c r="I927" i="18" s="1"/>
  <c r="L927" i="18" s="1"/>
  <c r="H338" i="18"/>
  <c r="I338" i="18" s="1"/>
  <c r="K338" i="18" s="1"/>
  <c r="J338" i="18"/>
  <c r="J1156" i="18"/>
  <c r="H1156" i="18"/>
  <c r="I1156" i="18" s="1"/>
  <c r="K1156" i="18" s="1"/>
  <c r="J854" i="18"/>
  <c r="H854" i="18"/>
  <c r="I854" i="18" s="1"/>
  <c r="K854" i="18" s="1"/>
  <c r="J150" i="18"/>
  <c r="H150" i="18"/>
  <c r="I150" i="18" s="1"/>
  <c r="K150" i="18" s="1"/>
  <c r="J181" i="18"/>
  <c r="H181" i="18"/>
  <c r="I181" i="18" s="1"/>
  <c r="L181" i="18" s="1"/>
  <c r="J272" i="18"/>
  <c r="H272" i="18"/>
  <c r="I272" i="18" s="1"/>
  <c r="M272" i="18" s="1"/>
  <c r="H129" i="18"/>
  <c r="I129" i="18" s="1"/>
  <c r="K129" i="18" s="1"/>
  <c r="J129" i="18"/>
  <c r="J147" i="18"/>
  <c r="H147" i="18"/>
  <c r="I147" i="18" s="1"/>
  <c r="M147" i="18" s="1"/>
  <c r="H101" i="18"/>
  <c r="I101" i="18" s="1"/>
  <c r="M101" i="18" s="1"/>
  <c r="J101" i="18"/>
  <c r="J130" i="18"/>
  <c r="H130" i="18"/>
  <c r="I130" i="18" s="1"/>
  <c r="L130" i="18" s="1"/>
  <c r="J148" i="18"/>
  <c r="H148" i="18"/>
  <c r="I148" i="18" s="1"/>
  <c r="M148" i="18" s="1"/>
  <c r="H191" i="18"/>
  <c r="I191" i="18" s="1"/>
  <c r="K191" i="18" s="1"/>
  <c r="J191" i="18"/>
  <c r="J432" i="18"/>
  <c r="H432" i="18"/>
  <c r="I432" i="18" s="1"/>
  <c r="M432" i="18" s="1"/>
  <c r="H1060" i="18"/>
  <c r="I1060" i="18" s="1"/>
  <c r="M1060" i="18" s="1"/>
  <c r="J1060" i="18"/>
  <c r="J1003" i="18"/>
  <c r="H1003" i="18"/>
  <c r="J925" i="18"/>
  <c r="H925" i="18"/>
  <c r="J343" i="18"/>
  <c r="H343" i="18"/>
  <c r="I343" i="18" s="1"/>
  <c r="M343" i="18" s="1"/>
  <c r="J386" i="18"/>
  <c r="H386" i="18"/>
  <c r="I386" i="18" s="1"/>
  <c r="L386" i="18" s="1"/>
  <c r="H996" i="18"/>
  <c r="I996" i="18" s="1"/>
  <c r="K996" i="18" s="1"/>
  <c r="J996" i="18"/>
  <c r="J429" i="18"/>
  <c r="H429" i="18"/>
  <c r="I429" i="18" s="1"/>
  <c r="L429" i="18" s="1"/>
  <c r="H1122" i="18"/>
  <c r="J1122" i="18"/>
  <c r="J1039" i="18"/>
  <c r="H1039" i="18"/>
  <c r="I1039" i="18" s="1"/>
  <c r="M1039" i="18" s="1"/>
  <c r="J1160" i="18"/>
  <c r="H1160" i="18"/>
  <c r="I1160" i="18" s="1"/>
  <c r="L1160" i="18" s="1"/>
  <c r="H187" i="18"/>
  <c r="I187" i="18" s="1"/>
  <c r="M187" i="18" s="1"/>
  <c r="J187" i="18"/>
  <c r="J131" i="18"/>
  <c r="H131" i="18"/>
  <c r="I131" i="18" s="1"/>
  <c r="K131" i="18" s="1"/>
  <c r="J141" i="18"/>
  <c r="H141" i="18"/>
  <c r="I141" i="18" s="1"/>
  <c r="K141" i="18" s="1"/>
  <c r="H303" i="18"/>
  <c r="I303" i="18" s="1"/>
  <c r="L303" i="18" s="1"/>
  <c r="J303" i="18"/>
  <c r="J1103" i="18"/>
  <c r="H1103" i="18"/>
  <c r="I1103" i="18" s="1"/>
  <c r="L1103" i="18" s="1"/>
  <c r="H1033" i="18"/>
  <c r="J1033" i="18"/>
  <c r="J992" i="18"/>
  <c r="H992" i="18"/>
  <c r="I992" i="18" s="1"/>
  <c r="L992" i="18" s="1"/>
  <c r="J892" i="18"/>
  <c r="H892" i="18"/>
  <c r="I892" i="18" s="1"/>
  <c r="M892" i="18" s="1"/>
  <c r="J1159" i="18"/>
  <c r="H1159" i="18"/>
  <c r="I1159" i="18" s="1"/>
  <c r="L1159" i="18" s="1"/>
  <c r="J210" i="18"/>
  <c r="H210" i="18"/>
  <c r="I210" i="18" s="1"/>
  <c r="L210" i="18" s="1"/>
  <c r="J286" i="18"/>
  <c r="H286" i="18"/>
  <c r="I286" i="18" s="1"/>
  <c r="L286" i="18" s="1"/>
  <c r="J1102" i="18"/>
  <c r="H1102" i="18"/>
  <c r="I1102" i="18" s="1"/>
  <c r="L1102" i="18" s="1"/>
  <c r="J1023" i="18"/>
  <c r="H1023" i="18"/>
  <c r="I1023" i="18" s="1"/>
  <c r="M1023" i="18" s="1"/>
  <c r="J990" i="18"/>
  <c r="H990" i="18"/>
  <c r="I990" i="18" s="1"/>
  <c r="M990" i="18" s="1"/>
  <c r="H890" i="18"/>
  <c r="I890" i="18" s="1"/>
  <c r="K890" i="18" s="1"/>
  <c r="J890" i="18"/>
  <c r="J1157" i="18"/>
  <c r="H1157" i="18"/>
  <c r="I1157" i="18" s="1"/>
  <c r="L1157" i="18" s="1"/>
  <c r="J178" i="18"/>
  <c r="H178" i="18"/>
  <c r="I178" i="18" s="1"/>
  <c r="M178" i="18" s="1"/>
  <c r="J126" i="18"/>
  <c r="H126" i="18"/>
  <c r="I126" i="18" s="1"/>
  <c r="M126" i="18" s="1"/>
  <c r="H134" i="18"/>
  <c r="I134" i="18" s="1"/>
  <c r="M134" i="18" s="1"/>
  <c r="J134" i="18"/>
  <c r="J144" i="18"/>
  <c r="H144" i="18"/>
  <c r="I144" i="18" s="1"/>
  <c r="M144" i="18" s="1"/>
  <c r="H194" i="18"/>
  <c r="I194" i="18" s="1"/>
  <c r="M194" i="18" s="1"/>
  <c r="J194" i="18"/>
  <c r="J279" i="18"/>
  <c r="H279" i="18"/>
  <c r="I279" i="18" s="1"/>
  <c r="L279" i="18" s="1"/>
  <c r="H1099" i="18"/>
  <c r="I1099" i="18" s="1"/>
  <c r="L1099" i="18" s="1"/>
  <c r="J1099" i="18"/>
  <c r="J1022" i="18"/>
  <c r="H1022" i="18"/>
  <c r="I1022" i="18" s="1"/>
  <c r="K1022" i="18" s="1"/>
  <c r="J988" i="18"/>
  <c r="H988" i="18"/>
  <c r="J882" i="18"/>
  <c r="H882" i="18"/>
  <c r="I882" i="18" s="1"/>
  <c r="L882" i="18" s="1"/>
  <c r="J1153" i="18"/>
  <c r="H1153" i="18"/>
  <c r="I1153" i="18" s="1"/>
  <c r="L1153" i="18" s="1"/>
  <c r="J259" i="18"/>
  <c r="H259" i="18"/>
  <c r="I259" i="18" s="1"/>
  <c r="L259" i="18" s="1"/>
  <c r="J351" i="18"/>
  <c r="H351" i="18"/>
  <c r="I351" i="18" s="1"/>
  <c r="K351" i="18" s="1"/>
  <c r="J546" i="18"/>
  <c r="H546" i="18"/>
  <c r="M28" i="18"/>
  <c r="L28" i="18"/>
  <c r="K28" i="18"/>
  <c r="M108" i="18"/>
  <c r="K108" i="18"/>
  <c r="L108" i="18"/>
  <c r="L135" i="18"/>
  <c r="K135" i="18"/>
  <c r="M135" i="18"/>
  <c r="M242" i="18"/>
  <c r="K242" i="18"/>
  <c r="L242" i="18"/>
  <c r="M323" i="18"/>
  <c r="K323" i="18"/>
  <c r="L323" i="18"/>
  <c r="K425" i="18"/>
  <c r="M425" i="18"/>
  <c r="L425" i="18"/>
  <c r="K494" i="18"/>
  <c r="M494" i="18"/>
  <c r="L494" i="18"/>
  <c r="K681" i="18"/>
  <c r="L681" i="18"/>
  <c r="M681" i="18"/>
  <c r="M844" i="18"/>
  <c r="L844" i="18"/>
  <c r="K844" i="18"/>
  <c r="M899" i="18"/>
  <c r="L899" i="18"/>
  <c r="K899" i="18"/>
  <c r="K952" i="18"/>
  <c r="M952" i="18"/>
  <c r="L952" i="18"/>
  <c r="M1013" i="18"/>
  <c r="L1013" i="18"/>
  <c r="K1013" i="18"/>
  <c r="L1067" i="18"/>
  <c r="M1067" i="18"/>
  <c r="K1067" i="18"/>
  <c r="L29" i="18"/>
  <c r="K29" i="18"/>
  <c r="M29" i="18"/>
  <c r="M109" i="18"/>
  <c r="K109" i="18"/>
  <c r="L109" i="18"/>
  <c r="M164" i="18"/>
  <c r="L164" i="18"/>
  <c r="K164" i="18"/>
  <c r="M280" i="18"/>
  <c r="K280" i="18"/>
  <c r="L280" i="18"/>
  <c r="M375" i="18"/>
  <c r="K375" i="18"/>
  <c r="L375" i="18"/>
  <c r="M496" i="18"/>
  <c r="K496" i="18"/>
  <c r="L496" i="18"/>
  <c r="M872" i="18"/>
  <c r="L872" i="18"/>
  <c r="K872" i="18"/>
  <c r="K1040" i="18"/>
  <c r="L1040" i="18"/>
  <c r="M1040" i="18"/>
  <c r="L166" i="18"/>
  <c r="M166" i="18"/>
  <c r="K166" i="18"/>
  <c r="M1041" i="18"/>
  <c r="L1041" i="18"/>
  <c r="K1041" i="18"/>
  <c r="L15" i="18"/>
  <c r="K15" i="18"/>
  <c r="M15" i="18"/>
  <c r="K70" i="18"/>
  <c r="M70" i="18"/>
  <c r="L70" i="18"/>
  <c r="M224" i="18"/>
  <c r="L224" i="18"/>
  <c r="K224" i="18"/>
  <c r="K264" i="18"/>
  <c r="M264" i="18"/>
  <c r="L264" i="18"/>
  <c r="K402" i="18"/>
  <c r="M402" i="18"/>
  <c r="L402" i="18"/>
  <c r="K501" i="18"/>
  <c r="M501" i="18"/>
  <c r="L501" i="18"/>
  <c r="M850" i="18"/>
  <c r="L850" i="18"/>
  <c r="K850" i="18"/>
  <c r="K73" i="18"/>
  <c r="M73" i="18"/>
  <c r="L73" i="18"/>
  <c r="M246" i="18"/>
  <c r="K246" i="18"/>
  <c r="L246" i="18"/>
  <c r="M433" i="18"/>
  <c r="L433" i="18"/>
  <c r="K433" i="18"/>
  <c r="M504" i="18"/>
  <c r="L504" i="18"/>
  <c r="K504" i="18"/>
  <c r="K852" i="18"/>
  <c r="M852" i="18"/>
  <c r="L852" i="18"/>
  <c r="L1125" i="18"/>
  <c r="K1125" i="18"/>
  <c r="M1125" i="18"/>
  <c r="L53" i="18"/>
  <c r="K53" i="18"/>
  <c r="M53" i="18"/>
  <c r="K100" i="18"/>
  <c r="L100" i="18"/>
  <c r="M100" i="18"/>
  <c r="L168" i="18"/>
  <c r="M168" i="18"/>
  <c r="K168" i="18"/>
  <c r="M247" i="18"/>
  <c r="L247" i="18"/>
  <c r="K247" i="18"/>
  <c r="M284" i="18"/>
  <c r="L284" i="18"/>
  <c r="K284" i="18"/>
  <c r="M337" i="18"/>
  <c r="L337" i="18"/>
  <c r="K337" i="18"/>
  <c r="M434" i="18"/>
  <c r="L434" i="18"/>
  <c r="K434" i="18"/>
  <c r="L507" i="18"/>
  <c r="M507" i="18"/>
  <c r="K507" i="18"/>
  <c r="M734" i="18"/>
  <c r="K734" i="18"/>
  <c r="L734" i="18"/>
  <c r="K1126" i="18"/>
  <c r="M1126" i="18"/>
  <c r="L1126" i="18"/>
  <c r="K270" i="18"/>
  <c r="M270" i="18"/>
  <c r="L270" i="18"/>
  <c r="M744" i="18"/>
  <c r="L744" i="18"/>
  <c r="K744" i="18"/>
  <c r="M35" i="18"/>
  <c r="L35" i="18"/>
  <c r="K35" i="18"/>
  <c r="L119" i="18"/>
  <c r="M119" i="18"/>
  <c r="K119" i="18"/>
  <c r="M367" i="18"/>
  <c r="L367" i="18"/>
  <c r="K367" i="18"/>
  <c r="M412" i="18"/>
  <c r="L412" i="18"/>
  <c r="K412" i="18"/>
  <c r="M476" i="18"/>
  <c r="K476" i="18"/>
  <c r="L476" i="18"/>
  <c r="L755" i="18"/>
  <c r="M755" i="18"/>
  <c r="K755" i="18"/>
  <c r="K937" i="18"/>
  <c r="L937" i="18"/>
  <c r="M937" i="18"/>
  <c r="M1084" i="18"/>
  <c r="K1084" i="18"/>
  <c r="L1084" i="18"/>
  <c r="M1129" i="18"/>
  <c r="K1129" i="18"/>
  <c r="L1129" i="18"/>
  <c r="M22" i="18"/>
  <c r="K22" i="18"/>
  <c r="L22" i="18"/>
  <c r="L36" i="18"/>
  <c r="M36" i="18"/>
  <c r="K36" i="18"/>
  <c r="M58" i="18"/>
  <c r="K58" i="18"/>
  <c r="L58" i="18"/>
  <c r="K122" i="18"/>
  <c r="L122" i="18"/>
  <c r="M122" i="18"/>
  <c r="L149" i="18"/>
  <c r="K149" i="18"/>
  <c r="M149" i="18"/>
  <c r="K173" i="18"/>
  <c r="L173" i="18"/>
  <c r="M173" i="18"/>
  <c r="K231" i="18"/>
  <c r="M231" i="18"/>
  <c r="L231" i="18"/>
  <c r="L252" i="18"/>
  <c r="K252" i="18"/>
  <c r="M252" i="18"/>
  <c r="M294" i="18"/>
  <c r="L294" i="18"/>
  <c r="K294" i="18"/>
  <c r="L319" i="18"/>
  <c r="K319" i="18"/>
  <c r="M319" i="18"/>
  <c r="M340" i="18"/>
  <c r="L340" i="18"/>
  <c r="K340" i="18"/>
  <c r="L368" i="18"/>
  <c r="K368" i="18"/>
  <c r="M368" i="18"/>
  <c r="M389" i="18"/>
  <c r="L389" i="18"/>
  <c r="K389" i="18"/>
  <c r="K439" i="18"/>
  <c r="L439" i="18"/>
  <c r="M439" i="18"/>
  <c r="M453" i="18"/>
  <c r="L453" i="18"/>
  <c r="K453" i="18"/>
  <c r="K479" i="18"/>
  <c r="M479" i="18"/>
  <c r="L479" i="18"/>
  <c r="K636" i="18"/>
  <c r="M636" i="18"/>
  <c r="L636" i="18"/>
  <c r="M765" i="18"/>
  <c r="L765" i="18"/>
  <c r="K765" i="18"/>
  <c r="M836" i="18"/>
  <c r="L836" i="18"/>
  <c r="K836" i="18"/>
  <c r="L862" i="18"/>
  <c r="M862" i="18"/>
  <c r="K862" i="18"/>
  <c r="L886" i="18"/>
  <c r="K886" i="18"/>
  <c r="M886" i="18"/>
  <c r="M976" i="18"/>
  <c r="K976" i="18"/>
  <c r="L976" i="18"/>
  <c r="M1059" i="18"/>
  <c r="L1059" i="18"/>
  <c r="K1059" i="18"/>
  <c r="K1085" i="18"/>
  <c r="M1085" i="18"/>
  <c r="L1085" i="18"/>
  <c r="L12" i="18"/>
  <c r="K12" i="18"/>
  <c r="M12" i="18"/>
  <c r="M214" i="18"/>
  <c r="K214" i="18"/>
  <c r="L214" i="18"/>
  <c r="L300" i="18"/>
  <c r="M300" i="18"/>
  <c r="K300" i="18"/>
  <c r="M350" i="18"/>
  <c r="L350" i="18"/>
  <c r="K350" i="18"/>
  <c r="M395" i="18"/>
  <c r="K395" i="18"/>
  <c r="L395" i="18"/>
  <c r="K443" i="18"/>
  <c r="L443" i="18"/>
  <c r="M443" i="18"/>
  <c r="M590" i="18"/>
  <c r="K590" i="18"/>
  <c r="L590" i="18"/>
  <c r="M800" i="18"/>
  <c r="L800" i="18"/>
  <c r="K800" i="18"/>
  <c r="K870" i="18"/>
  <c r="L870" i="18"/>
  <c r="M870" i="18"/>
  <c r="L923" i="18"/>
  <c r="K923" i="18"/>
  <c r="M923" i="18"/>
  <c r="M690" i="18"/>
  <c r="K690" i="18"/>
  <c r="L690" i="18"/>
  <c r="K1068" i="18"/>
  <c r="M1068" i="18"/>
  <c r="L1068" i="18"/>
  <c r="K1069" i="18"/>
  <c r="M1069" i="18"/>
  <c r="L1069" i="18"/>
  <c r="L31" i="18"/>
  <c r="K31" i="18"/>
  <c r="M31" i="18"/>
  <c r="M245" i="18"/>
  <c r="L245" i="18"/>
  <c r="K245" i="18"/>
  <c r="M282" i="18"/>
  <c r="K282" i="18"/>
  <c r="L282" i="18"/>
  <c r="L876" i="18"/>
  <c r="M876" i="18"/>
  <c r="K876" i="18"/>
  <c r="M929" i="18"/>
  <c r="L929" i="18"/>
  <c r="K929" i="18"/>
  <c r="M1045" i="18"/>
  <c r="K1045" i="18"/>
  <c r="L1045" i="18"/>
  <c r="M32" i="18"/>
  <c r="L32" i="18"/>
  <c r="K32" i="18"/>
  <c r="M112" i="18"/>
  <c r="L112" i="18"/>
  <c r="K112" i="18"/>
  <c r="M309" i="18"/>
  <c r="L309" i="18"/>
  <c r="K309" i="18"/>
  <c r="M598" i="18"/>
  <c r="L598" i="18"/>
  <c r="K598" i="18"/>
  <c r="L1046" i="18"/>
  <c r="K1046" i="18"/>
  <c r="M1046" i="18"/>
  <c r="M33" i="18"/>
  <c r="L33" i="18"/>
  <c r="K33" i="18"/>
  <c r="L74" i="18"/>
  <c r="K74" i="18"/>
  <c r="M74" i="18"/>
  <c r="M115" i="18"/>
  <c r="L115" i="18"/>
  <c r="K115" i="18"/>
  <c r="L226" i="18"/>
  <c r="K226" i="18"/>
  <c r="M226" i="18"/>
  <c r="L269" i="18"/>
  <c r="K269" i="18"/>
  <c r="M269" i="18"/>
  <c r="L310" i="18"/>
  <c r="K310" i="18"/>
  <c r="M310" i="18"/>
  <c r="K363" i="18"/>
  <c r="M363" i="18"/>
  <c r="L363" i="18"/>
  <c r="M600" i="18"/>
  <c r="L600" i="18"/>
  <c r="K600" i="18"/>
  <c r="M830" i="18"/>
  <c r="L830" i="18"/>
  <c r="K830" i="18"/>
  <c r="M1047" i="18"/>
  <c r="L1047" i="18"/>
  <c r="K1047" i="18"/>
  <c r="M20" i="18"/>
  <c r="K20" i="18"/>
  <c r="L20" i="18"/>
  <c r="M170" i="18"/>
  <c r="K170" i="18"/>
  <c r="L170" i="18"/>
  <c r="L80" i="18"/>
  <c r="M80" i="18"/>
  <c r="K80" i="18"/>
  <c r="M172" i="18"/>
  <c r="L172" i="18"/>
  <c r="K172" i="18"/>
  <c r="M271" i="18"/>
  <c r="L271" i="18"/>
  <c r="K271" i="18"/>
  <c r="M339" i="18"/>
  <c r="L339" i="18"/>
  <c r="K339" i="18"/>
  <c r="K621" i="18"/>
  <c r="M621" i="18"/>
  <c r="L621" i="18"/>
  <c r="K834" i="18"/>
  <c r="M834" i="18"/>
  <c r="L834" i="18"/>
  <c r="K884" i="18"/>
  <c r="L884" i="18"/>
  <c r="M884" i="18"/>
  <c r="K1055" i="18"/>
  <c r="L1055" i="18"/>
  <c r="M1055" i="18"/>
  <c r="K59" i="18"/>
  <c r="M59" i="18"/>
  <c r="L59" i="18"/>
  <c r="L123" i="18"/>
  <c r="M123" i="18"/>
  <c r="K123" i="18"/>
  <c r="K161" i="18"/>
  <c r="M161" i="18"/>
  <c r="L161" i="18"/>
  <c r="M174" i="18"/>
  <c r="L174" i="18"/>
  <c r="K174" i="18"/>
  <c r="K193" i="18"/>
  <c r="L193" i="18"/>
  <c r="M193" i="18"/>
  <c r="L234" i="18"/>
  <c r="M234" i="18"/>
  <c r="K234" i="18"/>
  <c r="L253" i="18"/>
  <c r="M253" i="18"/>
  <c r="K253" i="18"/>
  <c r="L273" i="18"/>
  <c r="M273" i="18"/>
  <c r="K273" i="18"/>
  <c r="K295" i="18"/>
  <c r="M295" i="18"/>
  <c r="L295" i="18"/>
  <c r="M320" i="18"/>
  <c r="K320" i="18"/>
  <c r="L320" i="18"/>
  <c r="L369" i="18"/>
  <c r="M369" i="18"/>
  <c r="K369" i="18"/>
  <c r="L418" i="18"/>
  <c r="M418" i="18"/>
  <c r="K418" i="18"/>
  <c r="M440" i="18"/>
  <c r="K440" i="18"/>
  <c r="L440" i="18"/>
  <c r="L454" i="18"/>
  <c r="K454" i="18"/>
  <c r="M454" i="18"/>
  <c r="K486" i="18"/>
  <c r="M486" i="18"/>
  <c r="L486" i="18"/>
  <c r="M565" i="18"/>
  <c r="L565" i="18"/>
  <c r="K565" i="18"/>
  <c r="L663" i="18"/>
  <c r="M663" i="18"/>
  <c r="K663" i="18"/>
  <c r="M838" i="18"/>
  <c r="L838" i="18"/>
  <c r="K838" i="18"/>
  <c r="M864" i="18"/>
  <c r="L864" i="18"/>
  <c r="K864" i="18"/>
  <c r="M888" i="18"/>
  <c r="K888" i="18"/>
  <c r="L888" i="18"/>
  <c r="M911" i="18"/>
  <c r="L911" i="18"/>
  <c r="K911" i="18"/>
  <c r="K946" i="18"/>
  <c r="M946" i="18"/>
  <c r="L946" i="18"/>
  <c r="M984" i="18"/>
  <c r="L984" i="18"/>
  <c r="K984" i="18"/>
  <c r="K1010" i="18"/>
  <c r="M1010" i="18"/>
  <c r="L1010" i="18"/>
  <c r="M1086" i="18"/>
  <c r="L1086" i="18"/>
  <c r="K1086" i="18"/>
  <c r="K1106" i="18"/>
  <c r="M1106" i="18"/>
  <c r="L1106" i="18"/>
  <c r="L1111" i="18"/>
  <c r="M1111" i="18"/>
  <c r="K1111" i="18"/>
  <c r="L136" i="18"/>
  <c r="M136" i="18"/>
  <c r="K136" i="18"/>
  <c r="K260" i="18"/>
  <c r="L260" i="18"/>
  <c r="M260" i="18"/>
  <c r="M592" i="18"/>
  <c r="L592" i="18"/>
  <c r="K592" i="18"/>
  <c r="L846" i="18"/>
  <c r="M846" i="18"/>
  <c r="K846" i="18"/>
  <c r="M954" i="18"/>
  <c r="L954" i="18"/>
  <c r="K954" i="18"/>
  <c r="K1014" i="18"/>
  <c r="M1014" i="18"/>
  <c r="L1014" i="18"/>
  <c r="M1112" i="18"/>
  <c r="L1112" i="18"/>
  <c r="K1112" i="18"/>
  <c r="L14" i="18"/>
  <c r="K14" i="18"/>
  <c r="M14" i="18"/>
  <c r="M50" i="18"/>
  <c r="L50" i="18"/>
  <c r="K50" i="18"/>
  <c r="M95" i="18"/>
  <c r="L95" i="18"/>
  <c r="K95" i="18"/>
  <c r="M305" i="18"/>
  <c r="L305" i="18"/>
  <c r="K305" i="18"/>
  <c r="L399" i="18"/>
  <c r="M399" i="18"/>
  <c r="K399" i="18"/>
  <c r="K594" i="18"/>
  <c r="L594" i="18"/>
  <c r="M594" i="18"/>
  <c r="L812" i="18"/>
  <c r="K812" i="18"/>
  <c r="M812" i="18"/>
  <c r="L874" i="18"/>
  <c r="K874" i="18"/>
  <c r="M874" i="18"/>
  <c r="L994" i="18"/>
  <c r="M994" i="18"/>
  <c r="K994" i="18"/>
  <c r="L1117" i="18"/>
  <c r="L1119" i="18" s="1"/>
  <c r="K1117" i="18"/>
  <c r="K1119" i="18" s="1"/>
  <c r="M1117" i="18"/>
  <c r="M1119" i="18" s="1"/>
  <c r="M51" i="18"/>
  <c r="L51" i="18"/>
  <c r="K51" i="18"/>
  <c r="L359" i="18"/>
  <c r="K359" i="18"/>
  <c r="M359" i="18"/>
  <c r="L596" i="18"/>
  <c r="M596" i="18"/>
  <c r="K596" i="18"/>
  <c r="M16" i="18"/>
  <c r="L16" i="18"/>
  <c r="K16" i="18"/>
  <c r="L99" i="18"/>
  <c r="K99" i="18"/>
  <c r="M99" i="18"/>
  <c r="M268" i="18"/>
  <c r="L268" i="18"/>
  <c r="K268" i="18"/>
  <c r="K405" i="18"/>
  <c r="M405" i="18"/>
  <c r="L405" i="18"/>
  <c r="L828" i="18"/>
  <c r="M828" i="18"/>
  <c r="K828" i="18"/>
  <c r="K931" i="18"/>
  <c r="L931" i="18"/>
  <c r="M931" i="18"/>
  <c r="M1017" i="18"/>
  <c r="L1017" i="18"/>
  <c r="K1017" i="18"/>
  <c r="M1073" i="18"/>
  <c r="L1073" i="18"/>
  <c r="K1073" i="18"/>
  <c r="M448" i="18"/>
  <c r="L448" i="18"/>
  <c r="K448" i="18"/>
  <c r="M933" i="18"/>
  <c r="L933" i="18"/>
  <c r="K933" i="18"/>
  <c r="M54" i="18"/>
  <c r="K54" i="18"/>
  <c r="L54" i="18"/>
  <c r="M77" i="18"/>
  <c r="K77" i="18"/>
  <c r="L77" i="18"/>
  <c r="M118" i="18"/>
  <c r="L118" i="18"/>
  <c r="K118" i="18"/>
  <c r="L184" i="18"/>
  <c r="M184" i="18"/>
  <c r="K184" i="18"/>
  <c r="M248" i="18"/>
  <c r="L248" i="18"/>
  <c r="K248" i="18"/>
  <c r="M313" i="18"/>
  <c r="L313" i="18"/>
  <c r="K313" i="18"/>
  <c r="L385" i="18"/>
  <c r="M385" i="18"/>
  <c r="K385" i="18"/>
  <c r="K473" i="18"/>
  <c r="M473" i="18"/>
  <c r="L473" i="18"/>
  <c r="M606" i="18"/>
  <c r="L606" i="18"/>
  <c r="K606" i="18"/>
  <c r="L1051" i="18"/>
  <c r="M1051" i="18"/>
  <c r="K1051" i="18"/>
  <c r="M55" i="18"/>
  <c r="K55" i="18"/>
  <c r="L55" i="18"/>
  <c r="L291" i="18"/>
  <c r="K291" i="18"/>
  <c r="M291" i="18"/>
  <c r="M26" i="18"/>
  <c r="L26" i="18"/>
  <c r="K26" i="18"/>
  <c r="M40" i="18"/>
  <c r="K40" i="18"/>
  <c r="L40" i="18"/>
  <c r="K87" i="18"/>
  <c r="L87" i="18"/>
  <c r="M87" i="18"/>
  <c r="L106" i="18"/>
  <c r="K106" i="18"/>
  <c r="M106" i="18"/>
  <c r="L162" i="18"/>
  <c r="M162" i="18"/>
  <c r="K162" i="18"/>
  <c r="L175" i="18"/>
  <c r="M175" i="18"/>
  <c r="K175" i="18"/>
  <c r="K235" i="18"/>
  <c r="M235" i="18"/>
  <c r="L235" i="18"/>
  <c r="M254" i="18"/>
  <c r="K254" i="18"/>
  <c r="L254" i="18"/>
  <c r="M296" i="18"/>
  <c r="K296" i="18"/>
  <c r="L296" i="18"/>
  <c r="M346" i="18"/>
  <c r="L346" i="18"/>
  <c r="K346" i="18"/>
  <c r="M370" i="18"/>
  <c r="L370" i="18"/>
  <c r="K370" i="18"/>
  <c r="L393" i="18"/>
  <c r="K393" i="18"/>
  <c r="M393" i="18"/>
  <c r="M421" i="18"/>
  <c r="L421" i="18"/>
  <c r="K421" i="18"/>
  <c r="L488" i="18"/>
  <c r="M488" i="18"/>
  <c r="K488" i="18"/>
  <c r="L671" i="18"/>
  <c r="M671" i="18"/>
  <c r="K671" i="18"/>
  <c r="L789" i="18"/>
  <c r="M789" i="18"/>
  <c r="K789" i="18"/>
  <c r="M840" i="18"/>
  <c r="L840" i="18"/>
  <c r="K840" i="18"/>
  <c r="L948" i="18"/>
  <c r="K948" i="18"/>
  <c r="M948" i="18"/>
  <c r="L986" i="18"/>
  <c r="K986" i="18"/>
  <c r="M986" i="18"/>
  <c r="L1034" i="18"/>
  <c r="M1034" i="18"/>
  <c r="K1034" i="18"/>
  <c r="M1062" i="18"/>
  <c r="K1062" i="18"/>
  <c r="L1062" i="18"/>
  <c r="L1087" i="18"/>
  <c r="K1087" i="18"/>
  <c r="M1087" i="18"/>
  <c r="M1107" i="18"/>
  <c r="L1107" i="18"/>
  <c r="K1107" i="18"/>
  <c r="L1091" i="18"/>
  <c r="K1091" i="18"/>
  <c r="M1091" i="18"/>
  <c r="L13" i="18"/>
  <c r="M13" i="18"/>
  <c r="K13" i="18"/>
  <c r="M94" i="18"/>
  <c r="L94" i="18"/>
  <c r="K94" i="18"/>
  <c r="L215" i="18"/>
  <c r="M215" i="18"/>
  <c r="K215" i="18"/>
  <c r="M304" i="18"/>
  <c r="L304" i="18"/>
  <c r="K304" i="18"/>
  <c r="L426" i="18"/>
  <c r="K426" i="18"/>
  <c r="M426" i="18"/>
  <c r="M900" i="18"/>
  <c r="L900" i="18"/>
  <c r="K900" i="18"/>
  <c r="M30" i="18"/>
  <c r="K30" i="18"/>
  <c r="L30" i="18"/>
  <c r="K69" i="18"/>
  <c r="M69" i="18"/>
  <c r="L69" i="18"/>
  <c r="L244" i="18"/>
  <c r="M244" i="18"/>
  <c r="K244" i="18"/>
  <c r="K281" i="18"/>
  <c r="M281" i="18"/>
  <c r="L281" i="18"/>
  <c r="M329" i="18"/>
  <c r="K329" i="18"/>
  <c r="L329" i="18"/>
  <c r="M376" i="18"/>
  <c r="L376" i="18"/>
  <c r="K376" i="18"/>
  <c r="M498" i="18"/>
  <c r="K498" i="18"/>
  <c r="L498" i="18"/>
  <c r="L700" i="18"/>
  <c r="M700" i="18"/>
  <c r="K700" i="18"/>
  <c r="M902" i="18"/>
  <c r="L902" i="18"/>
  <c r="K902" i="18"/>
  <c r="M1015" i="18"/>
  <c r="L1015" i="18"/>
  <c r="K1015" i="18"/>
  <c r="M306" i="18"/>
  <c r="L306" i="18"/>
  <c r="K306" i="18"/>
  <c r="K711" i="18"/>
  <c r="M711" i="18"/>
  <c r="L711" i="18"/>
  <c r="M1016" i="18"/>
  <c r="L1016" i="18"/>
  <c r="K1016" i="18"/>
  <c r="K52" i="18"/>
  <c r="M52" i="18"/>
  <c r="L52" i="18"/>
  <c r="L225" i="18"/>
  <c r="K225" i="18"/>
  <c r="M225" i="18"/>
  <c r="M283" i="18"/>
  <c r="L283" i="18"/>
  <c r="K283" i="18"/>
  <c r="L721" i="18"/>
  <c r="K721" i="18"/>
  <c r="M721" i="18"/>
  <c r="M878" i="18"/>
  <c r="L878" i="18"/>
  <c r="K878" i="18"/>
  <c r="K966" i="18"/>
  <c r="M966" i="18"/>
  <c r="L966" i="18"/>
  <c r="K1097" i="18"/>
  <c r="L1097" i="18"/>
  <c r="M1097" i="18"/>
  <c r="M384" i="18"/>
  <c r="K384" i="18"/>
  <c r="L384" i="18"/>
  <c r="K880" i="18"/>
  <c r="L880" i="18"/>
  <c r="M880" i="18"/>
  <c r="M6" i="18"/>
  <c r="K6" i="18"/>
  <c r="L6" i="18"/>
  <c r="M34" i="18"/>
  <c r="L34" i="18"/>
  <c r="K34" i="18"/>
  <c r="M139" i="18"/>
  <c r="K139" i="18"/>
  <c r="L139" i="18"/>
  <c r="L227" i="18"/>
  <c r="K227" i="18"/>
  <c r="M227" i="18"/>
  <c r="L364" i="18"/>
  <c r="M364" i="18"/>
  <c r="K364" i="18"/>
  <c r="M411" i="18"/>
  <c r="L411" i="18"/>
  <c r="K411" i="18"/>
  <c r="M449" i="18"/>
  <c r="L449" i="18"/>
  <c r="K449" i="18"/>
  <c r="M515" i="18"/>
  <c r="L515" i="18"/>
  <c r="K515" i="18"/>
  <c r="L935" i="18"/>
  <c r="M935" i="18"/>
  <c r="K935" i="18"/>
  <c r="L1127" i="18"/>
  <c r="M1127" i="18"/>
  <c r="K1127" i="18"/>
  <c r="L21" i="18"/>
  <c r="M21" i="18"/>
  <c r="K21" i="18"/>
  <c r="K140" i="18"/>
  <c r="M140" i="18"/>
  <c r="L140" i="18"/>
  <c r="L316" i="18"/>
  <c r="M316" i="18"/>
  <c r="K316" i="18"/>
  <c r="K529" i="18"/>
  <c r="M529" i="18"/>
  <c r="L529" i="18"/>
  <c r="M11" i="18"/>
  <c r="L11" i="18"/>
  <c r="K11" i="18"/>
  <c r="M27" i="18"/>
  <c r="K27" i="18"/>
  <c r="L27" i="18"/>
  <c r="M90" i="18"/>
  <c r="L90" i="18"/>
  <c r="K90" i="18"/>
  <c r="L107" i="18"/>
  <c r="K107" i="18"/>
  <c r="M107" i="18"/>
  <c r="M213" i="18"/>
  <c r="L213" i="18"/>
  <c r="K213" i="18"/>
  <c r="M238" i="18"/>
  <c r="L238" i="18"/>
  <c r="K238" i="18"/>
  <c r="L258" i="18"/>
  <c r="M258" i="18"/>
  <c r="K258" i="18"/>
  <c r="M275" i="18"/>
  <c r="K275" i="18"/>
  <c r="L275" i="18"/>
  <c r="M299" i="18"/>
  <c r="L299" i="18"/>
  <c r="K299" i="18"/>
  <c r="M322" i="18"/>
  <c r="L322" i="18"/>
  <c r="K322" i="18"/>
  <c r="L371" i="18"/>
  <c r="M371" i="18"/>
  <c r="K371" i="18"/>
  <c r="L422" i="18"/>
  <c r="K422" i="18"/>
  <c r="M422" i="18"/>
  <c r="M442" i="18"/>
  <c r="L442" i="18"/>
  <c r="K442" i="18"/>
  <c r="K492" i="18"/>
  <c r="M492" i="18"/>
  <c r="L492" i="18"/>
  <c r="K588" i="18"/>
  <c r="L588" i="18"/>
  <c r="M588" i="18"/>
  <c r="M675" i="18"/>
  <c r="L675" i="18"/>
  <c r="K675" i="18"/>
  <c r="M794" i="18"/>
  <c r="K794" i="18"/>
  <c r="L794" i="18"/>
  <c r="L842" i="18"/>
  <c r="M842" i="18"/>
  <c r="K842" i="18"/>
  <c r="K868" i="18"/>
  <c r="M868" i="18"/>
  <c r="L868" i="18"/>
  <c r="L915" i="18"/>
  <c r="M915" i="18"/>
  <c r="K915" i="18"/>
  <c r="L950" i="18"/>
  <c r="M950" i="18"/>
  <c r="K950" i="18"/>
  <c r="K1012" i="18"/>
  <c r="L1012" i="18"/>
  <c r="M1012" i="18"/>
  <c r="M1035" i="18"/>
  <c r="K1035" i="18"/>
  <c r="L1035" i="18"/>
  <c r="M1063" i="18"/>
  <c r="K1063" i="18"/>
  <c r="L1063" i="18"/>
  <c r="M1088" i="18"/>
  <c r="L1088" i="18"/>
  <c r="K1088" i="18"/>
  <c r="L1108" i="18"/>
  <c r="K1108" i="18"/>
  <c r="M1108" i="18"/>
  <c r="F509" i="18"/>
  <c r="F217" i="18"/>
  <c r="F481" i="18"/>
  <c r="F200" i="18"/>
  <c r="F456" i="18"/>
  <c r="F694" i="26"/>
  <c r="G905" i="18" s="1"/>
  <c r="F679" i="26"/>
  <c r="G858" i="18" s="1"/>
  <c r="F477" i="26"/>
  <c r="G333" i="18" s="1"/>
  <c r="F669" i="26"/>
  <c r="G848" i="18" s="1"/>
  <c r="F594" i="26"/>
  <c r="G444" i="18" s="1"/>
  <c r="F484" i="26"/>
  <c r="G336" i="18" s="1"/>
  <c r="F538" i="26"/>
  <c r="G381" i="18" s="1"/>
  <c r="F131" i="26"/>
  <c r="G49" i="18" s="1"/>
  <c r="F525" i="26"/>
  <c r="G374" i="18" s="1"/>
  <c r="F308" i="26"/>
  <c r="G198" i="18" s="1"/>
  <c r="F570" i="26"/>
  <c r="G398" i="18" s="1"/>
  <c r="F121" i="26"/>
  <c r="G46" i="18" s="1"/>
  <c r="E612" i="26"/>
  <c r="F612" i="26" s="1"/>
  <c r="F513" i="26"/>
  <c r="G355" i="18" s="1"/>
  <c r="F207" i="26"/>
  <c r="G91" i="18" s="1"/>
  <c r="F324" i="26"/>
  <c r="E606" i="26" s="1"/>
  <c r="F606" i="26" s="1"/>
  <c r="F608" i="26" s="1"/>
  <c r="G461" i="18" s="1"/>
  <c r="F392" i="26"/>
  <c r="G230" i="18" s="1"/>
  <c r="F246" i="26"/>
  <c r="G111" i="18" s="1"/>
  <c r="F602" i="26"/>
  <c r="G450" i="18" s="1"/>
  <c r="F47" i="26"/>
  <c r="G9" i="18" s="1"/>
  <c r="F150" i="26"/>
  <c r="G64" i="18" s="1"/>
  <c r="F646" i="26"/>
  <c r="G470" i="18" s="1"/>
  <c r="F630" i="26"/>
  <c r="G467" i="18" s="1"/>
  <c r="F224" i="26"/>
  <c r="G102" i="18" s="1"/>
  <c r="F113" i="26"/>
  <c r="G43" i="18" s="1"/>
  <c r="F436" i="26"/>
  <c r="G249" i="18" s="1"/>
  <c r="F80" i="26"/>
  <c r="G23" i="18" s="1"/>
  <c r="F145" i="26"/>
  <c r="G63" i="18" s="1"/>
  <c r="F553" i="26"/>
  <c r="G390" i="18" s="1"/>
  <c r="F195" i="26"/>
  <c r="G83" i="18" s="1"/>
  <c r="F499" i="26"/>
  <c r="G349" i="18" s="1"/>
  <c r="F26" i="26"/>
  <c r="G7" i="18" s="1"/>
  <c r="F564" i="26"/>
  <c r="G394" i="18" s="1"/>
  <c r="F186" i="26"/>
  <c r="G66" i="18" s="1"/>
  <c r="F530" i="26"/>
  <c r="G377" i="18" s="1"/>
  <c r="F239" i="26"/>
  <c r="G110" i="18" s="1"/>
  <c r="F380" i="26"/>
  <c r="G223" i="18" s="1"/>
  <c r="F179" i="26"/>
  <c r="G65" i="18" s="1"/>
  <c r="F357" i="26"/>
  <c r="F35" i="26"/>
  <c r="G8" i="18" s="1"/>
  <c r="F419" i="26"/>
  <c r="G243" i="18" s="1"/>
  <c r="H914" i="18" l="1"/>
  <c r="I914" i="18" s="1"/>
  <c r="K914" i="18" s="1"/>
  <c r="L856" i="18"/>
  <c r="M856" i="18"/>
  <c r="J905" i="18"/>
  <c r="H905" i="18"/>
  <c r="I905" i="18" s="1"/>
  <c r="F1146" i="18"/>
  <c r="N174" i="18"/>
  <c r="M128" i="18"/>
  <c r="N128" i="18" s="1"/>
  <c r="N1091" i="18"/>
  <c r="N418" i="18"/>
  <c r="N1127" i="18"/>
  <c r="K1153" i="18"/>
  <c r="N316" i="18"/>
  <c r="M445" i="18"/>
  <c r="L10" i="18"/>
  <c r="M10" i="18"/>
  <c r="N904" i="18"/>
  <c r="L866" i="18"/>
  <c r="J941" i="18"/>
  <c r="K1154" i="18"/>
  <c r="M1159" i="18"/>
  <c r="N1159" i="18" s="1"/>
  <c r="N175" i="18"/>
  <c r="L141" i="18"/>
  <c r="L656" i="18"/>
  <c r="L1134" i="18" s="1"/>
  <c r="M656" i="18"/>
  <c r="M1134" i="18" s="1"/>
  <c r="M141" i="18"/>
  <c r="N13" i="18"/>
  <c r="M1153" i="18"/>
  <c r="N1153" i="18" s="1"/>
  <c r="N903" i="18"/>
  <c r="K656" i="18"/>
  <c r="K1134" i="18" s="1"/>
  <c r="L854" i="18"/>
  <c r="M854" i="18"/>
  <c r="L776" i="18"/>
  <c r="L1135" i="18" s="1"/>
  <c r="F1134" i="18"/>
  <c r="M1146" i="18"/>
  <c r="M866" i="18"/>
  <c r="K1146" i="18"/>
  <c r="M303" i="18"/>
  <c r="N303" i="18" s="1"/>
  <c r="L415" i="18"/>
  <c r="M441" i="18"/>
  <c r="N441" i="18" s="1"/>
  <c r="M956" i="18"/>
  <c r="M1140" i="18" s="1"/>
  <c r="L182" i="18"/>
  <c r="N182" i="18" s="1"/>
  <c r="L185" i="18"/>
  <c r="N185" i="18" s="1"/>
  <c r="K1071" i="18"/>
  <c r="M776" i="18"/>
  <c r="M1135" i="18" s="1"/>
  <c r="L1146" i="18"/>
  <c r="K441" i="18"/>
  <c r="F1135" i="18"/>
  <c r="L956" i="18"/>
  <c r="L1140" i="18" s="1"/>
  <c r="K182" i="18"/>
  <c r="M1154" i="18"/>
  <c r="N1154" i="18" s="1"/>
  <c r="K1159" i="18"/>
  <c r="K956" i="18"/>
  <c r="K1140" i="18" s="1"/>
  <c r="K1075" i="18"/>
  <c r="L445" i="18"/>
  <c r="F1140" i="18"/>
  <c r="M415" i="18"/>
  <c r="N1051" i="18"/>
  <c r="N313" i="18"/>
  <c r="K776" i="18"/>
  <c r="K1135" i="18" s="1"/>
  <c r="M138" i="18"/>
  <c r="K303" i="18"/>
  <c r="L154" i="18"/>
  <c r="N154" i="18" s="1"/>
  <c r="K145" i="18"/>
  <c r="N439" i="18"/>
  <c r="M145" i="18"/>
  <c r="N145" i="18" s="1"/>
  <c r="K1077" i="18"/>
  <c r="K189" i="18"/>
  <c r="N368" i="18"/>
  <c r="N252" i="18"/>
  <c r="N1111" i="18"/>
  <c r="N70" i="18"/>
  <c r="C12" i="27"/>
  <c r="C13" i="27"/>
  <c r="C11" i="27"/>
  <c r="C14" i="27"/>
  <c r="C10" i="27"/>
  <c r="C16" i="27"/>
  <c r="M127" i="18"/>
  <c r="N127" i="18" s="1"/>
  <c r="L1077" i="18"/>
  <c r="N1077" i="18" s="1"/>
  <c r="L192" i="18"/>
  <c r="N192" i="18" s="1"/>
  <c r="L163" i="18"/>
  <c r="N163" i="18" s="1"/>
  <c r="L805" i="18"/>
  <c r="M321" i="18"/>
  <c r="N321" i="18" s="1"/>
  <c r="K210" i="18"/>
  <c r="K163" i="18"/>
  <c r="M805" i="18"/>
  <c r="K321" i="18"/>
  <c r="L1039" i="18"/>
  <c r="N1039" i="18" s="1"/>
  <c r="K185" i="18"/>
  <c r="K154" i="18"/>
  <c r="N443" i="18"/>
  <c r="N755" i="18"/>
  <c r="N100" i="18"/>
  <c r="M290" i="18"/>
  <c r="N290" i="18" s="1"/>
  <c r="N12" i="18"/>
  <c r="L438" i="18"/>
  <c r="N438" i="18" s="1"/>
  <c r="K447" i="18"/>
  <c r="K1099" i="18"/>
  <c r="N454" i="18"/>
  <c r="M150" i="18"/>
  <c r="M447" i="18"/>
  <c r="N447" i="18" s="1"/>
  <c r="K192" i="18"/>
  <c r="N99" i="18"/>
  <c r="N884" i="18"/>
  <c r="N422" i="18"/>
  <c r="M210" i="18"/>
  <c r="N210" i="18" s="1"/>
  <c r="K128" i="18"/>
  <c r="M86" i="18"/>
  <c r="N86" i="18" s="1"/>
  <c r="K290" i="18"/>
  <c r="N11" i="18"/>
  <c r="N21" i="18"/>
  <c r="N935" i="18"/>
  <c r="N364" i="18"/>
  <c r="N671" i="18"/>
  <c r="K1039" i="18"/>
  <c r="N234" i="18"/>
  <c r="K147" i="18"/>
  <c r="L147" i="18"/>
  <c r="N147" i="18" s="1"/>
  <c r="N193" i="18"/>
  <c r="M129" i="18"/>
  <c r="K126" i="18"/>
  <c r="L129" i="18"/>
  <c r="K178" i="18"/>
  <c r="L134" i="18"/>
  <c r="N134" i="18" s="1"/>
  <c r="M1099" i="18"/>
  <c r="N1099" i="18" s="1"/>
  <c r="M259" i="18"/>
  <c r="N259" i="18" s="1"/>
  <c r="K17" i="18"/>
  <c r="N215" i="18"/>
  <c r="K134" i="18"/>
  <c r="L17" i="18"/>
  <c r="N17" i="18" s="1"/>
  <c r="L890" i="18"/>
  <c r="K137" i="18"/>
  <c r="L137" i="18"/>
  <c r="N137" i="18" s="1"/>
  <c r="L974" i="18"/>
  <c r="M817" i="18"/>
  <c r="K1023" i="18"/>
  <c r="K274" i="18"/>
  <c r="L189" i="18"/>
  <c r="N189" i="18" s="1"/>
  <c r="L150" i="18"/>
  <c r="K438" i="18"/>
  <c r="L1094" i="18"/>
  <c r="L817" i="18"/>
  <c r="K127" i="18"/>
  <c r="M130" i="18"/>
  <c r="N130" i="18" s="1"/>
  <c r="K446" i="18"/>
  <c r="L964" i="18"/>
  <c r="M964" i="18"/>
  <c r="L972" i="18"/>
  <c r="K286" i="18"/>
  <c r="L274" i="18"/>
  <c r="N274" i="18" s="1"/>
  <c r="M1094" i="18"/>
  <c r="L351" i="18"/>
  <c r="M1157" i="18"/>
  <c r="N1157" i="18" s="1"/>
  <c r="N168" i="18"/>
  <c r="L156" i="18"/>
  <c r="K969" i="18"/>
  <c r="L195" i="18"/>
  <c r="M890" i="18"/>
  <c r="K882" i="18"/>
  <c r="K437" i="18"/>
  <c r="M882" i="18"/>
  <c r="N882" i="18" s="1"/>
  <c r="K429" i="18"/>
  <c r="L155" i="18"/>
  <c r="L969" i="18"/>
  <c r="N969" i="18" s="1"/>
  <c r="K101" i="18"/>
  <c r="L101" i="18"/>
  <c r="N101" i="18" s="1"/>
  <c r="L194" i="18"/>
  <c r="N194" i="18" s="1"/>
  <c r="L1020" i="18"/>
  <c r="N1020" i="18" s="1"/>
  <c r="K194" i="18"/>
  <c r="M326" i="18"/>
  <c r="N326" i="18" s="1"/>
  <c r="K151" i="18"/>
  <c r="M429" i="18"/>
  <c r="N429" i="18" s="1"/>
  <c r="M1156" i="18"/>
  <c r="K1098" i="18"/>
  <c r="M155" i="18"/>
  <c r="N173" i="18"/>
  <c r="L144" i="18"/>
  <c r="N144" i="18" s="1"/>
  <c r="L892" i="18"/>
  <c r="N892" i="18" s="1"/>
  <c r="M437" i="18"/>
  <c r="N437" i="18" s="1"/>
  <c r="L167" i="18"/>
  <c r="N167" i="18" s="1"/>
  <c r="L360" i="18"/>
  <c r="L151" i="18"/>
  <c r="N151" i="18" s="1"/>
  <c r="M1006" i="18"/>
  <c r="N1006" i="18" s="1"/>
  <c r="N310" i="18"/>
  <c r="N15" i="18"/>
  <c r="N29" i="18"/>
  <c r="M974" i="18"/>
  <c r="K892" i="18"/>
  <c r="K326" i="18"/>
  <c r="N449" i="18"/>
  <c r="L191" i="18"/>
  <c r="K197" i="18"/>
  <c r="K86" i="18"/>
  <c r="K1006" i="18"/>
  <c r="M191" i="18"/>
  <c r="M196" i="18"/>
  <c r="N196" i="18" s="1"/>
  <c r="K992" i="18"/>
  <c r="N291" i="18"/>
  <c r="L996" i="18"/>
  <c r="N136" i="18"/>
  <c r="L1060" i="18"/>
  <c r="N1060" i="18" s="1"/>
  <c r="N369" i="18"/>
  <c r="L186" i="18"/>
  <c r="L338" i="18"/>
  <c r="K190" i="18"/>
  <c r="M1103" i="18"/>
  <c r="N1103" i="18" s="1"/>
  <c r="M1009" i="18"/>
  <c r="N1009" i="18" s="1"/>
  <c r="N36" i="18"/>
  <c r="N1125" i="18"/>
  <c r="M1155" i="18"/>
  <c r="N1155" i="18" s="1"/>
  <c r="I925" i="18"/>
  <c r="I941" i="18" s="1"/>
  <c r="L1022" i="18"/>
  <c r="M360" i="18"/>
  <c r="K263" i="18"/>
  <c r="M1098" i="18"/>
  <c r="N1098" i="18" s="1"/>
  <c r="K432" i="18"/>
  <c r="K1020" i="18"/>
  <c r="K196" i="18"/>
  <c r="L263" i="18"/>
  <c r="N263" i="18" s="1"/>
  <c r="K408" i="18"/>
  <c r="L432" i="18"/>
  <c r="N432" i="18" s="1"/>
  <c r="K1155" i="18"/>
  <c r="M992" i="18"/>
  <c r="N992" i="18" s="1"/>
  <c r="K1060" i="18"/>
  <c r="M186" i="18"/>
  <c r="K1021" i="18"/>
  <c r="K584" i="18"/>
  <c r="M996" i="18"/>
  <c r="M338" i="18"/>
  <c r="L190" i="18"/>
  <c r="N190" i="18" s="1"/>
  <c r="K181" i="18"/>
  <c r="M183" i="18"/>
  <c r="M1093" i="18"/>
  <c r="M1011" i="18"/>
  <c r="L584" i="18"/>
  <c r="N584" i="18" s="1"/>
  <c r="N828" i="18"/>
  <c r="L343" i="18"/>
  <c r="N343" i="18" s="1"/>
  <c r="K187" i="18"/>
  <c r="L1021" i="18"/>
  <c r="N1021" i="18" s="1"/>
  <c r="L183" i="18"/>
  <c r="L1093" i="18"/>
  <c r="L1011" i="18"/>
  <c r="M157" i="18"/>
  <c r="N157" i="18" s="1"/>
  <c r="K1005" i="18"/>
  <c r="K148" i="18"/>
  <c r="L146" i="18"/>
  <c r="N146" i="18" s="1"/>
  <c r="K343" i="18"/>
  <c r="K103" i="18"/>
  <c r="K1004" i="18"/>
  <c r="N74" i="18"/>
  <c r="N690" i="18"/>
  <c r="I1003" i="18"/>
  <c r="I1025" i="18" s="1"/>
  <c r="I784" i="18"/>
  <c r="I822" i="18" s="1"/>
  <c r="I988" i="18"/>
  <c r="I998" i="18" s="1"/>
  <c r="N923" i="18"/>
  <c r="I1092" i="18"/>
  <c r="I1114" i="18" s="1"/>
  <c r="I1033" i="18"/>
  <c r="I1079" i="18" s="1"/>
  <c r="L187" i="18"/>
  <c r="N187" i="18" s="1"/>
  <c r="K146" i="18"/>
  <c r="L103" i="18"/>
  <c r="N103" i="18" s="1"/>
  <c r="M1004" i="18"/>
  <c r="N1004" i="18" s="1"/>
  <c r="M181" i="18"/>
  <c r="N181" i="18" s="1"/>
  <c r="N1063" i="18"/>
  <c r="L178" i="18"/>
  <c r="N178" i="18" s="1"/>
  <c r="M972" i="18"/>
  <c r="M286" i="18"/>
  <c r="N286" i="18" s="1"/>
  <c r="N880" i="18"/>
  <c r="K157" i="18"/>
  <c r="L1005" i="18"/>
  <c r="N1005" i="18" s="1"/>
  <c r="L148" i="18"/>
  <c r="N148" i="18" s="1"/>
  <c r="N405" i="18"/>
  <c r="N399" i="18"/>
  <c r="N876" i="18"/>
  <c r="M939" i="18"/>
  <c r="N939" i="18" s="1"/>
  <c r="N119" i="18"/>
  <c r="K1157" i="18"/>
  <c r="N53" i="18"/>
  <c r="K279" i="18"/>
  <c r="I1122" i="18"/>
  <c r="I1131" i="18" s="1"/>
  <c r="L1023" i="18"/>
  <c r="N1023" i="18" s="1"/>
  <c r="I962" i="18"/>
  <c r="I978" i="18" s="1"/>
  <c r="K1009" i="18"/>
  <c r="M195" i="18"/>
  <c r="N950" i="18"/>
  <c r="N842" i="18"/>
  <c r="N258" i="18"/>
  <c r="N488" i="18"/>
  <c r="N359" i="18"/>
  <c r="M927" i="18"/>
  <c r="N927" i="18" s="1"/>
  <c r="N269" i="18"/>
  <c r="N886" i="18"/>
  <c r="N122" i="18"/>
  <c r="N1084" i="18"/>
  <c r="M279" i="18"/>
  <c r="N279" i="18" s="1"/>
  <c r="I832" i="18"/>
  <c r="J9" i="18"/>
  <c r="H9" i="18"/>
  <c r="I9" i="18" s="1"/>
  <c r="M386" i="18"/>
  <c r="N386" i="18" s="1"/>
  <c r="K990" i="18"/>
  <c r="K272" i="18"/>
  <c r="M131" i="18"/>
  <c r="K1160" i="18"/>
  <c r="J249" i="18"/>
  <c r="H249" i="18"/>
  <c r="I249" i="18" s="1"/>
  <c r="J66" i="18"/>
  <c r="H66" i="18"/>
  <c r="I66" i="18" s="1"/>
  <c r="J7" i="18"/>
  <c r="H7" i="18"/>
  <c r="J49" i="18"/>
  <c r="H49" i="18"/>
  <c r="I49" i="18" s="1"/>
  <c r="J349" i="18"/>
  <c r="H349" i="18"/>
  <c r="I349" i="18" s="1"/>
  <c r="J450" i="18"/>
  <c r="H450" i="18"/>
  <c r="I450" i="18" s="1"/>
  <c r="J381" i="18"/>
  <c r="H381" i="18"/>
  <c r="I381" i="18" s="1"/>
  <c r="K386" i="18"/>
  <c r="L990" i="18"/>
  <c r="N990" i="18" s="1"/>
  <c r="L272" i="18"/>
  <c r="N272" i="18" s="1"/>
  <c r="L131" i="18"/>
  <c r="M1160" i="18"/>
  <c r="N1160" i="18" s="1"/>
  <c r="J1163" i="18"/>
  <c r="J198" i="18"/>
  <c r="H198" i="18"/>
  <c r="I198" i="18" s="1"/>
  <c r="J336" i="18"/>
  <c r="H336" i="18"/>
  <c r="I336" i="18" s="1"/>
  <c r="I1152" i="18"/>
  <c r="I1163" i="18" s="1"/>
  <c r="M1102" i="18"/>
  <c r="N1102" i="18" s="1"/>
  <c r="K98" i="18"/>
  <c r="J111" i="18"/>
  <c r="H111" i="18"/>
  <c r="I111" i="18" s="1"/>
  <c r="J230" i="18"/>
  <c r="H230" i="18"/>
  <c r="I230" i="18" s="1"/>
  <c r="J848" i="18"/>
  <c r="H848" i="18"/>
  <c r="I848" i="18" s="1"/>
  <c r="L126" i="18"/>
  <c r="N126" i="18" s="1"/>
  <c r="L1156" i="18"/>
  <c r="K927" i="18"/>
  <c r="K1102" i="18"/>
  <c r="L98" i="18"/>
  <c r="N98" i="18" s="1"/>
  <c r="K259" i="18"/>
  <c r="K1103" i="18"/>
  <c r="L1075" i="18"/>
  <c r="N1075" i="18" s="1"/>
  <c r="M1071" i="18"/>
  <c r="N1071" i="18" s="1"/>
  <c r="M446" i="18"/>
  <c r="N446" i="18" s="1"/>
  <c r="J858" i="18"/>
  <c r="H858" i="18"/>
  <c r="I858" i="18" s="1"/>
  <c r="J470" i="18"/>
  <c r="H470" i="18"/>
  <c r="I470" i="18" s="1"/>
  <c r="J83" i="18"/>
  <c r="H83" i="18"/>
  <c r="I83" i="18" s="1"/>
  <c r="J243" i="18"/>
  <c r="H243" i="18"/>
  <c r="I243" i="18" s="1"/>
  <c r="H390" i="18"/>
  <c r="I390" i="18" s="1"/>
  <c r="J390" i="18"/>
  <c r="J444" i="18"/>
  <c r="H444" i="18"/>
  <c r="I444" i="18" s="1"/>
  <c r="J8" i="18"/>
  <c r="H8" i="18"/>
  <c r="I8" i="18" s="1"/>
  <c r="J63" i="18"/>
  <c r="H63" i="18"/>
  <c r="I63" i="18" s="1"/>
  <c r="J461" i="18"/>
  <c r="H461" i="18"/>
  <c r="J23" i="18"/>
  <c r="H23" i="18"/>
  <c r="I23" i="18" s="1"/>
  <c r="J91" i="18"/>
  <c r="H91" i="18"/>
  <c r="I91" i="18" s="1"/>
  <c r="H333" i="18"/>
  <c r="I333" i="18" s="1"/>
  <c r="J333" i="18"/>
  <c r="H65" i="18"/>
  <c r="I65" i="18" s="1"/>
  <c r="J65" i="18"/>
  <c r="J355" i="18"/>
  <c r="H355" i="18"/>
  <c r="I355" i="18" s="1"/>
  <c r="L408" i="18"/>
  <c r="N408" i="18" s="1"/>
  <c r="M1022" i="18"/>
  <c r="K167" i="18"/>
  <c r="J110" i="18"/>
  <c r="H110" i="18"/>
  <c r="I110" i="18" s="1"/>
  <c r="J46" i="18"/>
  <c r="H46" i="18"/>
  <c r="I46" i="18" s="1"/>
  <c r="J908" i="18"/>
  <c r="H908" i="18"/>
  <c r="H223" i="18"/>
  <c r="J223" i="18"/>
  <c r="J43" i="18"/>
  <c r="H43" i="18"/>
  <c r="I43" i="18" s="1"/>
  <c r="J102" i="18"/>
  <c r="H102" i="18"/>
  <c r="I102" i="18" s="1"/>
  <c r="J377" i="18"/>
  <c r="H377" i="18"/>
  <c r="I377" i="18" s="1"/>
  <c r="H467" i="18"/>
  <c r="I467" i="18" s="1"/>
  <c r="J467" i="18"/>
  <c r="J398" i="18"/>
  <c r="H398" i="18"/>
  <c r="I398" i="18" s="1"/>
  <c r="K144" i="18"/>
  <c r="L197" i="18"/>
  <c r="N197" i="18" s="1"/>
  <c r="M156" i="18"/>
  <c r="M351" i="18"/>
  <c r="K939" i="18"/>
  <c r="K130" i="18"/>
  <c r="L138" i="18"/>
  <c r="I546" i="18"/>
  <c r="J394" i="18"/>
  <c r="H394" i="18"/>
  <c r="I394" i="18" s="1"/>
  <c r="J64" i="18"/>
  <c r="H64" i="18"/>
  <c r="I64" i="18" s="1"/>
  <c r="J374" i="18"/>
  <c r="H374" i="18"/>
  <c r="I374" i="18" s="1"/>
  <c r="N700" i="18"/>
  <c r="N1034" i="18"/>
  <c r="N789" i="18"/>
  <c r="N596" i="18"/>
  <c r="N994" i="18"/>
  <c r="N300" i="18"/>
  <c r="N166" i="18"/>
  <c r="N107" i="18"/>
  <c r="N721" i="18"/>
  <c r="N225" i="18"/>
  <c r="N1087" i="18"/>
  <c r="N106" i="18"/>
  <c r="N226" i="18"/>
  <c r="N31" i="18"/>
  <c r="N319" i="18"/>
  <c r="N149" i="18"/>
  <c r="N280" i="18"/>
  <c r="N915" i="18"/>
  <c r="N371" i="18"/>
  <c r="N244" i="18"/>
  <c r="N162" i="18"/>
  <c r="N385" i="18"/>
  <c r="N184" i="18"/>
  <c r="N846" i="18"/>
  <c r="N663" i="18"/>
  <c r="N253" i="18"/>
  <c r="N123" i="18"/>
  <c r="N32" i="18"/>
  <c r="N862" i="18"/>
  <c r="N507" i="18"/>
  <c r="N1067" i="18"/>
  <c r="N844" i="18"/>
  <c r="N1108" i="18"/>
  <c r="N1012" i="18"/>
  <c r="N227" i="18"/>
  <c r="N1097" i="18"/>
  <c r="N426" i="18"/>
  <c r="N948" i="18"/>
  <c r="N393" i="18"/>
  <c r="N1117" i="18"/>
  <c r="N1119" i="18" s="1"/>
  <c r="N812" i="18"/>
  <c r="N14" i="18"/>
  <c r="M509" i="18"/>
  <c r="F14" i="27" s="1"/>
  <c r="K509" i="18"/>
  <c r="N69" i="18"/>
  <c r="N235" i="18"/>
  <c r="N1106" i="18"/>
  <c r="N1010" i="18"/>
  <c r="N621" i="18"/>
  <c r="N80" i="18"/>
  <c r="N6" i="18"/>
  <c r="L509" i="18"/>
  <c r="E14" i="27" s="1"/>
  <c r="N888" i="18"/>
  <c r="N440" i="18"/>
  <c r="N170" i="18"/>
  <c r="N320" i="18"/>
  <c r="N20" i="18"/>
  <c r="N937" i="18"/>
  <c r="N681" i="18"/>
  <c r="N135" i="18"/>
  <c r="N800" i="18"/>
  <c r="N54" i="18"/>
  <c r="N515" i="18"/>
  <c r="N1085" i="18"/>
  <c r="N231" i="18"/>
  <c r="N270" i="18"/>
  <c r="N852" i="18"/>
  <c r="N402" i="18"/>
  <c r="N282" i="18"/>
  <c r="N395" i="18"/>
  <c r="N214" i="18"/>
  <c r="N976" i="18"/>
  <c r="N22" i="18"/>
  <c r="N476" i="18"/>
  <c r="N246" i="18"/>
  <c r="N363" i="18"/>
  <c r="N376" i="18"/>
  <c r="N1062" i="18"/>
  <c r="N55" i="18"/>
  <c r="N350" i="18"/>
  <c r="N442" i="18"/>
  <c r="N30" i="18"/>
  <c r="N606" i="18"/>
  <c r="N305" i="18"/>
  <c r="N1112" i="18"/>
  <c r="N864" i="18"/>
  <c r="N87" i="18"/>
  <c r="N1069" i="18"/>
  <c r="N90" i="18"/>
  <c r="N384" i="18"/>
  <c r="N840" i="18"/>
  <c r="N296" i="18"/>
  <c r="N933" i="18"/>
  <c r="N1086" i="18"/>
  <c r="N565" i="18"/>
  <c r="N1059" i="18"/>
  <c r="N1068" i="18"/>
  <c r="N479" i="18"/>
  <c r="N675" i="18"/>
  <c r="N34" i="18"/>
  <c r="N592" i="18"/>
  <c r="N984" i="18"/>
  <c r="N830" i="18"/>
  <c r="N309" i="18"/>
  <c r="N1045" i="18"/>
  <c r="N245" i="18"/>
  <c r="N1013" i="18"/>
  <c r="N389" i="18"/>
  <c r="N294" i="18"/>
  <c r="N412" i="18"/>
  <c r="N434" i="18"/>
  <c r="N872" i="18"/>
  <c r="N868" i="18"/>
  <c r="N473" i="18"/>
  <c r="N946" i="18"/>
  <c r="N264" i="18"/>
  <c r="N1088" i="18"/>
  <c r="N1015" i="18"/>
  <c r="N1073" i="18"/>
  <c r="N108" i="18"/>
  <c r="N492" i="18"/>
  <c r="N299" i="18"/>
  <c r="N213" i="18"/>
  <c r="N139" i="18"/>
  <c r="N878" i="18"/>
  <c r="N283" i="18"/>
  <c r="N498" i="18"/>
  <c r="N900" i="18"/>
  <c r="N1107" i="18"/>
  <c r="N346" i="18"/>
  <c r="N254" i="18"/>
  <c r="N40" i="18"/>
  <c r="N77" i="18"/>
  <c r="N1017" i="18"/>
  <c r="N16" i="18"/>
  <c r="N95" i="18"/>
  <c r="N954" i="18"/>
  <c r="N911" i="18"/>
  <c r="N273" i="18"/>
  <c r="N339" i="18"/>
  <c r="N172" i="18"/>
  <c r="N1047" i="18"/>
  <c r="N598" i="18"/>
  <c r="N112" i="18"/>
  <c r="N340" i="18"/>
  <c r="N744" i="18"/>
  <c r="N734" i="18"/>
  <c r="N284" i="18"/>
  <c r="N224" i="18"/>
  <c r="N375" i="18"/>
  <c r="N899" i="18"/>
  <c r="N242" i="18"/>
  <c r="N588" i="18"/>
  <c r="N966" i="18"/>
  <c r="N1014" i="18"/>
  <c r="N952" i="18"/>
  <c r="N322" i="18"/>
  <c r="N411" i="18"/>
  <c r="N329" i="18"/>
  <c r="N370" i="18"/>
  <c r="N448" i="18"/>
  <c r="N838" i="18"/>
  <c r="N115" i="18"/>
  <c r="N929" i="18"/>
  <c r="N590" i="18"/>
  <c r="N765" i="18"/>
  <c r="N58" i="18"/>
  <c r="N35" i="18"/>
  <c r="N433" i="18"/>
  <c r="N834" i="18"/>
  <c r="N986" i="18"/>
  <c r="N931" i="18"/>
  <c r="N874" i="18"/>
  <c r="N260" i="18"/>
  <c r="N1055" i="18"/>
  <c r="N870" i="18"/>
  <c r="N1040" i="18"/>
  <c r="N836" i="18"/>
  <c r="N504" i="18"/>
  <c r="N850" i="18"/>
  <c r="N164" i="18"/>
  <c r="N323" i="18"/>
  <c r="N594" i="18"/>
  <c r="N486" i="18"/>
  <c r="N295" i="18"/>
  <c r="N161" i="18"/>
  <c r="N1126" i="18"/>
  <c r="N73" i="18"/>
  <c r="N501" i="18"/>
  <c r="N304" i="18"/>
  <c r="N248" i="18"/>
  <c r="N711" i="18"/>
  <c r="N529" i="18"/>
  <c r="N52" i="18"/>
  <c r="N140" i="18"/>
  <c r="N494" i="18"/>
  <c r="N238" i="18"/>
  <c r="N1016" i="18"/>
  <c r="N118" i="18"/>
  <c r="N600" i="18"/>
  <c r="N1046" i="18"/>
  <c r="N453" i="18"/>
  <c r="N1129" i="18"/>
  <c r="N367" i="18"/>
  <c r="N337" i="18"/>
  <c r="N496" i="18"/>
  <c r="N109" i="18"/>
  <c r="N281" i="18"/>
  <c r="N59" i="18"/>
  <c r="N636" i="18"/>
  <c r="N425" i="18"/>
  <c r="N1035" i="18"/>
  <c r="N794" i="18"/>
  <c r="N275" i="18"/>
  <c r="N27" i="18"/>
  <c r="N306" i="18"/>
  <c r="N902" i="18"/>
  <c r="N94" i="18"/>
  <c r="N421" i="18"/>
  <c r="N26" i="18"/>
  <c r="N268" i="18"/>
  <c r="N51" i="18"/>
  <c r="N50" i="18"/>
  <c r="N271" i="18"/>
  <c r="N33" i="18"/>
  <c r="N247" i="18"/>
  <c r="N1041" i="18"/>
  <c r="N28" i="18"/>
  <c r="G205" i="18"/>
  <c r="E83" i="26"/>
  <c r="F83" i="26" s="1"/>
  <c r="F100" i="26" s="1"/>
  <c r="G39" i="18" s="1"/>
  <c r="E338" i="26"/>
  <c r="F338" i="26" s="1"/>
  <c r="F339" i="26" s="1"/>
  <c r="G209" i="18"/>
  <c r="N856" i="18" l="1"/>
  <c r="M914" i="18"/>
  <c r="L914" i="18"/>
  <c r="L905" i="18"/>
  <c r="K905" i="18"/>
  <c r="M905" i="18"/>
  <c r="N141" i="18"/>
  <c r="N10" i="18"/>
  <c r="N415" i="18"/>
  <c r="N445" i="18"/>
  <c r="N138" i="18"/>
  <c r="N854" i="18"/>
  <c r="I894" i="18"/>
  <c r="N866" i="18"/>
  <c r="N150" i="18"/>
  <c r="N776" i="18"/>
  <c r="N1135" i="18" s="1"/>
  <c r="N656" i="18"/>
  <c r="N1134" i="18" s="1"/>
  <c r="N1146" i="18"/>
  <c r="N956" i="18"/>
  <c r="N1140" i="18" s="1"/>
  <c r="I602" i="18"/>
  <c r="F1148" i="18"/>
  <c r="C15" i="27" s="1"/>
  <c r="N805" i="18"/>
  <c r="N195" i="18"/>
  <c r="N964" i="18"/>
  <c r="N817" i="18"/>
  <c r="N974" i="18"/>
  <c r="N1094" i="18"/>
  <c r="N191" i="18"/>
  <c r="N1156" i="18"/>
  <c r="N338" i="18"/>
  <c r="N890" i="18"/>
  <c r="N129" i="18"/>
  <c r="N183" i="18"/>
  <c r="N360" i="18"/>
  <c r="N972" i="18"/>
  <c r="N186" i="18"/>
  <c r="N351" i="18"/>
  <c r="N155" i="18"/>
  <c r="N156" i="18"/>
  <c r="N996" i="18"/>
  <c r="N1022" i="18"/>
  <c r="I1141" i="18"/>
  <c r="M962" i="18"/>
  <c r="M978" i="18" s="1"/>
  <c r="K962" i="18"/>
  <c r="K978" i="18" s="1"/>
  <c r="L962" i="18"/>
  <c r="L978" i="18" s="1"/>
  <c r="M1122" i="18"/>
  <c r="M1131" i="18" s="1"/>
  <c r="L1122" i="18"/>
  <c r="L1131" i="18" s="1"/>
  <c r="K1122" i="18"/>
  <c r="K1131" i="18" s="1"/>
  <c r="I1139" i="18"/>
  <c r="M925" i="18"/>
  <c r="M941" i="18" s="1"/>
  <c r="L925" i="18"/>
  <c r="K925" i="18"/>
  <c r="I1142" i="18"/>
  <c r="M988" i="18"/>
  <c r="M998" i="18" s="1"/>
  <c r="K988" i="18"/>
  <c r="K998" i="18" s="1"/>
  <c r="L988" i="18"/>
  <c r="L998" i="18" s="1"/>
  <c r="I1144" i="18"/>
  <c r="L1033" i="18"/>
  <c r="L1079" i="18" s="1"/>
  <c r="M1033" i="18"/>
  <c r="M1079" i="18" s="1"/>
  <c r="K1033" i="18"/>
  <c r="K1079" i="18" s="1"/>
  <c r="I908" i="18"/>
  <c r="I917" i="18" s="1"/>
  <c r="I1136" i="18"/>
  <c r="M784" i="18"/>
  <c r="M822" i="18" s="1"/>
  <c r="L784" i="18"/>
  <c r="K784" i="18"/>
  <c r="I1145" i="18"/>
  <c r="L1092" i="18"/>
  <c r="L1114" i="18" s="1"/>
  <c r="K1092" i="18"/>
  <c r="K1114" i="18" s="1"/>
  <c r="M1092" i="18"/>
  <c r="M1114" i="18" s="1"/>
  <c r="N1011" i="18"/>
  <c r="N509" i="18"/>
  <c r="G14" i="27" s="1"/>
  <c r="K832" i="18"/>
  <c r="L832" i="18"/>
  <c r="M832" i="18"/>
  <c r="I1143" i="18"/>
  <c r="M1003" i="18"/>
  <c r="M1025" i="18" s="1"/>
  <c r="L1003" i="18"/>
  <c r="L1025" i="18" s="1"/>
  <c r="K1003" i="18"/>
  <c r="K1025" i="18" s="1"/>
  <c r="N1093" i="18"/>
  <c r="L398" i="18"/>
  <c r="K398" i="18"/>
  <c r="M398" i="18"/>
  <c r="M66" i="18"/>
  <c r="L66" i="18"/>
  <c r="K66" i="18"/>
  <c r="M65" i="18"/>
  <c r="K65" i="18"/>
  <c r="L65" i="18"/>
  <c r="K8" i="18"/>
  <c r="L8" i="18"/>
  <c r="M8" i="18"/>
  <c r="M858" i="18"/>
  <c r="K858" i="18"/>
  <c r="L858" i="18"/>
  <c r="L848" i="18"/>
  <c r="K848" i="18"/>
  <c r="M848" i="18"/>
  <c r="M381" i="18"/>
  <c r="K381" i="18"/>
  <c r="L381" i="18"/>
  <c r="H39" i="18"/>
  <c r="I39" i="18" s="1"/>
  <c r="J39" i="18"/>
  <c r="M1152" i="18"/>
  <c r="M1163" i="18" s="1"/>
  <c r="L1152" i="18"/>
  <c r="K1152" i="18"/>
  <c r="K1163" i="18" s="1"/>
  <c r="K249" i="18"/>
  <c r="M249" i="18"/>
  <c r="L249" i="18"/>
  <c r="M467" i="18"/>
  <c r="K467" i="18"/>
  <c r="L467" i="18"/>
  <c r="K46" i="18"/>
  <c r="L46" i="18"/>
  <c r="M46" i="18"/>
  <c r="K333" i="18"/>
  <c r="L333" i="18"/>
  <c r="M333" i="18"/>
  <c r="L444" i="18"/>
  <c r="M444" i="18"/>
  <c r="K444" i="18"/>
  <c r="L230" i="18"/>
  <c r="K230" i="18"/>
  <c r="M230" i="18"/>
  <c r="L336" i="18"/>
  <c r="M336" i="18"/>
  <c r="K336" i="18"/>
  <c r="M450" i="18"/>
  <c r="L450" i="18"/>
  <c r="K450" i="18"/>
  <c r="M377" i="18"/>
  <c r="L377" i="18"/>
  <c r="K377" i="18"/>
  <c r="M91" i="18"/>
  <c r="L91" i="18"/>
  <c r="K91" i="18"/>
  <c r="M546" i="18"/>
  <c r="L546" i="18"/>
  <c r="L602" i="18" s="1"/>
  <c r="K546" i="18"/>
  <c r="L110" i="18"/>
  <c r="M110" i="18"/>
  <c r="K110" i="18"/>
  <c r="K111" i="18"/>
  <c r="L111" i="18"/>
  <c r="M111" i="18"/>
  <c r="L198" i="18"/>
  <c r="M198" i="18"/>
  <c r="K198" i="18"/>
  <c r="L349" i="18"/>
  <c r="K349" i="18"/>
  <c r="M349" i="18"/>
  <c r="N131" i="18"/>
  <c r="J205" i="18"/>
  <c r="H205" i="18"/>
  <c r="K102" i="18"/>
  <c r="M102" i="18"/>
  <c r="L102" i="18"/>
  <c r="L23" i="18"/>
  <c r="M23" i="18"/>
  <c r="K23" i="18"/>
  <c r="M390" i="18"/>
  <c r="L390" i="18"/>
  <c r="K390" i="18"/>
  <c r="M374" i="18"/>
  <c r="L374" i="18"/>
  <c r="K374" i="18"/>
  <c r="M43" i="18"/>
  <c r="L43" i="18"/>
  <c r="K43" i="18"/>
  <c r="M83" i="18"/>
  <c r="L83" i="18"/>
  <c r="K83" i="18"/>
  <c r="L49" i="18"/>
  <c r="M49" i="18"/>
  <c r="K49" i="18"/>
  <c r="M355" i="18"/>
  <c r="L355" i="18"/>
  <c r="K355" i="18"/>
  <c r="M9" i="18"/>
  <c r="K9" i="18"/>
  <c r="L9" i="18"/>
  <c r="L243" i="18"/>
  <c r="K243" i="18"/>
  <c r="M243" i="18"/>
  <c r="L64" i="18"/>
  <c r="M64" i="18"/>
  <c r="K64" i="18"/>
  <c r="I461" i="18"/>
  <c r="I7" i="18"/>
  <c r="J209" i="18"/>
  <c r="H209" i="18"/>
  <c r="I209" i="18" s="1"/>
  <c r="M394" i="18"/>
  <c r="L394" i="18"/>
  <c r="K394" i="18"/>
  <c r="I223" i="18"/>
  <c r="L63" i="18"/>
  <c r="K63" i="18"/>
  <c r="M63" i="18"/>
  <c r="L470" i="18"/>
  <c r="K470" i="18"/>
  <c r="M470" i="18"/>
  <c r="E611" i="26"/>
  <c r="F611" i="26" s="1"/>
  <c r="G208" i="18"/>
  <c r="L1163" i="18" l="1"/>
  <c r="E16" i="27" s="1"/>
  <c r="N905" i="18"/>
  <c r="N914" i="18"/>
  <c r="I1137" i="18"/>
  <c r="M894" i="18"/>
  <c r="M1137" i="18" s="1"/>
  <c r="L894" i="18"/>
  <c r="L1137" i="18" s="1"/>
  <c r="L1145" i="18"/>
  <c r="K1145" i="18"/>
  <c r="L1144" i="18"/>
  <c r="K894" i="18"/>
  <c r="K1143" i="18"/>
  <c r="K1144" i="18"/>
  <c r="M602" i="18"/>
  <c r="M1133" i="18" s="1"/>
  <c r="L1143" i="18"/>
  <c r="L1141" i="18"/>
  <c r="K822" i="18"/>
  <c r="K1136" i="18" s="1"/>
  <c r="L1142" i="18"/>
  <c r="K1141" i="18"/>
  <c r="L822" i="18"/>
  <c r="L1136" i="18" s="1"/>
  <c r="K1142" i="18"/>
  <c r="K941" i="18"/>
  <c r="K1139" i="18" s="1"/>
  <c r="L941" i="18"/>
  <c r="L1139" i="18" s="1"/>
  <c r="K602" i="18"/>
  <c r="K1133" i="18" s="1"/>
  <c r="I1133" i="18"/>
  <c r="N336" i="18"/>
  <c r="N23" i="18"/>
  <c r="D16" i="27"/>
  <c r="N333" i="18"/>
  <c r="N398" i="18"/>
  <c r="K1147" i="18"/>
  <c r="L1147" i="18"/>
  <c r="I1147" i="18"/>
  <c r="N230" i="18"/>
  <c r="N444" i="18"/>
  <c r="N63" i="18"/>
  <c r="N832" i="18"/>
  <c r="N390" i="18"/>
  <c r="N66" i="18"/>
  <c r="M1136" i="18"/>
  <c r="N784" i="18"/>
  <c r="N1033" i="18"/>
  <c r="N1079" i="18" s="1"/>
  <c r="M1144" i="18"/>
  <c r="M1143" i="18"/>
  <c r="N1003" i="18"/>
  <c r="N1025" i="18" s="1"/>
  <c r="N988" i="18"/>
  <c r="N998" i="18" s="1"/>
  <c r="M1142" i="18"/>
  <c r="M1141" i="18"/>
  <c r="N962" i="18"/>
  <c r="N978" i="18" s="1"/>
  <c r="M1139" i="18"/>
  <c r="N925" i="18"/>
  <c r="L1133" i="18"/>
  <c r="L908" i="18"/>
  <c r="L917" i="18" s="1"/>
  <c r="N1122" i="18"/>
  <c r="N1131" i="18" s="1"/>
  <c r="K908" i="18"/>
  <c r="K917" i="18" s="1"/>
  <c r="M908" i="18"/>
  <c r="M917" i="18" s="1"/>
  <c r="M1145" i="18"/>
  <c r="N1092" i="18"/>
  <c r="N1114" i="18" s="1"/>
  <c r="N43" i="18"/>
  <c r="L39" i="18"/>
  <c r="K39" i="18"/>
  <c r="M39" i="18"/>
  <c r="H208" i="18"/>
  <c r="I208" i="18" s="1"/>
  <c r="J208" i="18"/>
  <c r="M7" i="18"/>
  <c r="L7" i="18"/>
  <c r="K7" i="18"/>
  <c r="I200" i="18"/>
  <c r="N102" i="18"/>
  <c r="N111" i="18"/>
  <c r="L461" i="18"/>
  <c r="M461" i="18"/>
  <c r="K461" i="18"/>
  <c r="N355" i="18"/>
  <c r="I205" i="18"/>
  <c r="N91" i="18"/>
  <c r="N467" i="18"/>
  <c r="N64" i="18"/>
  <c r="N374" i="18"/>
  <c r="N110" i="18"/>
  <c r="N381" i="18"/>
  <c r="N65" i="18"/>
  <c r="N848" i="18"/>
  <c r="K223" i="18"/>
  <c r="M223" i="18"/>
  <c r="L223" i="18"/>
  <c r="N243" i="18"/>
  <c r="N49" i="18"/>
  <c r="N349" i="18"/>
  <c r="N377" i="18"/>
  <c r="N249" i="18"/>
  <c r="N9" i="18"/>
  <c r="N394" i="18"/>
  <c r="N546" i="18"/>
  <c r="N602" i="18" s="1"/>
  <c r="M209" i="18"/>
  <c r="L209" i="18"/>
  <c r="K209" i="18"/>
  <c r="N450" i="18"/>
  <c r="N470" i="18"/>
  <c r="N83" i="18"/>
  <c r="N198" i="18"/>
  <c r="N46" i="18"/>
  <c r="N1152" i="18"/>
  <c r="F16" i="27"/>
  <c r="N858" i="18"/>
  <c r="N8" i="18"/>
  <c r="F613" i="26"/>
  <c r="G464" i="18" s="1"/>
  <c r="N1163" i="18" l="1"/>
  <c r="G16" i="27" s="1"/>
  <c r="N894" i="18"/>
  <c r="N1137" i="18" s="1"/>
  <c r="C17" i="27"/>
  <c r="I1138" i="18"/>
  <c r="I1148" i="18" s="1"/>
  <c r="N1142" i="18"/>
  <c r="N1141" i="18"/>
  <c r="N1145" i="18"/>
  <c r="N1143" i="18"/>
  <c r="N1144" i="18"/>
  <c r="N941" i="18"/>
  <c r="N1139" i="18" s="1"/>
  <c r="K1138" i="18"/>
  <c r="L1138" i="18"/>
  <c r="L1148" i="18" s="1"/>
  <c r="N822" i="18"/>
  <c r="N1136" i="18" s="1"/>
  <c r="D10" i="27"/>
  <c r="N1147" i="18"/>
  <c r="M1147" i="18"/>
  <c r="K1137" i="18"/>
  <c r="N39" i="18"/>
  <c r="N908" i="18"/>
  <c r="N917" i="18" s="1"/>
  <c r="K200" i="18"/>
  <c r="L200" i="18"/>
  <c r="E10" i="27" s="1"/>
  <c r="M200" i="18"/>
  <c r="F10" i="27" s="1"/>
  <c r="N7" i="18"/>
  <c r="J464" i="18"/>
  <c r="H464" i="18"/>
  <c r="N209" i="18"/>
  <c r="I217" i="18"/>
  <c r="I456" i="18" s="1"/>
  <c r="D12" i="27" s="1"/>
  <c r="M205" i="18"/>
  <c r="K205" i="18"/>
  <c r="L205" i="18"/>
  <c r="M208" i="18"/>
  <c r="L208" i="18"/>
  <c r="K208" i="18"/>
  <c r="N461" i="18"/>
  <c r="N223" i="18"/>
  <c r="K1148" i="18" l="1"/>
  <c r="E15" i="27"/>
  <c r="C20" i="27"/>
  <c r="C21" i="27"/>
  <c r="L456" i="18"/>
  <c r="E12" i="27" s="1"/>
  <c r="N1138" i="18"/>
  <c r="D11" i="27"/>
  <c r="N200" i="18"/>
  <c r="G10" i="27" s="1"/>
  <c r="M1138" i="18"/>
  <c r="M1148" i="18" s="1"/>
  <c r="N1133" i="18"/>
  <c r="N1148" i="18" s="1"/>
  <c r="N208" i="18"/>
  <c r="N205" i="18"/>
  <c r="M217" i="18"/>
  <c r="F11" i="27" s="1"/>
  <c r="L217" i="18"/>
  <c r="E11" i="27" s="1"/>
  <c r="K217" i="18"/>
  <c r="K456" i="18" s="1"/>
  <c r="I464" i="18"/>
  <c r="D15" i="27" l="1"/>
  <c r="M456" i="18"/>
  <c r="F12" i="27" s="1"/>
  <c r="C24" i="27"/>
  <c r="C26" i="27" s="1"/>
  <c r="N217" i="18"/>
  <c r="G11" i="27" s="1"/>
  <c r="M464" i="18"/>
  <c r="L464" i="18"/>
  <c r="L481" i="18" s="1"/>
  <c r="E13" i="27" s="1"/>
  <c r="E17" i="27" s="1"/>
  <c r="K464" i="18"/>
  <c r="K481" i="18" s="1"/>
  <c r="I481" i="18"/>
  <c r="G15" i="27" l="1"/>
  <c r="F15" i="27"/>
  <c r="N456" i="18"/>
  <c r="G12" i="27" s="1"/>
  <c r="E21" i="27"/>
  <c r="E20" i="27"/>
  <c r="D13" i="27"/>
  <c r="N464" i="18"/>
  <c r="N481" i="18" s="1"/>
  <c r="G13" i="27" s="1"/>
  <c r="M481" i="18"/>
  <c r="F13" i="27" s="1"/>
  <c r="F17" i="27" l="1"/>
  <c r="F20" i="27" s="1"/>
  <c r="G17" i="27"/>
  <c r="G21" i="27" s="1"/>
  <c r="E24" i="27"/>
  <c r="E26" i="27" s="1"/>
  <c r="D17" i="27"/>
  <c r="G20" i="27" l="1"/>
  <c r="G24" i="27" s="1"/>
  <c r="G26" i="27" s="1"/>
  <c r="F21" i="27"/>
  <c r="F24" i="27" s="1"/>
  <c r="F26" i="27" s="1"/>
  <c r="D21" i="27"/>
  <c r="D20" i="27"/>
  <c r="D24" i="27" l="1"/>
  <c r="D26"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Sankalp Gaikwad/IND</author>
  </authors>
  <commentList>
    <comment ref="G6" authorId="0" shapeId="0" xr:uid="{5635519F-41E8-4C66-BCA0-F7E3C8F64869}">
      <text>
        <r>
          <rPr>
            <sz val="9"/>
            <color indexed="81"/>
            <rFont val="Tahoma"/>
            <family val="2"/>
          </rPr>
          <t>?? NOT LINKED &amp; MISMATCH._x000D_
(BOQ: 0, Total Found: 2088.4058)_x000D_
Found in: Measurement sheet (2088.4058)</t>
        </r>
      </text>
    </comment>
    <comment ref="G7" authorId="0" shapeId="0" xr:uid="{0D6387CB-6EDA-4B32-A824-194397F5F8D7}">
      <text>
        <r>
          <rPr>
            <sz val="9"/>
            <color indexed="81"/>
            <rFont val="Tahoma"/>
            <family val="2"/>
          </rPr>
          <t>? CORRECTLY LINKED to a valid total in 'Measurement sheet'._x000D_
(Value: 932.39)</t>
        </r>
      </text>
    </comment>
    <comment ref="G8" authorId="0" shapeId="0" xr:uid="{D21EE8C7-89F0-42B9-A7A6-FD1C4A1BB411}">
      <text>
        <r>
          <rPr>
            <sz val="9"/>
            <color indexed="81"/>
            <rFont val="Tahoma"/>
            <family val="2"/>
          </rPr>
          <t>? CORRECTLY LINKED to a valid total in 'Measurement sheet'._x000D_
(Value: 459.7317)</t>
        </r>
      </text>
    </comment>
    <comment ref="G9" authorId="0" shapeId="0" xr:uid="{6CAD741B-5751-47AA-9EBD-833D4EDC6304}">
      <text>
        <r>
          <rPr>
            <sz val="9"/>
            <color indexed="81"/>
            <rFont val="Tahoma"/>
            <family val="2"/>
          </rPr>
          <t>? CORRECTLY LINKED to a valid total in 'Measurement sheet'._x000D_
(Value: 540.8335)</t>
        </r>
      </text>
    </comment>
    <comment ref="G10" authorId="0" shapeId="0" xr:uid="{8B9A38B4-6016-4C72-BADE-1DD06C49DA2F}">
      <text>
        <r>
          <rPr>
            <sz val="9"/>
            <color indexed="81"/>
            <rFont val="Tahoma"/>
            <family val="2"/>
          </rPr>
          <t>? CORRECTLY LINKED to a valid total in 'Measurement sheet'._x000D_
(Value: 16)</t>
        </r>
      </text>
    </comment>
    <comment ref="G11" authorId="0" shapeId="0" xr:uid="{0C78205B-7156-4C97-AFE9-16A7B60E1B87}">
      <text>
        <r>
          <rPr>
            <sz val="9"/>
            <color indexed="81"/>
            <rFont val="Tahoma"/>
            <family val="2"/>
          </rPr>
          <t>?? NOT LINKED._x000D_
(BOQ: 0, No matching item found in any measurement sheet)</t>
        </r>
      </text>
    </comment>
    <comment ref="G12" authorId="0" shapeId="0" xr:uid="{725B2146-5431-4604-9023-76D5E8512296}">
      <text>
        <r>
          <rPr>
            <sz val="9"/>
            <color indexed="81"/>
            <rFont val="Tahoma"/>
            <family val="2"/>
          </rPr>
          <t>?? NOT LINKED._x000D_
(BOQ: 0, No matching item found in any measurement sheet)</t>
        </r>
      </text>
    </comment>
    <comment ref="G13" authorId="0" shapeId="0" xr:uid="{692104EC-2496-427F-BA2D-BCE54FF15954}">
      <text>
        <r>
          <rPr>
            <sz val="9"/>
            <color indexed="81"/>
            <rFont val="Tahoma"/>
            <family val="2"/>
          </rPr>
          <t>?? NOT LINKED &amp; MISMATCH._x000D_
(BOQ: 0, Total Found: 513.064)_x000D_
Found in: Measurement sheet (513.064)</t>
        </r>
      </text>
    </comment>
    <comment ref="G14" authorId="0" shapeId="0" xr:uid="{0284C93E-16FE-4CD5-8F03-DEFCA0C13E73}">
      <text>
        <r>
          <rPr>
            <sz val="9"/>
            <color indexed="81"/>
            <rFont val="Tahoma"/>
            <family val="2"/>
          </rPr>
          <t>?? NOT LINKED &amp; MISMATCH._x000D_
(BOQ: 0, Total Found: 2)_x000D_
Found in: Measurement sheet (2)</t>
        </r>
      </text>
    </comment>
    <comment ref="G15" authorId="0" shapeId="0" xr:uid="{9D1FD6B4-CDF8-46DE-AFAE-15F3915BF239}">
      <text>
        <r>
          <rPr>
            <sz val="9"/>
            <color indexed="81"/>
            <rFont val="Tahoma"/>
            <family val="2"/>
          </rPr>
          <t>?? NOT LINKED &amp; MISMATCH._x000D_
(BOQ: 0, Total Found: 18)_x000D_
Found in: Measurement sheet (18)</t>
        </r>
      </text>
    </comment>
    <comment ref="G16" authorId="0" shapeId="0" xr:uid="{4CF5CBA9-EB99-49F5-903A-6A232B162211}">
      <text>
        <r>
          <rPr>
            <sz val="9"/>
            <color indexed="81"/>
            <rFont val="Tahoma"/>
            <family val="2"/>
          </rPr>
          <t>?? NOT LINKED &amp; MISMATCH._x000D_
(BOQ: 0, Total Found: 3)_x000D_
Found in: Measurement sheet (3)</t>
        </r>
      </text>
    </comment>
    <comment ref="G17" authorId="0" shapeId="0" xr:uid="{51708E60-C030-423A-A1AF-DBB27EE8F124}">
      <text>
        <r>
          <rPr>
            <sz val="9"/>
            <color indexed="81"/>
            <rFont val="Tahoma"/>
            <family val="2"/>
          </rPr>
          <t>? CORRECTLY LINKED to a valid total in 'Measurement sheet'._x000D_
(Value: 2)</t>
        </r>
      </text>
    </comment>
    <comment ref="G20" authorId="0" shapeId="0" xr:uid="{D87F30BE-4624-44D8-96FF-EE80B92D7A0E}">
      <text>
        <r>
          <rPr>
            <sz val="9"/>
            <color indexed="81"/>
            <rFont val="Tahoma"/>
            <family val="2"/>
          </rPr>
          <t>?? NOT LINKED &amp; MISMATCH._x000D_
(BOQ: 0, Total Found: 2317.1297)_x000D_
Found in: Measurement sheet (2317.1297)</t>
        </r>
      </text>
    </comment>
    <comment ref="G21" authorId="0" shapeId="0" xr:uid="{F9560375-73FA-4BD6-BA3D-77327E01CB42}">
      <text>
        <r>
          <rPr>
            <sz val="9"/>
            <color indexed="81"/>
            <rFont val="Tahoma"/>
            <family val="2"/>
          </rPr>
          <t>?? NOT LINKED._x000D_
(BOQ: 0, No matching item found in any measurement sheet)</t>
        </r>
      </text>
    </comment>
    <comment ref="G22" authorId="0" shapeId="0" xr:uid="{1888F25A-8EBB-4F9A-BA7B-E36309419DF2}">
      <text>
        <r>
          <rPr>
            <sz val="9"/>
            <color indexed="81"/>
            <rFont val="Tahoma"/>
            <family val="2"/>
          </rPr>
          <t>?? NOT LINKED &amp; MISMATCH._x000D_
(BOQ: 0, Total Found: 1)_x000D_
Found in: Measurement sheet (1)</t>
        </r>
      </text>
    </comment>
    <comment ref="G23" authorId="0" shapeId="0" xr:uid="{A5B78DA1-5B90-476C-81D7-49D65FD6CA14}">
      <text>
        <r>
          <rPr>
            <sz val="9"/>
            <color indexed="81"/>
            <rFont val="Tahoma"/>
            <family val="2"/>
          </rPr>
          <t>? CORRECTLY LINKED to a valid total in 'Measurement sheet'._x000D_
(Value: 851.395)</t>
        </r>
      </text>
    </comment>
    <comment ref="G26" authorId="0" shapeId="0" xr:uid="{5D3F4EA9-E969-4EE3-A7D0-D28EDF8F9DA4}">
      <text>
        <r>
          <rPr>
            <sz val="9"/>
            <color indexed="81"/>
            <rFont val="Tahoma"/>
            <family val="2"/>
          </rPr>
          <t>?? NOT LINKED &amp; MISMATCH._x000D_
(BOQ: 0, Total Found: 2317.1297)_x000D_
Found in: Measurement sheet (2317.1297)</t>
        </r>
      </text>
    </comment>
    <comment ref="G27" authorId="0" shapeId="0" xr:uid="{25374273-DAAA-475B-AE6D-5C4D84A38F27}">
      <text>
        <r>
          <rPr>
            <sz val="9"/>
            <color indexed="81"/>
            <rFont val="Tahoma"/>
            <family val="2"/>
          </rPr>
          <t>?? NOT LINKED._x000D_
(BOQ: 0, No matching item found in any measurement sheet)</t>
        </r>
      </text>
    </comment>
    <comment ref="G28" authorId="0" shapeId="0" xr:uid="{53664EE8-6C6E-4AA0-A319-44931F33DD9C}">
      <text>
        <r>
          <rPr>
            <sz val="9"/>
            <color indexed="81"/>
            <rFont val="Tahoma"/>
            <family val="2"/>
          </rPr>
          <t>?? NOT LINKED &amp; MISMATCH._x000D_
(BOQ: 0, Total Found: 1)_x000D_
Found in: Measurement sheet (1)</t>
        </r>
      </text>
    </comment>
    <comment ref="G29" authorId="0" shapeId="0" xr:uid="{95A52350-56C8-4B0A-B2B8-590E4FC2EF3C}">
      <text>
        <r>
          <rPr>
            <sz val="9"/>
            <color indexed="81"/>
            <rFont val="Tahoma"/>
            <family val="2"/>
          </rPr>
          <t>?? NOT LINKED &amp; MISMATCH._x000D_
(BOQ: 0, Total Found: 851.395)_x000D_
Found in: Measurement sheet (851.395)</t>
        </r>
      </text>
    </comment>
    <comment ref="G30" authorId="0" shapeId="0" xr:uid="{58545869-2FA2-4700-B1A8-92E5D216F0E5}">
      <text>
        <r>
          <rPr>
            <sz val="9"/>
            <color indexed="81"/>
            <rFont val="Tahoma"/>
            <family val="2"/>
          </rPr>
          <t>?? NOT LINKED &amp; MISMATCH._x000D_
(BOQ: 0, Total Found: 29.41)_x000D_
Found in: Measurement sheet (29.41)</t>
        </r>
      </text>
    </comment>
    <comment ref="G31" authorId="0" shapeId="0" xr:uid="{688D35FC-FC85-4C49-B943-6745CF13E924}">
      <text>
        <r>
          <rPr>
            <sz val="9"/>
            <color indexed="81"/>
            <rFont val="Tahoma"/>
            <family val="2"/>
          </rPr>
          <t>?? NOT LINKED._x000D_
(BOQ: 0, No matching item found in any measurement sheet)</t>
        </r>
      </text>
    </comment>
    <comment ref="G32" authorId="0" shapeId="0" xr:uid="{E29C83B0-D962-4A34-89ED-86B8697913AC}">
      <text>
        <r>
          <rPr>
            <sz val="9"/>
            <color indexed="81"/>
            <rFont val="Tahoma"/>
            <family val="2"/>
          </rPr>
          <t>?? NOT LINKED._x000D_
(BOQ: 0, No matching item found in any measurement sheet)</t>
        </r>
      </text>
    </comment>
    <comment ref="G33" authorId="0" shapeId="0" xr:uid="{0788BF59-ECA2-4E60-AF5D-73C37FE7D5F0}">
      <text>
        <r>
          <rPr>
            <sz val="9"/>
            <color indexed="81"/>
            <rFont val="Tahoma"/>
            <family val="2"/>
          </rPr>
          <t>?? NOT LINKED &amp; MISMATCH._x000D_
(BOQ: 0, Total Found: 2088.4058)_x000D_
Found in: Measurement sheet (2088.4058)</t>
        </r>
      </text>
    </comment>
    <comment ref="G34" authorId="0" shapeId="0" xr:uid="{2358ED03-ECF2-425C-A098-9F8F961A1877}">
      <text>
        <r>
          <rPr>
            <sz val="9"/>
            <color indexed="81"/>
            <rFont val="Tahoma"/>
            <family val="2"/>
          </rPr>
          <t>?? NOT LINKED._x000D_
(BOQ: 0, No matching item found in any measurement sheet)</t>
        </r>
      </text>
    </comment>
    <comment ref="G35" authorId="0" shapeId="0" xr:uid="{E3F10C48-D463-46E9-BD2C-7CD76F90E42D}">
      <text>
        <r>
          <rPr>
            <sz val="9"/>
            <color indexed="81"/>
            <rFont val="Tahoma"/>
            <family val="2"/>
          </rPr>
          <t>?? NOT LINKED &amp; MISMATCH._x000D_
(BOQ: 0, Total Found: 1)_x000D_
Found in: Measurement sheet (1)</t>
        </r>
      </text>
    </comment>
    <comment ref="G36" authorId="0" shapeId="0" xr:uid="{3465C6EF-DB01-46E2-B747-5F0E08DFCCFC}">
      <text>
        <r>
          <rPr>
            <sz val="9"/>
            <color indexed="81"/>
            <rFont val="Tahoma"/>
            <family val="2"/>
          </rPr>
          <t>?? NOT LINKED &amp; MISMATCH._x000D_
(BOQ: 0, Total Found: 1)_x000D_
Found in: Measurement sheet (1)</t>
        </r>
      </text>
    </comment>
    <comment ref="G39" authorId="0" shapeId="0" xr:uid="{C27DBEE1-A331-4704-A33E-C6B4CEADA4C3}">
      <text>
        <r>
          <rPr>
            <sz val="9"/>
            <color indexed="81"/>
            <rFont val="Tahoma"/>
            <family val="2"/>
          </rPr>
          <t>? CORRECTLY LINKED to a valid total in 'Measurement sheet'._x000D_
(Value: 2317.1297)</t>
        </r>
      </text>
    </comment>
    <comment ref="G40" authorId="0" shapeId="0" xr:uid="{D9C9B2D3-B48E-4C21-AA7D-FFEDBC384698}">
      <text>
        <r>
          <rPr>
            <sz val="9"/>
            <color indexed="81"/>
            <rFont val="Tahoma"/>
            <family val="2"/>
          </rPr>
          <t>?? NOT LINKED._x000D_
(BOQ: 0, No matching item found in any measurement sheet)</t>
        </r>
      </text>
    </comment>
    <comment ref="G43" authorId="0" shapeId="0" xr:uid="{FEFCD6CF-7CC7-4883-91B5-4EC7869CFC39}">
      <text>
        <r>
          <rPr>
            <sz val="9"/>
            <color indexed="81"/>
            <rFont val="Tahoma"/>
            <family val="2"/>
          </rPr>
          <t>? CORRECTLY LINKED to a valid total in 'Measurement sheet'._x000D_
(Value: 285.0835)</t>
        </r>
      </text>
    </comment>
    <comment ref="G46" authorId="0" shapeId="0" xr:uid="{C0DB51D9-BA92-4871-909E-285AF6F29B5A}">
      <text>
        <r>
          <rPr>
            <sz val="9"/>
            <color indexed="81"/>
            <rFont val="Tahoma"/>
            <family val="2"/>
          </rPr>
          <t>? CORRECTLY LINKED to a valid total in 'Measurement sheet'._x000D_
(Value: 109.2835)</t>
        </r>
      </text>
    </comment>
    <comment ref="G49" authorId="0" shapeId="0" xr:uid="{87873F6F-73C7-4028-A32D-9CBEA09F736B}">
      <text>
        <r>
          <rPr>
            <sz val="9"/>
            <color indexed="81"/>
            <rFont val="Tahoma"/>
            <family val="2"/>
          </rPr>
          <t>? CORRECTLY LINKED to a valid total in 'Measurement sheet'._x000D_
(Value: 534.5)</t>
        </r>
      </text>
    </comment>
    <comment ref="G50" authorId="0" shapeId="0" xr:uid="{49F13750-41EF-4253-9E8B-DE57083E6699}">
      <text>
        <r>
          <rPr>
            <sz val="9"/>
            <color indexed="81"/>
            <rFont val="Tahoma"/>
            <family val="2"/>
          </rPr>
          <t>?? NOT LINKED._x000D_
(BOQ: 0, No matching item found in any measurement sheet)</t>
        </r>
      </text>
    </comment>
    <comment ref="G51" authorId="0" shapeId="0" xr:uid="{C6D7DF98-8E49-45F2-9222-AC1A120DACD7}">
      <text>
        <r>
          <rPr>
            <sz val="9"/>
            <color indexed="81"/>
            <rFont val="Tahoma"/>
            <family val="2"/>
          </rPr>
          <t>?? NOT LINKED &amp; MISMATCH._x000D_
(BOQ: 0, Total Found: 1)_x000D_
Found in: Measurement sheet (1)</t>
        </r>
      </text>
    </comment>
    <comment ref="G52" authorId="0" shapeId="0" xr:uid="{4BF246E1-A484-4A7E-BCF1-AC9669236FEC}">
      <text>
        <r>
          <rPr>
            <sz val="9"/>
            <color indexed="81"/>
            <rFont val="Tahoma"/>
            <family val="2"/>
          </rPr>
          <t>?? NOT LINKED &amp; MISMATCH._x000D_
(BOQ: 0, Total Found: 851.395)_x000D_
Found in: Measurement sheet (851.395)</t>
        </r>
      </text>
    </comment>
    <comment ref="G53" authorId="0" shapeId="0" xr:uid="{588608FD-29F5-407B-8F42-1594E210E428}">
      <text>
        <r>
          <rPr>
            <sz val="9"/>
            <color indexed="81"/>
            <rFont val="Tahoma"/>
            <family val="2"/>
          </rPr>
          <t>?? NOT LINKED &amp; MISMATCH._x000D_
(BOQ: 0, Total Found: 29.41)_x000D_
Found in: Measurement sheet (29.41)</t>
        </r>
      </text>
    </comment>
    <comment ref="G54" authorId="0" shapeId="0" xr:uid="{8D32362F-1AC0-4834-BC2D-98BC53A9E669}">
      <text>
        <r>
          <rPr>
            <sz val="9"/>
            <color indexed="81"/>
            <rFont val="Tahoma"/>
            <family val="2"/>
          </rPr>
          <t>?? NOT LINKED._x000D_
(BOQ: 0, No matching item found in any measurement sheet)</t>
        </r>
      </text>
    </comment>
    <comment ref="G55" authorId="0" shapeId="0" xr:uid="{5F105DE3-EC1A-4D2B-8E60-8B9E84589750}">
      <text>
        <r>
          <rPr>
            <sz val="9"/>
            <color indexed="81"/>
            <rFont val="Tahoma"/>
            <family val="2"/>
          </rPr>
          <t>?? NOT LINKED._x000D_
(BOQ: 0, No matching item found in any measurement sheet)</t>
        </r>
      </text>
    </comment>
    <comment ref="G58" authorId="0" shapeId="0" xr:uid="{05E32FE3-1936-415E-9EC6-A7A70428B9B1}">
      <text>
        <r>
          <rPr>
            <sz val="9"/>
            <color indexed="81"/>
            <rFont val="Tahoma"/>
            <family val="2"/>
          </rPr>
          <t>?? NOT LINKED &amp; MISMATCH._x000D_
(BOQ: 0, Total Found: 2317.1297)_x000D_
Found in: Measurement sheet (2317.1297)</t>
        </r>
      </text>
    </comment>
    <comment ref="G59" authorId="0" shapeId="0" xr:uid="{C4F083CC-F0FB-4344-911C-C4EF411271D8}">
      <text>
        <r>
          <rPr>
            <sz val="9"/>
            <color indexed="81"/>
            <rFont val="Tahoma"/>
            <family val="2"/>
          </rPr>
          <t>?? NOT LINKED._x000D_
(BOQ: 0, No matching item found in any measurement sheet)</t>
        </r>
      </text>
    </comment>
    <comment ref="G63" authorId="0" shapeId="0" xr:uid="{5380CD1D-4321-4DE6-946A-EA46406A4F95}">
      <text>
        <r>
          <rPr>
            <sz val="9"/>
            <color indexed="81"/>
            <rFont val="Tahoma"/>
            <family val="2"/>
          </rPr>
          <t>? CORRECTLY LINKED to a valid total in 'Measurement sheet'._x000D_
(Value: 2088.4058)</t>
        </r>
      </text>
    </comment>
    <comment ref="G64" authorId="0" shapeId="0" xr:uid="{60DC1EFF-8CA6-46BA-AADE-9BE530EC9CFF}">
      <text>
        <r>
          <rPr>
            <sz val="9"/>
            <color indexed="81"/>
            <rFont val="Tahoma"/>
            <family val="2"/>
          </rPr>
          <t>? CORRECTLY LINKED to a valid total in 'Measurement sheet'._x000D_
(Value: 86.45)</t>
        </r>
      </text>
    </comment>
    <comment ref="G65" authorId="0" shapeId="0" xr:uid="{6704FE65-151C-4A36-9C5C-E99223500A4D}">
      <text>
        <r>
          <rPr>
            <sz val="9"/>
            <color indexed="81"/>
            <rFont val="Tahoma"/>
            <family val="2"/>
          </rPr>
          <t>? CORRECTLY LINKED to a valid total in 'Measurement sheet'._x000D_
(Value: 1359.3185)</t>
        </r>
      </text>
    </comment>
    <comment ref="G66" authorId="0" shapeId="0" xr:uid="{D4AD748A-36B4-41B9-908E-FA8E4903A340}">
      <text>
        <r>
          <rPr>
            <sz val="9"/>
            <color indexed="81"/>
            <rFont val="Tahoma"/>
            <family val="2"/>
          </rPr>
          <t>? CORRECTLY LINKED to a valid total in 'Measurement sheet'._x000D_
(Value: 129.89)</t>
        </r>
      </text>
    </comment>
    <comment ref="G69" authorId="0" shapeId="0" xr:uid="{7A8DFCC0-F059-4466-9CAF-E21D1B94F872}">
      <text>
        <r>
          <rPr>
            <sz val="9"/>
            <color indexed="81"/>
            <rFont val="Tahoma"/>
            <family val="2"/>
          </rPr>
          <t>?? NOT LINKED &amp; MISMATCH._x000D_
(BOQ: 0, Total Found: 2088.4058)_x000D_
Found in: Measurement sheet (2088.4058)</t>
        </r>
      </text>
    </comment>
    <comment ref="G70" authorId="0" shapeId="0" xr:uid="{07F52518-6DD5-4F91-8E2B-8B42E4B6B169}">
      <text>
        <r>
          <rPr>
            <sz val="9"/>
            <color indexed="81"/>
            <rFont val="Tahoma"/>
            <family val="2"/>
          </rPr>
          <t>?? NOT LINKED &amp; MISMATCH._x000D_
(BOQ: 0, Total Found: 932.39)_x000D_
Found in: Measurement sheet (932.39)</t>
        </r>
      </text>
    </comment>
    <comment ref="G73" authorId="0" shapeId="0" xr:uid="{D5172CBB-0F4D-46A2-9083-4ABB892A1FAD}">
      <text>
        <r>
          <rPr>
            <sz val="9"/>
            <color indexed="81"/>
            <rFont val="Tahoma"/>
            <family val="2"/>
          </rPr>
          <t>?? NOT LINKED &amp; MISMATCH._x000D_
(BOQ: 0, Total Found: 2088.4058)_x000D_
Found in: Measurement sheet (2088.4058)</t>
        </r>
      </text>
    </comment>
    <comment ref="G74" authorId="0" shapeId="0" xr:uid="{FBADD0A9-F96B-4EE4-ACD7-2489CAF5829D}">
      <text>
        <r>
          <rPr>
            <sz val="9"/>
            <color indexed="81"/>
            <rFont val="Tahoma"/>
            <family val="2"/>
          </rPr>
          <t>?? NOT LINKED &amp; MISMATCH._x000D_
(BOQ: 0, Total Found: 932.39)_x000D_
Found in: Measurement sheet (932.39)</t>
        </r>
      </text>
    </comment>
    <comment ref="G77" authorId="0" shapeId="0" xr:uid="{25E59002-97E3-468A-9ADA-B273BBC4D21D}">
      <text>
        <r>
          <rPr>
            <sz val="9"/>
            <color indexed="81"/>
            <rFont val="Tahoma"/>
            <family val="2"/>
          </rPr>
          <t>?? NOT LINKED &amp; MISMATCH._x000D_
(BOQ: 0, Total Found: 2088.4058)_x000D_
Found in: Measurement sheet (2088.4058)</t>
        </r>
      </text>
    </comment>
    <comment ref="G80" authorId="0" shapeId="0" xr:uid="{DEDF4050-D673-4033-A719-B7D10E74AF71}">
      <text>
        <r>
          <rPr>
            <sz val="9"/>
            <color indexed="81"/>
            <rFont val="Tahoma"/>
            <family val="2"/>
          </rPr>
          <t>?? NOT LINKED &amp; MISMATCH._x000D_
(BOQ: 0, Total Found: 2088.4058)_x000D_
Found in: Measurement sheet (2088.4058)</t>
        </r>
      </text>
    </comment>
    <comment ref="G83" authorId="0" shapeId="0" xr:uid="{E497657A-F7F4-46C6-BA65-C7E9ADF9DBBB}">
      <text>
        <r>
          <rPr>
            <sz val="9"/>
            <color indexed="81"/>
            <rFont val="Tahoma"/>
            <family val="2"/>
          </rPr>
          <t>? CORRECTLY LINKED to a valid total in 'Measurement sheet'._x000D_
(Value: 418.5164)</t>
        </r>
      </text>
    </comment>
    <comment ref="G86" authorId="0" shapeId="0" xr:uid="{49661C8F-E93C-44D5-A32D-F48CC19AF4EE}">
      <text>
        <r>
          <rPr>
            <sz val="9"/>
            <color indexed="81"/>
            <rFont val="Tahoma"/>
            <family val="2"/>
          </rPr>
          <t>? CORRECTLY LINKED to a valid total in 'Measurement sheet'._x000D_
(Value: 73.3244)</t>
        </r>
      </text>
    </comment>
    <comment ref="G87" authorId="0" shapeId="0" xr:uid="{2CE3FCAA-CB28-4C93-8066-040D97A8B60E}">
      <text>
        <r>
          <rPr>
            <sz val="9"/>
            <color indexed="81"/>
            <rFont val="Tahoma"/>
            <family val="2"/>
          </rPr>
          <t>?? NOT LINKED &amp; MISMATCH._x000D_
(BOQ: 0, Total Found: 932.39)_x000D_
Found in: Measurement sheet (932.39)</t>
        </r>
      </text>
    </comment>
    <comment ref="G90" authorId="0" shapeId="0" xr:uid="{BD598F5A-FBA7-4542-A447-7718DD0EF8EC}">
      <text>
        <r>
          <rPr>
            <sz val="9"/>
            <color indexed="81"/>
            <rFont val="Tahoma"/>
            <family val="2"/>
          </rPr>
          <t>?? NOT LINKED &amp; MISMATCH._x000D_
(BOQ: 0, Total Found: 2088.4058)_x000D_
Found in: Measurement sheet (2088.4058)</t>
        </r>
      </text>
    </comment>
    <comment ref="G91" authorId="0" shapeId="0" xr:uid="{C44CF0CB-E3D0-43F6-AE20-258FF2338121}">
      <text>
        <r>
          <rPr>
            <sz val="9"/>
            <color indexed="81"/>
            <rFont val="Tahoma"/>
            <family val="2"/>
          </rPr>
          <t>? CORRECTLY LINKED to a valid total in 'Measurement sheet'._x000D_
(Value: 2191.5)</t>
        </r>
      </text>
    </comment>
    <comment ref="G94" authorId="0" shapeId="0" xr:uid="{A7983D07-CB0C-4F25-A208-9F663FA8DAAD}">
      <text>
        <r>
          <rPr>
            <sz val="9"/>
            <color indexed="81"/>
            <rFont val="Tahoma"/>
            <family val="2"/>
          </rPr>
          <t>?? NOT LINKED &amp; MISMATCH._x000D_
(BOQ: 0, Total Found: 2088.4058)_x000D_
Found in: Measurement sheet (2088.4058)</t>
        </r>
      </text>
    </comment>
    <comment ref="G95" authorId="0" shapeId="0" xr:uid="{C09F950D-DCF9-408A-913A-4AA969145189}">
      <text>
        <r>
          <rPr>
            <sz val="9"/>
            <color indexed="81"/>
            <rFont val="Tahoma"/>
            <family val="2"/>
          </rPr>
          <t>?? NOT LINKED &amp; MISMATCH._x000D_
(BOQ: 0, Total Found: 932.39)_x000D_
Found in: Measurement sheet (932.39)</t>
        </r>
      </text>
    </comment>
    <comment ref="G98" authorId="0" shapeId="0" xr:uid="{AB3E9803-3665-4603-A3F8-5BDBE95D4CB1}">
      <text>
        <r>
          <rPr>
            <sz val="9"/>
            <color indexed="81"/>
            <rFont val="Tahoma"/>
            <family val="2"/>
          </rPr>
          <t>? CORRECTLY LINKED to a valid total in 'Measurement sheet'._x000D_
(Value: 20)</t>
        </r>
      </text>
    </comment>
    <comment ref="G99" authorId="0" shapeId="0" xr:uid="{0F7F5D0F-8B82-451A-99BD-62F9AD3D9875}">
      <text>
        <r>
          <rPr>
            <sz val="9"/>
            <color indexed="81"/>
            <rFont val="Tahoma"/>
            <family val="2"/>
          </rPr>
          <t>?? NOT LINKED._x000D_
(BOQ: 0, No matching item found in any measurement sheet)</t>
        </r>
      </text>
    </comment>
    <comment ref="G100" authorId="0" shapeId="0" xr:uid="{56DCB637-5B50-4DF8-A353-FCA00F441A6C}">
      <text>
        <r>
          <rPr>
            <sz val="9"/>
            <color indexed="81"/>
            <rFont val="Tahoma"/>
            <family val="2"/>
          </rPr>
          <t>?? NOT LINKED &amp; MISMATCH._x000D_
(BOQ: 0, Total Found: 1)_x000D_
Found in: Measurement sheet (1)</t>
        </r>
      </text>
    </comment>
    <comment ref="G101" authorId="0" shapeId="0" xr:uid="{502B0BA5-EC55-4769-A737-20B4F0AC7EB8}">
      <text>
        <r>
          <rPr>
            <sz val="9"/>
            <color indexed="81"/>
            <rFont val="Tahoma"/>
            <family val="2"/>
          </rPr>
          <t>? CORRECTLY LINKED to a valid total in 'Measurement sheet'._x000D_
(Value: 1)</t>
        </r>
      </text>
    </comment>
    <comment ref="G102" authorId="0" shapeId="0" xr:uid="{72E3192A-1C90-40DB-9830-A88B0C61B36B}">
      <text>
        <r>
          <rPr>
            <sz val="9"/>
            <color indexed="81"/>
            <rFont val="Tahoma"/>
            <family val="2"/>
          </rPr>
          <t>? CORRECTLY LINKED to a valid total in 'Measurement sheet'._x000D_
(Value: 29.41)</t>
        </r>
      </text>
    </comment>
    <comment ref="G103" authorId="0" shapeId="0" xr:uid="{04D3111E-058C-43DB-B3D0-B8F10FA3C709}">
      <text>
        <r>
          <rPr>
            <sz val="9"/>
            <color indexed="81"/>
            <rFont val="Tahoma"/>
            <family val="2"/>
          </rPr>
          <t>? CORRECTLY LINKED to a valid total in 'Measurement sheet'._x000D_
(Value: 11.5)</t>
        </r>
      </text>
    </comment>
    <comment ref="G106" authorId="0" shapeId="0" xr:uid="{F31BD3BA-DCA7-4AA9-BAD2-CD4FD3901883}">
      <text>
        <r>
          <rPr>
            <sz val="9"/>
            <color indexed="81"/>
            <rFont val="Tahoma"/>
            <family val="2"/>
          </rPr>
          <t>?? NOT LINKED &amp; MISMATCH._x000D_
(BOQ: 0, Total Found: 2317.1297)_x000D_
Found in: Measurement sheet (2317.1297)</t>
        </r>
      </text>
    </comment>
    <comment ref="G107" authorId="0" shapeId="0" xr:uid="{F48CA4AC-3002-49CA-9215-23D1834A526C}">
      <text>
        <r>
          <rPr>
            <sz val="9"/>
            <color indexed="81"/>
            <rFont val="Tahoma"/>
            <family val="2"/>
          </rPr>
          <t>?? NOT LINKED._x000D_
(BOQ: 0, No matching item found in any measurement sheet)</t>
        </r>
      </text>
    </comment>
    <comment ref="G108" authorId="0" shapeId="0" xr:uid="{6887B549-09AF-43CA-B8C8-7A2CF7B2A7D8}">
      <text>
        <r>
          <rPr>
            <sz val="9"/>
            <color indexed="81"/>
            <rFont val="Tahoma"/>
            <family val="2"/>
          </rPr>
          <t>?? NOT LINKED &amp; MISMATCH._x000D_
(BOQ: 0, Total Found: 1)_x000D_
Found in: Measurement sheet (1)</t>
        </r>
      </text>
    </comment>
    <comment ref="G109" authorId="0" shapeId="0" xr:uid="{5A884B70-3501-450B-8DF9-A16630EECCF7}">
      <text>
        <r>
          <rPr>
            <sz val="9"/>
            <color indexed="81"/>
            <rFont val="Tahoma"/>
            <family val="2"/>
          </rPr>
          <t>?? NOT LINKED &amp; MISMATCH._x000D_
(BOQ: 0, Total Found: 851.395)_x000D_
Found in: Measurement sheet (851.395)</t>
        </r>
      </text>
    </comment>
    <comment ref="G110" authorId="0" shapeId="0" xr:uid="{DC85E315-C2FA-4175-96DF-BB0EAE572364}">
      <text>
        <r>
          <rPr>
            <sz val="9"/>
            <color indexed="81"/>
            <rFont val="Tahoma"/>
            <family val="2"/>
          </rPr>
          <t>? CORRECTLY LINKED to a valid total in 'Measurement sheet'._x000D_
(Value: 85.04)</t>
        </r>
      </text>
    </comment>
    <comment ref="G111" authorId="0" shapeId="0" xr:uid="{BB04AEB6-175E-4C31-BB0A-2AA1D88A77DB}">
      <text>
        <r>
          <rPr>
            <sz val="9"/>
            <color indexed="81"/>
            <rFont val="Tahoma"/>
            <family val="2"/>
          </rPr>
          <t>? CORRECTLY LINKED to a valid total in 'Measurement sheet'._x000D_
(Value: 84)</t>
        </r>
      </text>
    </comment>
    <comment ref="G112" authorId="0" shapeId="0" xr:uid="{F327BC49-21C0-4134-A232-FC928A56FBDF}">
      <text>
        <r>
          <rPr>
            <sz val="9"/>
            <color indexed="81"/>
            <rFont val="Tahoma"/>
            <family val="2"/>
          </rPr>
          <t>?? NOT LINKED._x000D_
(BOQ: 0, No matching item found in any measurement sheet)</t>
        </r>
      </text>
    </comment>
    <comment ref="G115" authorId="0" shapeId="0" xr:uid="{2C21D0E1-E762-4C85-B0D1-9FA85493B36F}">
      <text>
        <r>
          <rPr>
            <sz val="9"/>
            <color indexed="81"/>
            <rFont val="Tahoma"/>
            <family val="2"/>
          </rPr>
          <t>?? NOT LINKED &amp; MISMATCH._x000D_
(BOQ: 0, Total Found: 2317.1297)_x000D_
Found in: Measurement sheet (2317.1297)</t>
        </r>
      </text>
    </comment>
    <comment ref="G118" authorId="0" shapeId="0" xr:uid="{EDD01340-3132-4E36-91FF-54127C9662F5}">
      <text>
        <r>
          <rPr>
            <sz val="9"/>
            <color indexed="81"/>
            <rFont val="Tahoma"/>
            <family val="2"/>
          </rPr>
          <t>?? NOT LINKED &amp; MISMATCH._x000D_
(BOQ: 0, Total Found: 2317.1297)_x000D_
Found in: Measurement sheet (2317.1297)</t>
        </r>
      </text>
    </comment>
    <comment ref="G119" authorId="0" shapeId="0" xr:uid="{8BE3CFC6-182B-4D78-B72A-8F04154EF7FC}">
      <text>
        <r>
          <rPr>
            <sz val="9"/>
            <color indexed="81"/>
            <rFont val="Tahoma"/>
            <family val="2"/>
          </rPr>
          <t>?? NOT LINKED._x000D_
(BOQ: 0, No matching item found in any measurement sheet)</t>
        </r>
      </text>
    </comment>
    <comment ref="G122" authorId="0" shapeId="0" xr:uid="{5352E786-180C-4426-9D57-4A9B1BC5B53A}">
      <text>
        <r>
          <rPr>
            <sz val="9"/>
            <color indexed="81"/>
            <rFont val="Tahoma"/>
            <family val="2"/>
          </rPr>
          <t>?? NOT LINKED &amp; MISMATCH._x000D_
(BOQ: 0, Total Found: 2317.1297)_x000D_
Found in: Measurement sheet (2317.1297)</t>
        </r>
      </text>
    </comment>
    <comment ref="G123" authorId="0" shapeId="0" xr:uid="{C97DE085-8EBB-47BE-90B4-D9F8FF3A956D}">
      <text>
        <r>
          <rPr>
            <sz val="9"/>
            <color indexed="81"/>
            <rFont val="Tahoma"/>
            <family val="2"/>
          </rPr>
          <t>?? NOT LINKED._x000D_
(BOQ: 0, No matching item found in any measurement sheet)</t>
        </r>
      </text>
    </comment>
    <comment ref="G126" authorId="0" shapeId="0" xr:uid="{049B9FD4-ED94-4FB6-B40D-D2E9B582EB28}">
      <text>
        <r>
          <rPr>
            <sz val="9"/>
            <color indexed="81"/>
            <rFont val="Tahoma"/>
            <family val="2"/>
          </rPr>
          <t>? CORRECTLY LINKED to a valid total in 'Measurement sheet'._x000D_
(Value: 1.25)</t>
        </r>
      </text>
    </comment>
    <comment ref="G127" authorId="0" shapeId="0" xr:uid="{5418D944-07BC-46D3-8846-0DA2C1AB11FD}">
      <text>
        <r>
          <rPr>
            <sz val="9"/>
            <color indexed="81"/>
            <rFont val="Tahoma"/>
            <family val="2"/>
          </rPr>
          <t>? CORRECTLY LINKED to a valid total in 'Measurement sheet'._x000D_
(Value: 1)</t>
        </r>
      </text>
    </comment>
    <comment ref="G128" authorId="0" shapeId="0" xr:uid="{0011F108-60AD-4824-B3C7-2C4577E73D94}">
      <text>
        <r>
          <rPr>
            <sz val="9"/>
            <color indexed="81"/>
            <rFont val="Tahoma"/>
            <family val="2"/>
          </rPr>
          <t>? CORRECTLY LINKED to a valid total in 'Measurement sheet'._x000D_
(Value: 1)</t>
        </r>
      </text>
    </comment>
    <comment ref="G129" authorId="0" shapeId="0" xr:uid="{7585CF5F-0803-4D42-A976-F86925318F40}">
      <text>
        <r>
          <rPr>
            <sz val="9"/>
            <color indexed="81"/>
            <rFont val="Tahoma"/>
            <family val="2"/>
          </rPr>
          <t>? CORRECTLY LINKED to a valid total in 'Measurement sheet'._x000D_
(Value: 1)</t>
        </r>
      </text>
    </comment>
    <comment ref="G130" authorId="0" shapeId="0" xr:uid="{3D8E8AB0-BE88-485D-AA92-F81C43CDC768}">
      <text>
        <r>
          <rPr>
            <sz val="9"/>
            <color indexed="81"/>
            <rFont val="Tahoma"/>
            <family val="2"/>
          </rPr>
          <t>? CORRECTLY LINKED to a valid total in 'Measurement sheet'._x000D_
(Value: 4)</t>
        </r>
      </text>
    </comment>
    <comment ref="G131" authorId="0" shapeId="0" xr:uid="{3D38C11A-DE71-440A-8CE9-BEBFDA64B1E4}">
      <text>
        <r>
          <rPr>
            <sz val="9"/>
            <color indexed="81"/>
            <rFont val="Tahoma"/>
            <family val="2"/>
          </rPr>
          <t>? CORRECTLY LINKED to a valid total in 'Measurement sheet'._x000D_
(Value: 1)</t>
        </r>
      </text>
    </comment>
    <comment ref="G134" authorId="0" shapeId="0" xr:uid="{96DF463E-3A85-4FA0-B19A-52FFC4B7F1F6}">
      <text>
        <r>
          <rPr>
            <sz val="9"/>
            <color indexed="81"/>
            <rFont val="Tahoma"/>
            <family val="2"/>
          </rPr>
          <t>? CORRECTLY LINKED to a valid total in 'Measurement sheet'._x000D_
(Value: 2)</t>
        </r>
      </text>
    </comment>
    <comment ref="G135" authorId="0" shapeId="0" xr:uid="{A73A8EC3-75E1-4DE7-958E-B26C3D1A4169}">
      <text>
        <r>
          <rPr>
            <sz val="9"/>
            <color indexed="81"/>
            <rFont val="Tahoma"/>
            <family val="2"/>
          </rPr>
          <t>?? NOT LINKED._x000D_
(BOQ: 0, No matching item found in any measurement sheet)</t>
        </r>
      </text>
    </comment>
    <comment ref="G136" authorId="0" shapeId="0" xr:uid="{F4BC8A70-F25E-4C08-91A9-385AF844CF7C}">
      <text>
        <r>
          <rPr>
            <sz val="9"/>
            <color indexed="81"/>
            <rFont val="Tahoma"/>
            <family val="2"/>
          </rPr>
          <t>?? NOT LINKED &amp; MISMATCH._x000D_
(BOQ: 0, Total Found: 1)_x000D_
Found in: Measurement sheet (1)</t>
        </r>
      </text>
    </comment>
    <comment ref="G137" authorId="0" shapeId="0" xr:uid="{E680980E-EC2F-4051-8A6C-33BDCC1E8671}">
      <text>
        <r>
          <rPr>
            <sz val="9"/>
            <color indexed="81"/>
            <rFont val="Tahoma"/>
            <family val="2"/>
          </rPr>
          <t>? CORRECTLY LINKED to a valid total in 'Measurement sheet'._x000D_
(Value: 2)</t>
        </r>
      </text>
    </comment>
    <comment ref="G138" authorId="0" shapeId="0" xr:uid="{E9FA79A0-44D2-467B-BED0-2B549FCDF392}">
      <text>
        <r>
          <rPr>
            <sz val="9"/>
            <color indexed="81"/>
            <rFont val="Tahoma"/>
            <family val="2"/>
          </rPr>
          <t>? CORRECTLY LINKED to a valid total in 'Measurement sheet'._x000D_
(Value: 4)</t>
        </r>
      </text>
    </comment>
    <comment ref="G139" authorId="0" shapeId="0" xr:uid="{5B72E5D5-2D35-4D28-B002-DB86E15B02D7}">
      <text>
        <r>
          <rPr>
            <sz val="9"/>
            <color indexed="81"/>
            <rFont val="Tahoma"/>
            <family val="2"/>
          </rPr>
          <t>?? NOT LINKED._x000D_
(BOQ: 0, No matching item found in any measurement sheet)</t>
        </r>
      </text>
    </comment>
    <comment ref="G140" authorId="0" shapeId="0" xr:uid="{3F99FBE6-77F6-4F57-98A2-DBCAAC9E81E6}">
      <text>
        <r>
          <rPr>
            <sz val="9"/>
            <color indexed="81"/>
            <rFont val="Tahoma"/>
            <family val="2"/>
          </rPr>
          <t>?? NOT LINKED._x000D_
(BOQ: 0, No matching item found in any measurement sheet)</t>
        </r>
      </text>
    </comment>
    <comment ref="G141" authorId="0" shapeId="0" xr:uid="{6F4E4479-EEAA-4C57-9D75-343EDECA77D3}">
      <text>
        <r>
          <rPr>
            <sz val="9"/>
            <color indexed="81"/>
            <rFont val="Tahoma"/>
            <family val="2"/>
          </rPr>
          <t>? CORRECTLY LINKED to a valid total in 'Measurement sheet'._x000D_
(Value: 0)</t>
        </r>
      </text>
    </comment>
    <comment ref="G144" authorId="0" shapeId="0" xr:uid="{FF910CC2-2574-4EDB-B219-FA738DF3CD4A}">
      <text>
        <r>
          <rPr>
            <sz val="9"/>
            <color indexed="81"/>
            <rFont val="Tahoma"/>
            <family val="2"/>
          </rPr>
          <t>? CORRECTLY LINKED to a valid total in 'Measurement sheet'._x000D_
(Value: 0)</t>
        </r>
      </text>
    </comment>
    <comment ref="G145" authorId="0" shapeId="0" xr:uid="{56040DC2-1549-4701-BA0C-720679E4C373}">
      <text>
        <r>
          <rPr>
            <sz val="9"/>
            <color indexed="81"/>
            <rFont val="Tahoma"/>
            <family val="2"/>
          </rPr>
          <t>? CORRECTLY LINKED to a valid total in 'Measurement sheet'._x000D_
(Value: 6)</t>
        </r>
      </text>
    </comment>
    <comment ref="G146" authorId="0" shapeId="0" xr:uid="{40D877C9-9673-4449-BCBC-2FA1EBCDDADB}">
      <text>
        <r>
          <rPr>
            <sz val="9"/>
            <color indexed="81"/>
            <rFont val="Tahoma"/>
            <family val="2"/>
          </rPr>
          <t>? CORRECTLY LINKED to a valid total in 'Measurement sheet'._x000D_
(Value: 2)</t>
        </r>
      </text>
    </comment>
    <comment ref="G147" authorId="0" shapeId="0" xr:uid="{7D51DC0C-5BA0-4931-80A5-7B3C1815D0FF}">
      <text>
        <r>
          <rPr>
            <sz val="9"/>
            <color indexed="81"/>
            <rFont val="Tahoma"/>
            <family val="2"/>
          </rPr>
          <t>? CORRECTLY LINKED to a valid total in 'Measurement sheet'._x000D_
(Value: 4)</t>
        </r>
      </text>
    </comment>
    <comment ref="G148" authorId="0" shapeId="0" xr:uid="{83D0732A-9268-47BB-B1E8-E674EA15212E}">
      <text>
        <r>
          <rPr>
            <sz val="9"/>
            <color indexed="81"/>
            <rFont val="Tahoma"/>
            <family val="2"/>
          </rPr>
          <t>? CORRECTLY LINKED to a valid total in 'Measurement sheet'._x000D_
(Value: 4)</t>
        </r>
      </text>
    </comment>
    <comment ref="G149" authorId="0" shapeId="0" xr:uid="{DFD77650-D049-4E75-8A62-FC212538B11A}">
      <text>
        <r>
          <rPr>
            <sz val="9"/>
            <color indexed="81"/>
            <rFont val="Tahoma"/>
            <family val="2"/>
          </rPr>
          <t>?? NOT LINKED._x000D_
(BOQ: 0, No matching item found in any measurement sheet)</t>
        </r>
      </text>
    </comment>
    <comment ref="G150" authorId="0" shapeId="0" xr:uid="{AE0C9E37-6E3E-4CFF-AF26-17D598339F96}">
      <text>
        <r>
          <rPr>
            <sz val="9"/>
            <color indexed="81"/>
            <rFont val="Tahoma"/>
            <family val="2"/>
          </rPr>
          <t>? CORRECTLY LINKED to a valid total in 'Measurement sheet'._x000D_
(Value: 0)</t>
        </r>
      </text>
    </comment>
    <comment ref="G151" authorId="0" shapeId="0" xr:uid="{F9FDE8A9-8E1B-41B2-AD95-754EC6BBB698}">
      <text>
        <r>
          <rPr>
            <sz val="9"/>
            <color indexed="81"/>
            <rFont val="Tahoma"/>
            <family val="2"/>
          </rPr>
          <t>? CORRECTLY LINKED to a valid total in 'Measurement sheet'._x000D_
(Value: 2)</t>
        </r>
      </text>
    </comment>
    <comment ref="G154" authorId="0" shapeId="0" xr:uid="{6CBE36D5-75F2-422C-A284-17F80A49A1C9}">
      <text>
        <r>
          <rPr>
            <sz val="9"/>
            <color indexed="81"/>
            <rFont val="Tahoma"/>
            <family val="2"/>
          </rPr>
          <t>? CORRECTLY LINKED to a valid total in 'Measurement sheet'._x000D_
(Value: 4)</t>
        </r>
      </text>
    </comment>
    <comment ref="G155" authorId="0" shapeId="0" xr:uid="{E8F5A96D-6C93-4AE0-98A4-CD989EE63CBD}">
      <text>
        <r>
          <rPr>
            <sz val="9"/>
            <color indexed="81"/>
            <rFont val="Tahoma"/>
            <family val="2"/>
          </rPr>
          <t>? CORRECTLY LINKED to a valid total in 'Measurement sheet'._x000D_
(Value: 2)</t>
        </r>
      </text>
    </comment>
    <comment ref="G156" authorId="0" shapeId="0" xr:uid="{0418E091-8A9A-453C-A1D4-910B73F34A5B}">
      <text>
        <r>
          <rPr>
            <sz val="9"/>
            <color indexed="81"/>
            <rFont val="Tahoma"/>
            <family val="2"/>
          </rPr>
          <t>? CORRECTLY LINKED to a valid total in 'Measurement sheet'._x000D_
(Value: 2)</t>
        </r>
      </text>
    </comment>
    <comment ref="G157" authorId="0" shapeId="0" xr:uid="{963C468E-8432-45AB-BA4B-65755E430809}">
      <text>
        <r>
          <rPr>
            <sz val="9"/>
            <color indexed="81"/>
            <rFont val="Tahoma"/>
            <family val="2"/>
          </rPr>
          <t>? CORRECTLY LINKED to a valid total in 'Measurement sheet'._x000D_
(Value: 4)</t>
        </r>
      </text>
    </comment>
    <comment ref="G161" authorId="0" shapeId="0" xr:uid="{5221E855-CEF8-48ED-8349-9F393A231F9E}">
      <text>
        <r>
          <rPr>
            <sz val="9"/>
            <color indexed="81"/>
            <rFont val="Tahoma"/>
            <family val="2"/>
          </rPr>
          <t>?? NOT LINKED &amp; MISMATCH._x000D_
(BOQ: 0, Total Found: 2088.4058)_x000D_
Found in: Measurement sheet (2088.4058)</t>
        </r>
      </text>
    </comment>
    <comment ref="G162" authorId="0" shapeId="0" xr:uid="{F50757C8-B0CC-4BE6-8B5E-FF6B36A3E062}">
      <text>
        <r>
          <rPr>
            <sz val="9"/>
            <color indexed="81"/>
            <rFont val="Tahoma"/>
            <family val="2"/>
          </rPr>
          <t>?? NOT LINKED &amp; MISMATCH._x000D_
(BOQ: 0, Total Found: 932.39)_x000D_
Found in: Measurement sheet (932.39)</t>
        </r>
      </text>
    </comment>
    <comment ref="G163" authorId="0" shapeId="0" xr:uid="{DEC54923-FDF1-4F71-B72A-E2176F5B8235}">
      <text>
        <r>
          <rPr>
            <sz val="9"/>
            <color indexed="81"/>
            <rFont val="Tahoma"/>
            <family val="2"/>
          </rPr>
          <t>? CORRECTLY LINKED to a valid total in 'Measurement sheet'._x000D_
(Value: 5)</t>
        </r>
      </text>
    </comment>
    <comment ref="G164" authorId="0" shapeId="0" xr:uid="{E9032EEC-883F-4896-902B-8224E13D58C9}">
      <text>
        <r>
          <rPr>
            <sz val="9"/>
            <color indexed="81"/>
            <rFont val="Tahoma"/>
            <family val="2"/>
          </rPr>
          <t>?? NOT LINKED &amp; MISMATCH._x000D_
(BOQ: 0, Total Found: 540.8335)_x000D_
Found in: Measurement sheet (540.8335)</t>
        </r>
      </text>
    </comment>
    <comment ref="G166" authorId="0" shapeId="0" xr:uid="{49120DCE-4DB6-4A1E-BCDD-E994409FB298}">
      <text>
        <r>
          <rPr>
            <sz val="9"/>
            <color indexed="81"/>
            <rFont val="Tahoma"/>
            <family val="2"/>
          </rPr>
          <t>?? NOT LINKED &amp; MISMATCH._x000D_
(BOQ: 0, Total Found: 2088.4058)_x000D_
Found in: Measurement sheet (2088.4058)</t>
        </r>
      </text>
    </comment>
    <comment ref="G167" authorId="0" shapeId="0" xr:uid="{0C759E98-F520-4E06-A976-993E7DEB3F34}">
      <text>
        <r>
          <rPr>
            <sz val="9"/>
            <color indexed="81"/>
            <rFont val="Tahoma"/>
            <family val="2"/>
          </rPr>
          <t>? CORRECTLY LINKED to a valid total in 'Measurement sheet'._x000D_
(Value: 30)</t>
        </r>
      </text>
    </comment>
    <comment ref="G168" authorId="0" shapeId="0" xr:uid="{4EF7E0DE-0E71-4A48-8B64-9A96AA21C6F4}">
      <text>
        <r>
          <rPr>
            <sz val="9"/>
            <color indexed="81"/>
            <rFont val="Tahoma"/>
            <family val="2"/>
          </rPr>
          <t>?? NOT LINKED &amp; MISMATCH._x000D_
(BOQ: 0, Total Found: 459.7317)_x000D_
Found in: Measurement sheet (459.7317)</t>
        </r>
      </text>
    </comment>
    <comment ref="G170" authorId="0" shapeId="0" xr:uid="{ADE644F7-07B8-4818-AA4F-4F4AAF5465E6}">
      <text>
        <r>
          <rPr>
            <sz val="9"/>
            <color indexed="81"/>
            <rFont val="Tahoma"/>
            <family val="2"/>
          </rPr>
          <t>?? NOT LINKED &amp; MISMATCH._x000D_
(BOQ: 0, Total Found: 2088.4058)_x000D_
Found in: Measurement sheet (2088.4058)</t>
        </r>
      </text>
    </comment>
    <comment ref="G172" authorId="0" shapeId="0" xr:uid="{26C100AE-1C09-4C9C-B605-1246248FD82A}">
      <text>
        <r>
          <rPr>
            <sz val="9"/>
            <color indexed="81"/>
            <rFont val="Tahoma"/>
            <family val="2"/>
          </rPr>
          <t>?? NOT LINKED &amp; MISMATCH._x000D_
(BOQ: 0, Total Found: 2088.4058)_x000D_
Found in: Measurement sheet (2088.4058)</t>
        </r>
      </text>
    </comment>
    <comment ref="G173" authorId="0" shapeId="0" xr:uid="{5294FD1C-30D3-4715-A675-DB4BB1AE578C}">
      <text>
        <r>
          <rPr>
            <sz val="9"/>
            <color indexed="81"/>
            <rFont val="Tahoma"/>
            <family val="2"/>
          </rPr>
          <t>?? NOT LINKED &amp; MISMATCH._x000D_
(BOQ: 0, Total Found: 932.39)_x000D_
Found in: Measurement sheet (932.39)</t>
        </r>
      </text>
    </comment>
    <comment ref="G174" authorId="0" shapeId="0" xr:uid="{D33C970B-EC9F-463E-A3C3-E049EBC363DA}">
      <text>
        <r>
          <rPr>
            <sz val="9"/>
            <color indexed="81"/>
            <rFont val="Tahoma"/>
            <family val="2"/>
          </rPr>
          <t>?? NOT LINKED &amp; MISMATCH._x000D_
(BOQ: 0, Total Found: 29.41)_x000D_
Found in: Measurement sheet (29.41)</t>
        </r>
      </text>
    </comment>
    <comment ref="G175" authorId="0" shapeId="0" xr:uid="{B0B6872B-3FAB-4B78-8A10-7218CFF59731}">
      <text>
        <r>
          <rPr>
            <sz val="9"/>
            <color indexed="81"/>
            <rFont val="Tahoma"/>
            <family val="2"/>
          </rPr>
          <t>?? NOT LINKED._x000D_
(BOQ: 0, No matching item found in any measurement sheet)</t>
        </r>
      </text>
    </comment>
    <comment ref="G178" authorId="0" shapeId="0" xr:uid="{492F44F4-FD4A-4B6F-9120-612483BF3849}">
      <text>
        <r>
          <rPr>
            <sz val="9"/>
            <color indexed="81"/>
            <rFont val="Tahoma"/>
            <family val="2"/>
          </rPr>
          <t>? CORRECTLY LINKED to a valid total in 'Measurement sheet'._x000D_
(Value: 2280)</t>
        </r>
      </text>
    </comment>
    <comment ref="G181" authorId="0" shapeId="0" xr:uid="{DEE3E772-FCCD-4CB7-AEF6-CA7F8BC45712}">
      <text>
        <r>
          <rPr>
            <sz val="9"/>
            <color indexed="81"/>
            <rFont val="Tahoma"/>
            <family val="2"/>
          </rPr>
          <t>? CORRECTLY LINKED to a valid total in 'Measurement sheet'._x000D_
(Value: 0)</t>
        </r>
      </text>
    </comment>
    <comment ref="G182" authorId="0" shapeId="0" xr:uid="{12B55081-17BE-4C60-8559-4499E8F46B22}">
      <text>
        <r>
          <rPr>
            <sz val="9"/>
            <color indexed="81"/>
            <rFont val="Tahoma"/>
            <family val="2"/>
          </rPr>
          <t>? CORRECTLY LINKED to a valid total in 'Measurement sheet'._x000D_
(Value: 190)</t>
        </r>
      </text>
    </comment>
    <comment ref="G183" authorId="0" shapeId="0" xr:uid="{648BFDAD-3B3E-4FAC-8E87-7A7E6842CEBA}">
      <text>
        <r>
          <rPr>
            <sz val="9"/>
            <color indexed="81"/>
            <rFont val="Tahoma"/>
            <family val="2"/>
          </rPr>
          <t>? CORRECTLY LINKED to a valid total in 'Measurement sheet'._x000D_
(Value: 1)</t>
        </r>
      </text>
    </comment>
    <comment ref="G184" authorId="0" shapeId="0" xr:uid="{6D0AD41B-ED87-4B4B-B53B-CF90703865E3}">
      <text>
        <r>
          <rPr>
            <sz val="9"/>
            <color indexed="81"/>
            <rFont val="Tahoma"/>
            <family val="2"/>
          </rPr>
          <t>?? NOT LINKED &amp; MISMATCH._x000D_
(BOQ: 0, Total Found: 851.395)_x000D_
Found in: Measurement sheet (851.395)</t>
        </r>
      </text>
    </comment>
    <comment ref="G185" authorId="0" shapeId="0" xr:uid="{F82EF692-EA60-4289-910D-CC4E1AA2EE24}">
      <text>
        <r>
          <rPr>
            <sz val="9"/>
            <color indexed="81"/>
            <rFont val="Tahoma"/>
            <family val="2"/>
          </rPr>
          <t>? CORRECTLY LINKED to a valid total in 'Measurement sheet'._x000D_
(Value: 0)</t>
        </r>
      </text>
    </comment>
    <comment ref="G186" authorId="0" shapeId="0" xr:uid="{D538742A-266D-48F4-A1BE-8C07CC4D802D}">
      <text>
        <r>
          <rPr>
            <sz val="9"/>
            <color indexed="81"/>
            <rFont val="Tahoma"/>
            <family val="2"/>
          </rPr>
          <t>? CORRECTLY LINKED to a valid total in 'Measurement sheet'._x000D_
(Value: 0)</t>
        </r>
      </text>
    </comment>
    <comment ref="G187" authorId="0" shapeId="0" xr:uid="{D5EFF531-93B5-4600-89AB-65688A291142}">
      <text>
        <r>
          <rPr>
            <sz val="9"/>
            <color indexed="81"/>
            <rFont val="Tahoma"/>
            <family val="2"/>
          </rPr>
          <t>? CORRECTLY LINKED to a valid total in 'Measurement sheet'._x000D_
(Value: 34.5)</t>
        </r>
      </text>
    </comment>
    <comment ref="G188" authorId="0" shapeId="0" xr:uid="{0176E3F7-856F-49B0-99FA-0189B3EE0C73}">
      <text>
        <r>
          <rPr>
            <sz val="9"/>
            <color indexed="81"/>
            <rFont val="Tahoma"/>
            <family val="2"/>
          </rPr>
          <t>?? NOT LINKED._x000D_
(BOQ: 0, No matching item found in any measurement sheet)</t>
        </r>
      </text>
    </comment>
    <comment ref="G189" authorId="0" shapeId="0" xr:uid="{FA31CBB7-7EF4-416B-B53F-E84B5B9E08F9}">
      <text>
        <r>
          <rPr>
            <sz val="9"/>
            <color indexed="81"/>
            <rFont val="Tahoma"/>
            <family val="2"/>
          </rPr>
          <t>? CORRECTLY LINKED to a valid total in 'Measurement sheet'._x000D_
(Value: 0)</t>
        </r>
      </text>
    </comment>
    <comment ref="G190" authorId="0" shapeId="0" xr:uid="{D0A44AA9-34DC-47ED-95EE-AFFF1CEF35FA}">
      <text>
        <r>
          <rPr>
            <sz val="9"/>
            <color indexed="81"/>
            <rFont val="Tahoma"/>
            <family val="2"/>
          </rPr>
          <t>? CORRECTLY LINKED to a valid total in 'Measurement sheet'._x000D_
(Value: 0)</t>
        </r>
      </text>
    </comment>
    <comment ref="G191" authorId="0" shapeId="0" xr:uid="{1FF683E6-8224-4232-8DF7-516BAE3377BD}">
      <text>
        <r>
          <rPr>
            <sz val="9"/>
            <color indexed="81"/>
            <rFont val="Tahoma"/>
            <family val="2"/>
          </rPr>
          <t>? CORRECTLY LINKED to a valid total in 'Measurement sheet'._x000D_
(Value: 1)</t>
        </r>
      </text>
    </comment>
    <comment ref="G192" authorId="0" shapeId="0" xr:uid="{BE288ACF-56C5-4FF2-9867-895D3A49A5F6}">
      <text>
        <r>
          <rPr>
            <sz val="9"/>
            <color indexed="81"/>
            <rFont val="Tahoma"/>
            <family val="2"/>
          </rPr>
          <t>? CORRECTLY LINKED to a valid total in 'Measurement sheet'._x000D_
(Value: 350)</t>
        </r>
      </text>
    </comment>
    <comment ref="G193" authorId="0" shapeId="0" xr:uid="{1CA37541-58C7-4B52-9F9E-634CA56836B5}">
      <text>
        <r>
          <rPr>
            <sz val="9"/>
            <color indexed="81"/>
            <rFont val="Tahoma"/>
            <family val="2"/>
          </rPr>
          <t>?? NOT LINKED._x000D_
(BOQ: 0, No matching item found in any measurement sheet)</t>
        </r>
      </text>
    </comment>
    <comment ref="G194" authorId="0" shapeId="0" xr:uid="{75584C32-B1ED-4D90-95A4-F05A615835CE}">
      <text>
        <r>
          <rPr>
            <sz val="9"/>
            <color indexed="81"/>
            <rFont val="Tahoma"/>
            <family val="2"/>
          </rPr>
          <t>? CORRECTLY LINKED to a valid total in 'Measurement sheet'._x000D_
(Value: 1)</t>
        </r>
      </text>
    </comment>
    <comment ref="G195" authorId="0" shapeId="0" xr:uid="{B09F8689-4FAE-4828-9056-03BFD79B6F5E}">
      <text>
        <r>
          <rPr>
            <sz val="9"/>
            <color indexed="81"/>
            <rFont val="Tahoma"/>
            <family val="2"/>
          </rPr>
          <t>? CORRECTLY LINKED to a valid total in 'Measurement sheet'._x000D_
(Value: 1)</t>
        </r>
      </text>
    </comment>
    <comment ref="G196" authorId="0" shapeId="0" xr:uid="{45DE33DD-2D54-4734-9237-71CDFBA356C2}">
      <text>
        <r>
          <rPr>
            <sz val="9"/>
            <color indexed="81"/>
            <rFont val="Tahoma"/>
            <family val="2"/>
          </rPr>
          <t>? CORRECTLY LINKED to a valid total in 'Measurement sheet'._x000D_
(Value: 3)</t>
        </r>
      </text>
    </comment>
    <comment ref="G197" authorId="0" shapeId="0" xr:uid="{599A9F13-442E-48AF-A3B2-8EF8F05050D5}">
      <text>
        <r>
          <rPr>
            <sz val="9"/>
            <color indexed="81"/>
            <rFont val="Tahoma"/>
            <family val="2"/>
          </rPr>
          <t>? CORRECTLY LINKED to a valid total in 'Measurement sheet'._x000D_
(Value: 30)</t>
        </r>
      </text>
    </comment>
    <comment ref="G198" authorId="0" shapeId="0" xr:uid="{EE7BD129-256C-4504-96C0-8193D7215CFB}">
      <text>
        <r>
          <rPr>
            <sz val="9"/>
            <color indexed="81"/>
            <rFont val="Tahoma"/>
            <family val="2"/>
          </rPr>
          <t>? CORRECTLY LINKED to a valid total in 'Measurement sheet'._x000D_
(Value: 461.5876)</t>
        </r>
      </text>
    </comment>
    <comment ref="G205" authorId="0" shapeId="0" xr:uid="{B8379806-3311-4711-8635-28D4F2DE7A45}">
      <text>
        <r>
          <rPr>
            <sz val="9"/>
            <color indexed="81"/>
            <rFont val="Tahoma"/>
            <family val="2"/>
          </rPr>
          <t>? CORRECTLY LINKED to a valid total in 'Measurement sheet'._x000D_
(Value: 1047.1893)</t>
        </r>
      </text>
    </comment>
    <comment ref="G208" authorId="0" shapeId="0" xr:uid="{2957202D-8B10-4A83-ACD4-E5FC2B5EFF2D}">
      <text>
        <r>
          <rPr>
            <sz val="9"/>
            <color indexed="81"/>
            <rFont val="Tahoma"/>
            <family val="2"/>
          </rPr>
          <t>? CORRECTLY LINKED to a valid total in 'Measurement sheet'._x000D_
(Value: 528.89)</t>
        </r>
      </text>
    </comment>
    <comment ref="G209" authorId="0" shapeId="0" xr:uid="{6EE6508C-AB1B-4F94-8F6B-92B937DA9DB3}">
      <text>
        <r>
          <rPr>
            <sz val="9"/>
            <color indexed="81"/>
            <rFont val="Tahoma"/>
            <family val="2"/>
          </rPr>
          <t>? CORRECTLY LINKED to a valid total in 'Measurement sheet'._x000D_
(Value: 1917.9425)</t>
        </r>
      </text>
    </comment>
    <comment ref="G210" authorId="0" shapeId="0" xr:uid="{D2C10880-D112-44DA-AF08-9302DC44E8CA}">
      <text>
        <r>
          <rPr>
            <sz val="9"/>
            <color indexed="81"/>
            <rFont val="Tahoma"/>
            <family val="2"/>
          </rPr>
          <t>? CORRECTLY LINKED to a valid total in 'Measurement sheet'._x000D_
(Value: 72)</t>
        </r>
      </text>
    </comment>
    <comment ref="G213" authorId="0" shapeId="0" xr:uid="{5F6CE2AE-B7AF-4D04-A4CF-877AF559D944}">
      <text>
        <r>
          <rPr>
            <sz val="9"/>
            <color indexed="81"/>
            <rFont val="Tahoma"/>
            <family val="2"/>
          </rPr>
          <t>?? NOT LINKED &amp; MISMATCH._x000D_
(BOQ: 0, Total Found: 2317.1297)_x000D_
Found in: Measurement sheet (2317.1297)</t>
        </r>
      </text>
    </comment>
    <comment ref="G214" authorId="0" shapeId="0" xr:uid="{423BFF0F-EECD-467B-AAD9-0CF3D9D22DBB}">
      <text>
        <r>
          <rPr>
            <sz val="9"/>
            <color indexed="81"/>
            <rFont val="Tahoma"/>
            <family val="2"/>
          </rPr>
          <t>?? NOT LINKED._x000D_
(BOQ: 0, No matching item found in any measurement sheet)</t>
        </r>
      </text>
    </comment>
    <comment ref="G215" authorId="0" shapeId="0" xr:uid="{D3E822D9-A051-46CC-ADE8-43F509EFDD47}">
      <text>
        <r>
          <rPr>
            <sz val="9"/>
            <color indexed="81"/>
            <rFont val="Tahoma"/>
            <family val="2"/>
          </rPr>
          <t>?? NOT LINKED &amp; MISMATCH._x000D_
(BOQ: 0, Total Found: 1)_x000D_
Found in: Measurement sheet (1)</t>
        </r>
      </text>
    </comment>
    <comment ref="G223" authorId="0" shapeId="0" xr:uid="{97E082B0-66CF-4413-B6C6-B22C30CF3357}">
      <text>
        <r>
          <rPr>
            <sz val="9"/>
            <color indexed="81"/>
            <rFont val="Tahoma"/>
            <family val="2"/>
          </rPr>
          <t>? CORRECTLY LINKED to a valid total in 'Measurement sheet'._x000D_
(Value: 325.3562)</t>
        </r>
      </text>
    </comment>
    <comment ref="G224" authorId="0" shapeId="0" xr:uid="{B374AD2C-7A20-486E-9D77-2957D23EA6D9}">
      <text>
        <r>
          <rPr>
            <sz val="9"/>
            <color indexed="81"/>
            <rFont val="Tahoma"/>
            <family val="2"/>
          </rPr>
          <t>?? NOT LINKED &amp; MISMATCH._x000D_
(BOQ: 0, Total Found: 932.39)_x000D_
Found in: Measurement sheet (932.39)</t>
        </r>
      </text>
    </comment>
    <comment ref="G225" authorId="0" shapeId="0" xr:uid="{BB0D1952-6C70-4082-9D03-2CADA9E5E729}">
      <text>
        <r>
          <rPr>
            <sz val="9"/>
            <color indexed="81"/>
            <rFont val="Tahoma"/>
            <family val="2"/>
          </rPr>
          <t>?? NOT LINKED &amp; MISMATCH._x000D_
(BOQ: 0, Total Found: 459.7317)_x000D_
Found in: Measurement sheet (459.7317)</t>
        </r>
      </text>
    </comment>
    <comment ref="G226" authorId="0" shapeId="0" xr:uid="{038E5C3A-D0B7-4DB6-B53B-7856A8E059CA}">
      <text>
        <r>
          <rPr>
            <sz val="9"/>
            <color indexed="81"/>
            <rFont val="Tahoma"/>
            <family val="2"/>
          </rPr>
          <t>?? NOT LINKED &amp; MISMATCH._x000D_
(BOQ: 0, Total Found: 540.8335)_x000D_
Found in: Measurement sheet (540.8335)</t>
        </r>
      </text>
    </comment>
    <comment ref="G227" authorId="0" shapeId="0" xr:uid="{2F459597-8723-4515-92A1-032E53C00129}">
      <text>
        <r>
          <rPr>
            <sz val="9"/>
            <color indexed="81"/>
            <rFont val="Tahoma"/>
            <family val="2"/>
          </rPr>
          <t>?? NOT LINKED &amp; MISMATCH._x000D_
(BOQ: 0, Total Found: 16)_x000D_
Found in: Measurement sheet (16)</t>
        </r>
      </text>
    </comment>
    <comment ref="G230" authorId="0" shapeId="0" xr:uid="{5D882900-7C26-4454-94DC-AF2DD5C5CD56}">
      <text>
        <r>
          <rPr>
            <sz val="9"/>
            <color indexed="81"/>
            <rFont val="Tahoma"/>
            <family val="2"/>
          </rPr>
          <t>? CORRECTLY LINKED to a valid total in 'Measurement sheet'._x000D_
(Value: 517.4222)</t>
        </r>
      </text>
    </comment>
    <comment ref="G231" authorId="0" shapeId="0" xr:uid="{E54985DD-3C57-483C-8151-697CD389053D}">
      <text>
        <r>
          <rPr>
            <sz val="9"/>
            <color indexed="81"/>
            <rFont val="Tahoma"/>
            <family val="2"/>
          </rPr>
          <t>?? NOT LINKED &amp; MISMATCH._x000D_
(BOQ: 0, Total Found: 932.39)_x000D_
Found in: Measurement sheet (932.39)</t>
        </r>
      </text>
    </comment>
    <comment ref="G234" authorId="0" shapeId="0" xr:uid="{AD6A110C-58D6-45B3-8FA6-3FEBE5098F86}">
      <text>
        <r>
          <rPr>
            <sz val="9"/>
            <color indexed="81"/>
            <rFont val="Tahoma"/>
            <family val="2"/>
          </rPr>
          <t>?? NOT LINKED &amp; MISMATCH._x000D_
(BOQ: 0, Total Found: 2088.4058)_x000D_
Found in: Measurement sheet (2088.4058)</t>
        </r>
      </text>
    </comment>
    <comment ref="G235" authorId="0" shapeId="0" xr:uid="{AB0D1FBF-3405-4ACD-AA90-38D850DB8B2A}">
      <text>
        <r>
          <rPr>
            <sz val="9"/>
            <color indexed="81"/>
            <rFont val="Tahoma"/>
            <family val="2"/>
          </rPr>
          <t>?? NOT LINKED &amp; MISMATCH._x000D_
(BOQ: 0, Total Found: 932.39)_x000D_
Found in: Measurement sheet (932.39)</t>
        </r>
      </text>
    </comment>
    <comment ref="G238" authorId="0" shapeId="0" xr:uid="{6F50A285-B24A-4CDA-9202-FB92EE047F97}">
      <text>
        <r>
          <rPr>
            <sz val="9"/>
            <color indexed="81"/>
            <rFont val="Tahoma"/>
            <family val="2"/>
          </rPr>
          <t>?? NOT LINKED &amp; MISMATCH._x000D_
(BOQ: 0, Total Found: 2088.4058)_x000D_
Found in: Measurement sheet (2088.4058)</t>
        </r>
      </text>
    </comment>
    <comment ref="G242" authorId="0" shapeId="0" xr:uid="{3A257868-22C5-4FB0-ACB1-85F4DCF57AAD}">
      <text>
        <r>
          <rPr>
            <sz val="9"/>
            <color indexed="81"/>
            <rFont val="Tahoma"/>
            <family val="2"/>
          </rPr>
          <t>?? NOT LINKED &amp; MISMATCH._x000D_
(BOQ: 0, Total Found: 2088.4058)_x000D_
Found in: Measurement sheet (2088.4058)</t>
        </r>
      </text>
    </comment>
    <comment ref="G243" authorId="0" shapeId="0" xr:uid="{00DE8849-E946-4191-978A-57A9EC46402F}">
      <text>
        <r>
          <rPr>
            <sz val="9"/>
            <color indexed="81"/>
            <rFont val="Tahoma"/>
            <family val="2"/>
          </rPr>
          <t>? CORRECTLY LINKED to a valid total in 'Measurement sheet'._x000D_
(Value: 989.0292)</t>
        </r>
      </text>
    </comment>
    <comment ref="G244" authorId="0" shapeId="0" xr:uid="{FE8DE213-6D67-4E1B-9D32-14EC6C265313}">
      <text>
        <r>
          <rPr>
            <sz val="9"/>
            <color indexed="81"/>
            <rFont val="Tahoma"/>
            <family val="2"/>
          </rPr>
          <t>?? NOT LINKED &amp; MISMATCH._x000D_
(BOQ: 0, Total Found: 459.7317)_x000D_
Found in: Measurement sheet (459.7317)</t>
        </r>
      </text>
    </comment>
    <comment ref="G245" authorId="0" shapeId="0" xr:uid="{A09C883C-32BE-4681-BC3C-A2EFE2532494}">
      <text>
        <r>
          <rPr>
            <sz val="9"/>
            <color indexed="81"/>
            <rFont val="Tahoma"/>
            <family val="2"/>
          </rPr>
          <t>?? NOT LINKED &amp; MISMATCH._x000D_
(BOQ: 0, Total Found: 540.8335)_x000D_
Found in: Measurement sheet (540.8335)</t>
        </r>
      </text>
    </comment>
    <comment ref="G246" authorId="0" shapeId="0" xr:uid="{BA4EFF33-ECDB-45BC-8374-A9FEDC362A10}">
      <text>
        <r>
          <rPr>
            <sz val="9"/>
            <color indexed="81"/>
            <rFont val="Tahoma"/>
            <family val="2"/>
          </rPr>
          <t>?? NOT LINKED &amp; MISMATCH._x000D_
(BOQ: 0, Total Found: 16)_x000D_
Found in: Measurement sheet (16)</t>
        </r>
      </text>
    </comment>
    <comment ref="G247" authorId="0" shapeId="0" xr:uid="{760C5968-229C-4B45-B1AE-FFF6F5D26BC3}">
      <text>
        <r>
          <rPr>
            <sz val="9"/>
            <color indexed="81"/>
            <rFont val="Tahoma"/>
            <family val="2"/>
          </rPr>
          <t>?? NOT LINKED._x000D_
(BOQ: 0, No matching item found in any measurement sheet)</t>
        </r>
      </text>
    </comment>
    <comment ref="G248" authorId="0" shapeId="0" xr:uid="{3B2C0E24-2F0F-43EA-85A7-0C600B556282}">
      <text>
        <r>
          <rPr>
            <sz val="9"/>
            <color indexed="81"/>
            <rFont val="Tahoma"/>
            <family val="2"/>
          </rPr>
          <t>?? NOT LINKED._x000D_
(BOQ: 0, No matching item found in any measurement sheet)</t>
        </r>
      </text>
    </comment>
    <comment ref="G249" authorId="0" shapeId="0" xr:uid="{CDEA2204-ACDD-4A60-9373-99FC7C36309B}">
      <text>
        <r>
          <rPr>
            <sz val="9"/>
            <color indexed="81"/>
            <rFont val="Tahoma"/>
            <family val="2"/>
          </rPr>
          <t>? CORRECTLY LINKED to a valid total in 'Measurement sheet'._x000D_
(Value: 513.064)</t>
        </r>
      </text>
    </comment>
    <comment ref="G252" authorId="0" shapeId="0" xr:uid="{92CBC239-CB5E-4B20-8E1E-8BACE039BE41}">
      <text>
        <r>
          <rPr>
            <sz val="9"/>
            <color indexed="81"/>
            <rFont val="Tahoma"/>
            <family val="2"/>
          </rPr>
          <t>?? NOT LINKED &amp; MISMATCH._x000D_
(BOQ: 0, Total Found: 2317.1297)_x000D_
Found in: Measurement sheet (2317.1297)</t>
        </r>
      </text>
    </comment>
    <comment ref="G253" authorId="0" shapeId="0" xr:uid="{1F54F64B-D2B3-4CD5-999E-7B9CF3E6FE77}">
      <text>
        <r>
          <rPr>
            <sz val="9"/>
            <color indexed="81"/>
            <rFont val="Tahoma"/>
            <family val="2"/>
          </rPr>
          <t>?? NOT LINKED._x000D_
(BOQ: 0, No matching item found in any measurement sheet)</t>
        </r>
      </text>
    </comment>
    <comment ref="G254" authorId="0" shapeId="0" xr:uid="{7B020C92-0000-472C-BD17-3D1596230C97}">
      <text>
        <r>
          <rPr>
            <sz val="9"/>
            <color indexed="81"/>
            <rFont val="Tahoma"/>
            <family val="2"/>
          </rPr>
          <t>?? NOT LINKED &amp; MISMATCH._x000D_
(BOQ: 0, Total Found: 1)_x000D_
Found in: Measurement sheet (1)</t>
        </r>
      </text>
    </comment>
    <comment ref="G258" authorId="0" shapeId="0" xr:uid="{F7C4EF3B-F234-417B-90F0-5FCF4635B8D6}">
      <text>
        <r>
          <rPr>
            <sz val="9"/>
            <color indexed="81"/>
            <rFont val="Tahoma"/>
            <family val="2"/>
          </rPr>
          <t>?? NOT LINKED &amp; MISMATCH._x000D_
(BOQ: 0, Total Found: 2088.4058)_x000D_
Found in: Measurement sheet (2088.4058)</t>
        </r>
      </text>
    </comment>
    <comment ref="G259" authorId="0" shapeId="0" xr:uid="{159F64CD-960F-41AE-BD8C-11F918968BD0}">
      <text>
        <r>
          <rPr>
            <sz val="9"/>
            <color indexed="81"/>
            <rFont val="Tahoma"/>
            <family val="2"/>
          </rPr>
          <t>? CORRECTLY LINKED to a valid total in 'Measurement sheet'._x000D_
(Value: 2)</t>
        </r>
      </text>
    </comment>
    <comment ref="G260" authorId="0" shapeId="0" xr:uid="{A20D5234-70C4-49CD-9844-512234394647}">
      <text>
        <r>
          <rPr>
            <sz val="9"/>
            <color indexed="81"/>
            <rFont val="Tahoma"/>
            <family val="2"/>
          </rPr>
          <t>?? NOT LINKED &amp; MISMATCH._x000D_
(BOQ: 0, Total Found: 459.7317)_x000D_
Found in: Measurement sheet (459.7317)</t>
        </r>
      </text>
    </comment>
    <comment ref="G263" authorId="0" shapeId="0" xr:uid="{00C275A8-8E98-491E-84D9-BFC7223AE08F}">
      <text>
        <r>
          <rPr>
            <sz val="9"/>
            <color indexed="81"/>
            <rFont val="Tahoma"/>
            <family val="2"/>
          </rPr>
          <t>? CORRECTLY LINKED to a valid total in 'Measurement sheet'._x000D_
(Value: 2)</t>
        </r>
      </text>
    </comment>
    <comment ref="G264" authorId="0" shapeId="0" xr:uid="{E38375DF-F684-4021-8828-1CEC43B1FAA3}">
      <text>
        <r>
          <rPr>
            <sz val="9"/>
            <color indexed="81"/>
            <rFont val="Tahoma"/>
            <family val="2"/>
          </rPr>
          <t>?? NOT LINKED &amp; MISMATCH._x000D_
(BOQ: 0, Total Found: 932.39)_x000D_
Found in: Measurement sheet (932.39)</t>
        </r>
      </text>
    </comment>
    <comment ref="G268" authorId="0" shapeId="0" xr:uid="{5D3113DB-FA57-4CC4-B97D-4640D11FD5E8}">
      <text>
        <r>
          <rPr>
            <sz val="9"/>
            <color indexed="81"/>
            <rFont val="Tahoma"/>
            <family val="2"/>
          </rPr>
          <t>?? NOT LINKED &amp; MISMATCH._x000D_
(BOQ: 0, Total Found: 2317.1297)_x000D_
Found in: Measurement sheet (2317.1297)</t>
        </r>
      </text>
    </comment>
    <comment ref="G269" authorId="0" shapeId="0" xr:uid="{B94DD6B4-D786-40A2-B8A2-AAD67879D1D7}">
      <text>
        <r>
          <rPr>
            <sz val="9"/>
            <color indexed="81"/>
            <rFont val="Tahoma"/>
            <family val="2"/>
          </rPr>
          <t>?? NOT LINKED._x000D_
(BOQ: 0, No matching item found in any measurement sheet)</t>
        </r>
      </text>
    </comment>
    <comment ref="G270" authorId="0" shapeId="0" xr:uid="{7DCB322E-D2EF-49D0-90A0-C9E313C80709}">
      <text>
        <r>
          <rPr>
            <sz val="9"/>
            <color indexed="81"/>
            <rFont val="Tahoma"/>
            <family val="2"/>
          </rPr>
          <t>?? NOT LINKED &amp; MISMATCH._x000D_
(BOQ: 0, Total Found: 1)_x000D_
Found in: Measurement sheet (1)</t>
        </r>
      </text>
    </comment>
    <comment ref="G271" authorId="0" shapeId="0" xr:uid="{B1FD6543-B8CE-4033-BCF3-F6AB9EA46A21}">
      <text>
        <r>
          <rPr>
            <sz val="9"/>
            <color indexed="81"/>
            <rFont val="Tahoma"/>
            <family val="2"/>
          </rPr>
          <t>?? NOT LINKED &amp; MISMATCH._x000D_
(BOQ: 0, Total Found: 851.395)_x000D_
Found in: Measurement sheet (851.395)</t>
        </r>
      </text>
    </comment>
    <comment ref="G272" authorId="0" shapeId="0" xr:uid="{1041D38C-E76C-447F-BDBB-62336DA569A2}">
      <text>
        <r>
          <rPr>
            <sz val="9"/>
            <color indexed="81"/>
            <rFont val="Tahoma"/>
            <family val="2"/>
          </rPr>
          <t>? CORRECTLY LINKED to a valid total in 'Measurement sheet'._x000D_
(Value: 3)</t>
        </r>
      </text>
    </comment>
    <comment ref="G273" authorId="0" shapeId="0" xr:uid="{35AADA7C-BBC5-4391-8E68-04C081B77AFA}">
      <text>
        <r>
          <rPr>
            <sz val="9"/>
            <color indexed="81"/>
            <rFont val="Tahoma"/>
            <family val="2"/>
          </rPr>
          <t>?? NOT LINKED._x000D_
(BOQ: 0, No matching item found in any measurement sheet)</t>
        </r>
      </text>
    </comment>
    <comment ref="G274" authorId="0" shapeId="0" xr:uid="{74386608-8C78-450E-8622-1BC64736395A}">
      <text>
        <r>
          <rPr>
            <sz val="9"/>
            <color indexed="81"/>
            <rFont val="Tahoma"/>
            <family val="2"/>
          </rPr>
          <t>? CORRECTLY LINKED to a valid total in 'Measurement sheet'._x000D_
(Value: 2)</t>
        </r>
      </text>
    </comment>
    <comment ref="G275" authorId="0" shapeId="0" xr:uid="{FDD24BF3-5237-4C07-9746-73E4846D21CE}">
      <text>
        <r>
          <rPr>
            <sz val="9"/>
            <color indexed="81"/>
            <rFont val="Tahoma"/>
            <family val="2"/>
          </rPr>
          <t>?? NOT LINKED &amp; MISMATCH._x000D_
(BOQ: 0, Total Found: 459.7317)_x000D_
Found in: Measurement sheet (459.7317)</t>
        </r>
      </text>
    </comment>
    <comment ref="G279" authorId="0" shapeId="0" xr:uid="{234AB036-0671-44EA-8352-3272D762A64E}">
      <text>
        <r>
          <rPr>
            <sz val="9"/>
            <color indexed="81"/>
            <rFont val="Tahoma"/>
            <family val="2"/>
          </rPr>
          <t>? CORRECTLY LINKED to a valid total in 'Measurement sheet'._x000D_
(Value: 1)</t>
        </r>
      </text>
    </comment>
    <comment ref="G280" authorId="0" shapeId="0" xr:uid="{CEDDC679-E12F-448A-AE77-4FC89A9215D2}">
      <text>
        <r>
          <rPr>
            <sz val="9"/>
            <color indexed="81"/>
            <rFont val="Tahoma"/>
            <family val="2"/>
          </rPr>
          <t>?? NOT LINKED._x000D_
(BOQ: 0, No matching item found in any measurement sheet)</t>
        </r>
      </text>
    </comment>
    <comment ref="G281" authorId="0" shapeId="0" xr:uid="{C48F2A01-8FCD-4B78-B1B1-E2F347011315}">
      <text>
        <r>
          <rPr>
            <sz val="9"/>
            <color indexed="81"/>
            <rFont val="Tahoma"/>
            <family val="2"/>
          </rPr>
          <t>?? NOT LINKED &amp; MISMATCH._x000D_
(BOQ: 0, Total Found: 1)_x000D_
Found in: Measurement sheet (1)</t>
        </r>
      </text>
    </comment>
    <comment ref="G282" authorId="0" shapeId="0" xr:uid="{BAC901AE-3C57-4D92-9E1B-898216B20387}">
      <text>
        <r>
          <rPr>
            <sz val="9"/>
            <color indexed="81"/>
            <rFont val="Tahoma"/>
            <family val="2"/>
          </rPr>
          <t>?? NOT LINKED &amp; MISMATCH._x000D_
(BOQ: 0, Total Found: 851.395)_x000D_
Found in: Measurement sheet (851.395)</t>
        </r>
      </text>
    </comment>
    <comment ref="G283" authorId="0" shapeId="0" xr:uid="{7C056550-560C-456A-B0BD-D6814185A5D5}">
      <text>
        <r>
          <rPr>
            <sz val="9"/>
            <color indexed="81"/>
            <rFont val="Tahoma"/>
            <family val="2"/>
          </rPr>
          <t>?? NOT LINKED &amp; MISMATCH._x000D_
(BOQ: 0, Total Found: 29.41)_x000D_
Found in: Measurement sheet (29.41)</t>
        </r>
      </text>
    </comment>
    <comment ref="G284" authorId="0" shapeId="0" xr:uid="{5E6BE279-4361-4660-B7CC-097C39272334}">
      <text>
        <r>
          <rPr>
            <sz val="9"/>
            <color indexed="81"/>
            <rFont val="Tahoma"/>
            <family val="2"/>
          </rPr>
          <t>?? NOT LINKED._x000D_
(BOQ: 0, No matching item found in any measurement sheet)</t>
        </r>
      </text>
    </comment>
    <comment ref="G286" authorId="0" shapeId="0" xr:uid="{1196F9AC-E8E4-4F79-B17C-43E14A32D9B5}">
      <text>
        <r>
          <rPr>
            <sz val="9"/>
            <color indexed="81"/>
            <rFont val="Tahoma"/>
            <family val="2"/>
          </rPr>
          <t>? CORRECTLY LINKED to a valid total in 'Measurement sheet'._x000D_
(Value: 1)</t>
        </r>
      </text>
    </comment>
    <comment ref="G290" authorId="0" shapeId="0" xr:uid="{CB4D5274-7ADB-4B08-92E3-D3B07F2B2517}">
      <text>
        <r>
          <rPr>
            <sz val="9"/>
            <color indexed="81"/>
            <rFont val="Tahoma"/>
            <family val="2"/>
          </rPr>
          <t>? CORRECTLY LINKED to a valid total in 'Measurement sheet'._x000D_
(Value: 1)</t>
        </r>
      </text>
    </comment>
    <comment ref="G291" authorId="0" shapeId="0" xr:uid="{3FE44DAE-CB37-4704-92A0-BA4E839DD3EE}">
      <text>
        <r>
          <rPr>
            <sz val="9"/>
            <color indexed="81"/>
            <rFont val="Tahoma"/>
            <family val="2"/>
          </rPr>
          <t>?? NOT LINKED &amp; MISMATCH._x000D_
(BOQ: 0, Total Found: 932.39)_x000D_
Found in: Measurement sheet (932.39)</t>
        </r>
      </text>
    </comment>
    <comment ref="G294" authorId="0" shapeId="0" xr:uid="{9F06355A-BF83-4FE2-B7B1-346DB7DB344C}">
      <text>
        <r>
          <rPr>
            <sz val="9"/>
            <color indexed="81"/>
            <rFont val="Tahoma"/>
            <family val="2"/>
          </rPr>
          <t>?? NOT LINKED &amp; MISMATCH._x000D_
(BOQ: 0, Total Found: 2088.4058)_x000D_
Found in: Measurement sheet (2088.4058)</t>
        </r>
      </text>
    </comment>
    <comment ref="G295" authorId="0" shapeId="0" xr:uid="{4851925D-63FA-4E43-BC22-50A3A5F0E36C}">
      <text>
        <r>
          <rPr>
            <sz val="9"/>
            <color indexed="81"/>
            <rFont val="Tahoma"/>
            <family val="2"/>
          </rPr>
          <t>?? NOT LINKED &amp; MISMATCH._x000D_
(BOQ: 0, Total Found: 932.39)_x000D_
Found in: Measurement sheet (932.39)</t>
        </r>
      </text>
    </comment>
    <comment ref="G296" authorId="0" shapeId="0" xr:uid="{4A423246-1DD7-473D-BE9A-890AC2AD4195}">
      <text>
        <r>
          <rPr>
            <sz val="9"/>
            <color indexed="81"/>
            <rFont val="Tahoma"/>
            <family val="2"/>
          </rPr>
          <t>?? NOT LINKED &amp; MISMATCH._x000D_
(BOQ: 0, Total Found: 459.7317)_x000D_
Found in: Measurement sheet (459.7317)</t>
        </r>
      </text>
    </comment>
    <comment ref="G299" authorId="0" shapeId="0" xr:uid="{960DED75-8BCF-4804-8CD5-FF09287CA105}">
      <text>
        <r>
          <rPr>
            <sz val="9"/>
            <color indexed="81"/>
            <rFont val="Tahoma"/>
            <family val="2"/>
          </rPr>
          <t>?? NOT LINKED &amp; MISMATCH._x000D_
(BOQ: 0, Total Found: 2088.4058)_x000D_
Found in: Measurement sheet (2088.4058)</t>
        </r>
      </text>
    </comment>
    <comment ref="G300" authorId="0" shapeId="0" xr:uid="{D22D1D58-769A-475B-A141-BB526F16A9B0}">
      <text>
        <r>
          <rPr>
            <sz val="9"/>
            <color indexed="81"/>
            <rFont val="Tahoma"/>
            <family val="2"/>
          </rPr>
          <t>?? NOT LINKED &amp; MISMATCH._x000D_
(BOQ: 0, Total Found: 932.39)_x000D_
Found in: Measurement sheet (932.39)</t>
        </r>
      </text>
    </comment>
    <comment ref="G303" authorId="0" shapeId="0" xr:uid="{E68830EC-4AE0-44C0-B88A-A72F48757C5B}">
      <text>
        <r>
          <rPr>
            <sz val="9"/>
            <color indexed="81"/>
            <rFont val="Tahoma"/>
            <family val="2"/>
          </rPr>
          <t>? CORRECTLY LINKED to a valid total in 'Measurement sheet'._x000D_
(Value: 21)</t>
        </r>
      </text>
    </comment>
    <comment ref="G304" authorId="0" shapeId="0" xr:uid="{C8082231-59C4-4EA6-BD13-BB991A4200D1}">
      <text>
        <r>
          <rPr>
            <sz val="9"/>
            <color indexed="81"/>
            <rFont val="Tahoma"/>
            <family val="2"/>
          </rPr>
          <t>?? NOT LINKED &amp; MISMATCH._x000D_
(BOQ: 0, Total Found: 932.39)_x000D_
Found in: Measurement sheet (932.39)</t>
        </r>
      </text>
    </comment>
    <comment ref="G305" authorId="0" shapeId="0" xr:uid="{9E8CECCD-E943-4D9A-ACC2-004A4058A12A}">
      <text>
        <r>
          <rPr>
            <sz val="9"/>
            <color indexed="81"/>
            <rFont val="Tahoma"/>
            <family val="2"/>
          </rPr>
          <t>?? NOT LINKED &amp; MISMATCH._x000D_
(BOQ: 0, Total Found: 459.7317)_x000D_
Found in: Measurement sheet (459.7317)</t>
        </r>
      </text>
    </comment>
    <comment ref="G306" authorId="0" shapeId="0" xr:uid="{73D4359E-D8D3-45BF-B3E6-2B598DCA4B3A}">
      <text>
        <r>
          <rPr>
            <sz val="9"/>
            <color indexed="81"/>
            <rFont val="Tahoma"/>
            <family val="2"/>
          </rPr>
          <t>?? NOT LINKED &amp; MISMATCH._x000D_
(BOQ: 0, Total Found: 540.8335)_x000D_
Found in: Measurement sheet (540.8335)</t>
        </r>
      </text>
    </comment>
    <comment ref="G309" authorId="0" shapeId="0" xr:uid="{10D87AB2-A805-4A6F-8BCF-468A33CDC43D}">
      <text>
        <r>
          <rPr>
            <sz val="9"/>
            <color indexed="81"/>
            <rFont val="Tahoma"/>
            <family val="2"/>
          </rPr>
          <t>?? NOT LINKED &amp; MISMATCH._x000D_
(BOQ: 0, Total Found: 2088.4058)_x000D_
Found in: Measurement sheet (2088.4058)</t>
        </r>
      </text>
    </comment>
    <comment ref="G310" authorId="0" shapeId="0" xr:uid="{F8A0BDB7-185B-48D4-98A8-A18078302D5B}">
      <text>
        <r>
          <rPr>
            <sz val="9"/>
            <color indexed="81"/>
            <rFont val="Tahoma"/>
            <family val="2"/>
          </rPr>
          <t>?? NOT LINKED &amp; MISMATCH._x000D_
(BOQ: 0, Total Found: 932.39)_x000D_
Found in: Measurement sheet (932.39)</t>
        </r>
      </text>
    </comment>
    <comment ref="G313" authorId="0" shapeId="0" xr:uid="{CB01033C-4CF6-46B2-A4E0-1C0CB8676466}">
      <text>
        <r>
          <rPr>
            <sz val="9"/>
            <color indexed="81"/>
            <rFont val="Tahoma"/>
            <family val="2"/>
          </rPr>
          <t>?? NOT LINKED &amp; MISMATCH._x000D_
(BOQ: 0, Total Found: 2088.4058)_x000D_
Found in: Measurement sheet (2088.4058)</t>
        </r>
      </text>
    </comment>
    <comment ref="G316" authorId="0" shapeId="0" xr:uid="{ABC82F3D-5B41-45B6-8104-2F0934607684}">
      <text>
        <r>
          <rPr>
            <sz val="9"/>
            <color indexed="81"/>
            <rFont val="Tahoma"/>
            <family val="2"/>
          </rPr>
          <t>?? NOT LINKED &amp; MISMATCH._x000D_
(BOQ: 0, Total Found: 2088.4058)_x000D_
Found in: Measurement sheet (2088.4058)</t>
        </r>
      </text>
    </comment>
    <comment ref="G319" authorId="0" shapeId="0" xr:uid="{BECA2CCC-479C-4F54-9D06-D62D77A91F1F}">
      <text>
        <r>
          <rPr>
            <sz val="9"/>
            <color indexed="81"/>
            <rFont val="Tahoma"/>
            <family val="2"/>
          </rPr>
          <t>?? NOT LINKED &amp; MISMATCH._x000D_
(BOQ: 0, Total Found: 2088.4058)_x000D_
Found in: Measurement sheet (2088.4058)</t>
        </r>
      </text>
    </comment>
    <comment ref="G320" authorId="0" shapeId="0" xr:uid="{4C390602-8ADA-49F3-8644-F1ED2288D26C}">
      <text>
        <r>
          <rPr>
            <sz val="9"/>
            <color indexed="81"/>
            <rFont val="Tahoma"/>
            <family val="2"/>
          </rPr>
          <t>?? NOT LINKED &amp; MISMATCH._x000D_
(BOQ: 0, Total Found: 932.39)_x000D_
Found in: Measurement sheet (932.39)</t>
        </r>
      </text>
    </comment>
    <comment ref="G321" authorId="0" shapeId="0" xr:uid="{D196F7C7-582E-412E-9EEB-47C918E3EE44}">
      <text>
        <r>
          <rPr>
            <sz val="9"/>
            <color indexed="81"/>
            <rFont val="Tahoma"/>
            <family val="2"/>
          </rPr>
          <t>? CORRECTLY LINKED to a valid total in 'Measurement sheet'._x000D_
(Value: 0)</t>
        </r>
      </text>
    </comment>
    <comment ref="G322" authorId="0" shapeId="0" xr:uid="{18640073-F8A9-426B-8887-78491459D8AE}">
      <text>
        <r>
          <rPr>
            <sz val="9"/>
            <color indexed="81"/>
            <rFont val="Tahoma"/>
            <family val="2"/>
          </rPr>
          <t>?? NOT LINKED &amp; MISMATCH._x000D_
(BOQ: 0, Total Found: 540.8335)_x000D_
Found in: Measurement sheet (540.8335)</t>
        </r>
      </text>
    </comment>
    <comment ref="G323" authorId="0" shapeId="0" xr:uid="{BA400672-7125-44F7-AA9D-1164FFEFF385}">
      <text>
        <r>
          <rPr>
            <sz val="9"/>
            <color indexed="81"/>
            <rFont val="Tahoma"/>
            <family val="2"/>
          </rPr>
          <t>?? NOT LINKED &amp; MISMATCH._x000D_
(BOQ: 0, Total Found: 16)_x000D_
Found in: Measurement sheet (16)</t>
        </r>
      </text>
    </comment>
    <comment ref="G326" authorId="0" shapeId="0" xr:uid="{0E104F97-AA17-4BDE-AC27-B8A9BD0AB3A1}">
      <text>
        <r>
          <rPr>
            <sz val="9"/>
            <color indexed="81"/>
            <rFont val="Tahoma"/>
            <family val="2"/>
          </rPr>
          <t>? CORRECTLY LINKED to a valid total in 'Measurement sheet'._x000D_
(Value: 10)</t>
        </r>
      </text>
    </comment>
    <comment ref="G329" authorId="0" shapeId="0" xr:uid="{B2C8336B-346C-4BFD-B3D1-9640D91D7623}">
      <text>
        <r>
          <rPr>
            <sz val="9"/>
            <color indexed="81"/>
            <rFont val="Tahoma"/>
            <family val="2"/>
          </rPr>
          <t>?? NOT LINKED._x000D_
(BOQ: 0, No matching item found in any measurement sheet)</t>
        </r>
      </text>
    </comment>
    <comment ref="G333" authorId="0" shapeId="0" xr:uid="{4E0A71E1-F93F-4590-BCBF-420D4881F99D}">
      <text>
        <r>
          <rPr>
            <sz val="9"/>
            <color indexed="81"/>
            <rFont val="Tahoma"/>
            <family val="2"/>
          </rPr>
          <t>? CORRECTLY LINKED to a valid total in 'Measurement sheet'._x000D_
(Value: 38.5)</t>
        </r>
      </text>
    </comment>
    <comment ref="G336" authorId="0" shapeId="0" xr:uid="{26E683E7-09A0-434B-B886-0EE35FC1F544}">
      <text>
        <r>
          <rPr>
            <sz val="9"/>
            <color indexed="81"/>
            <rFont val="Tahoma"/>
            <family val="2"/>
          </rPr>
          <t>? CORRECTLY LINKED to a valid total in 'Measurement sheet'._x000D_
(Value: 103.84)</t>
        </r>
      </text>
    </comment>
    <comment ref="G337" authorId="0" shapeId="0" xr:uid="{29F144DB-EEB4-43A7-935D-B33BF20413CB}">
      <text>
        <r>
          <rPr>
            <sz val="9"/>
            <color indexed="81"/>
            <rFont val="Tahoma"/>
            <family val="2"/>
          </rPr>
          <t>?? NOT LINKED &amp; MISMATCH._x000D_
(BOQ: 0, Total Found: 932.39)_x000D_
Found in: Measurement sheet (932.39)</t>
        </r>
      </text>
    </comment>
    <comment ref="G338" authorId="0" shapeId="0" xr:uid="{905C850F-02F2-4971-9C68-DDA5947364DA}">
      <text>
        <r>
          <rPr>
            <sz val="9"/>
            <color indexed="81"/>
            <rFont val="Tahoma"/>
            <family val="2"/>
          </rPr>
          <t>? CORRECTLY LINKED to a valid total in 'Measurement sheet'._x000D_
(Value: 0)</t>
        </r>
      </text>
    </comment>
    <comment ref="G339" authorId="0" shapeId="0" xr:uid="{9E27722C-8575-4148-9BBC-4A577AE80EDB}">
      <text>
        <r>
          <rPr>
            <sz val="9"/>
            <color indexed="81"/>
            <rFont val="Tahoma"/>
            <family val="2"/>
          </rPr>
          <t>?? NOT LINKED &amp; MISMATCH._x000D_
(BOQ: 0, Total Found: 540.8335)_x000D_
Found in: Measurement sheet (540.8335)</t>
        </r>
      </text>
    </comment>
    <comment ref="G340" authorId="0" shapeId="0" xr:uid="{43DF06C5-44F1-469C-BFC9-6DF4DEED17C5}">
      <text>
        <r>
          <rPr>
            <sz val="9"/>
            <color indexed="81"/>
            <rFont val="Tahoma"/>
            <family val="2"/>
          </rPr>
          <t>?? NOT LINKED &amp; MISMATCH._x000D_
(BOQ: 0, Total Found: 16)_x000D_
Found in: Measurement sheet (16)</t>
        </r>
      </text>
    </comment>
    <comment ref="G343" authorId="0" shapeId="0" xr:uid="{C141AE26-9B8E-4BFB-9779-DBA6DE34D33A}">
      <text>
        <r>
          <rPr>
            <sz val="9"/>
            <color indexed="81"/>
            <rFont val="Tahoma"/>
            <family val="2"/>
          </rPr>
          <t>? CORRECTLY LINKED to a valid total in 'Measurement sheet'._x000D_
(Value: 117)</t>
        </r>
      </text>
    </comment>
    <comment ref="G346" authorId="0" shapeId="0" xr:uid="{E55420AE-8E61-42E4-873E-F587A66D0BB0}">
      <text>
        <r>
          <rPr>
            <sz val="9"/>
            <color indexed="81"/>
            <rFont val="Tahoma"/>
            <family val="2"/>
          </rPr>
          <t>?? NOT LINKED &amp; MISMATCH._x000D_
(BOQ: 0, Total Found: 2088.4058)_x000D_
Found in: Measurement sheet (2088.4058)</t>
        </r>
      </text>
    </comment>
    <comment ref="G349" authorId="0" shapeId="0" xr:uid="{672FD7B9-4344-403B-95B4-BBDA42585AA7}">
      <text>
        <r>
          <rPr>
            <sz val="9"/>
            <color indexed="81"/>
            <rFont val="Tahoma"/>
            <family val="2"/>
          </rPr>
          <t>? CORRECTLY LINKED to a valid total in 'Measurement sheet'._x000D_
(Value: 51.5174)</t>
        </r>
      </text>
    </comment>
    <comment ref="G350" authorId="0" shapeId="0" xr:uid="{24F7D107-41E5-440A-BA31-F31CF71B2CEA}">
      <text>
        <r>
          <rPr>
            <sz val="9"/>
            <color indexed="81"/>
            <rFont val="Tahoma"/>
            <family val="2"/>
          </rPr>
          <t>?? NOT LINKED._x000D_
(BOQ: 0, No matching item found in any measurement sheet)</t>
        </r>
      </text>
    </comment>
    <comment ref="G351" authorId="0" shapeId="0" xr:uid="{5C3963DB-E3E6-44AC-ACB4-33E5CA262C87}">
      <text>
        <r>
          <rPr>
            <sz val="9"/>
            <color indexed="81"/>
            <rFont val="Tahoma"/>
            <family val="2"/>
          </rPr>
          <t>? CORRECTLY LINKED to a valid total in 'Measurement sheet'._x000D_
(Value: 31.5)</t>
        </r>
      </text>
    </comment>
    <comment ref="G355" authorId="0" shapeId="0" xr:uid="{6834A02C-DE26-4213-8946-A75A55555614}">
      <text>
        <r>
          <rPr>
            <sz val="9"/>
            <color indexed="81"/>
            <rFont val="Tahoma"/>
            <family val="2"/>
          </rPr>
          <t>? CORRECTLY LINKED to a valid total in 'Measurement sheet'._x000D_
(Value: 111.8)</t>
        </r>
      </text>
    </comment>
    <comment ref="G359" authorId="0" shapeId="0" xr:uid="{63603EA8-223C-46DC-B800-9256CD663654}">
      <text>
        <r>
          <rPr>
            <sz val="9"/>
            <color indexed="81"/>
            <rFont val="Tahoma"/>
            <family val="2"/>
          </rPr>
          <t>?? NOT LINKED &amp; MISMATCH._x000D_
(BOQ: 0, Total Found: 2088.4058)_x000D_
Found in: Measurement sheet (2088.4058)</t>
        </r>
      </text>
    </comment>
    <comment ref="G360" authorId="0" shapeId="0" xr:uid="{6E097E98-F126-4584-9D79-F8774FB5B070}">
      <text>
        <r>
          <rPr>
            <sz val="9"/>
            <color indexed="81"/>
            <rFont val="Tahoma"/>
            <family val="2"/>
          </rPr>
          <t>? CORRECTLY LINKED to a valid total in 'Measurement sheet'._x000D_
(Value: 0)</t>
        </r>
      </text>
    </comment>
    <comment ref="G363" authorId="0" shapeId="0" xr:uid="{55EB3E73-87B8-4C65-866C-74763D57C629}">
      <text>
        <r>
          <rPr>
            <sz val="9"/>
            <color indexed="81"/>
            <rFont val="Tahoma"/>
            <family val="2"/>
          </rPr>
          <t>?? NOT LINKED &amp; MISMATCH._x000D_
(BOQ: 0, Total Found: 2088.4058)_x000D_
Found in: Measurement sheet (2088.4058)</t>
        </r>
      </text>
    </comment>
    <comment ref="G364" authorId="0" shapeId="0" xr:uid="{D4C9CBF8-2906-486A-B136-CCEEF3E533FE}">
      <text>
        <r>
          <rPr>
            <sz val="9"/>
            <color indexed="81"/>
            <rFont val="Tahoma"/>
            <family val="2"/>
          </rPr>
          <t>?? NOT LINKED &amp; MISMATCH._x000D_
(BOQ: 0, Total Found: 932.39)_x000D_
Found in: Measurement sheet (932.39)</t>
        </r>
      </text>
    </comment>
    <comment ref="G367" authorId="0" shapeId="0" xr:uid="{443BA180-218E-440C-8A18-8DE3FEA07AD5}">
      <text>
        <r>
          <rPr>
            <sz val="9"/>
            <color indexed="81"/>
            <rFont val="Tahoma"/>
            <family val="2"/>
          </rPr>
          <t>?? NOT LINKED &amp; MISMATCH._x000D_
(BOQ: 0, Total Found: 2317.1297)_x000D_
Found in: Measurement sheet (2317.1297)</t>
        </r>
      </text>
    </comment>
    <comment ref="G368" authorId="0" shapeId="0" xr:uid="{7206408C-97EF-4026-BEB6-A74AE130D6C9}">
      <text>
        <r>
          <rPr>
            <sz val="9"/>
            <color indexed="81"/>
            <rFont val="Tahoma"/>
            <family val="2"/>
          </rPr>
          <t>?? NOT LINKED._x000D_
(BOQ: 0, No matching item found in any measurement sheet)</t>
        </r>
      </text>
    </comment>
    <comment ref="G369" authorId="0" shapeId="0" xr:uid="{F3A7972B-6D7B-4918-B0EC-4CB2ABF26EE8}">
      <text>
        <r>
          <rPr>
            <sz val="9"/>
            <color indexed="81"/>
            <rFont val="Tahoma"/>
            <family val="2"/>
          </rPr>
          <t>?? NOT LINKED &amp; MISMATCH._x000D_
(BOQ: 0, Total Found: 1)_x000D_
Found in: Measurement sheet (1)</t>
        </r>
      </text>
    </comment>
    <comment ref="G370" authorId="0" shapeId="0" xr:uid="{73746D34-AD98-4F46-B39D-234374ADFB83}">
      <text>
        <r>
          <rPr>
            <sz val="9"/>
            <color indexed="81"/>
            <rFont val="Tahoma"/>
            <family val="2"/>
          </rPr>
          <t>?? NOT LINKED &amp; MISMATCH._x000D_
(BOQ: 0, Total Found: 851.395)_x000D_
Found in: Measurement sheet (851.395)</t>
        </r>
      </text>
    </comment>
    <comment ref="G371" authorId="0" shapeId="0" xr:uid="{A5847173-EEEA-4FB3-8A30-310905611CF0}">
      <text>
        <r>
          <rPr>
            <sz val="9"/>
            <color indexed="81"/>
            <rFont val="Tahoma"/>
            <family val="2"/>
          </rPr>
          <t>?? NOT LINKED &amp; MISMATCH._x000D_
(BOQ: 0, Total Found: 29.41)_x000D_
Found in: Measurement sheet (29.41)</t>
        </r>
      </text>
    </comment>
    <comment ref="G374" authorId="0" shapeId="0" xr:uid="{16C206D0-DF07-441D-B2DE-EECAFB147758}">
      <text>
        <r>
          <rPr>
            <sz val="9"/>
            <color indexed="81"/>
            <rFont val="Tahoma"/>
            <family val="2"/>
          </rPr>
          <t>? CORRECTLY LINKED to a valid total in 'Measurement sheet'._x000D_
(Value: 133.8375)</t>
        </r>
      </text>
    </comment>
    <comment ref="G375" authorId="0" shapeId="0" xr:uid="{C1F298A1-F9F9-4679-8A48-27DEE164292B}">
      <text>
        <r>
          <rPr>
            <sz val="9"/>
            <color indexed="81"/>
            <rFont val="Tahoma"/>
            <family val="2"/>
          </rPr>
          <t>?? NOT LINKED._x000D_
(BOQ: 0, No matching item found in any measurement sheet)</t>
        </r>
      </text>
    </comment>
    <comment ref="G376" authorId="0" shapeId="0" xr:uid="{94788308-356D-4976-95FF-9F05E660A8FA}">
      <text>
        <r>
          <rPr>
            <sz val="9"/>
            <color indexed="81"/>
            <rFont val="Tahoma"/>
            <family val="2"/>
          </rPr>
          <t>?? NOT LINKED &amp; MISMATCH._x000D_
(BOQ: 0, Total Found: 1)_x000D_
Found in: Measurement sheet (1)</t>
        </r>
      </text>
    </comment>
    <comment ref="G377" authorId="0" shapeId="0" xr:uid="{6357C3D6-1216-4EC3-ADA6-44396CC6277F}">
      <text>
        <r>
          <rPr>
            <sz val="9"/>
            <color indexed="81"/>
            <rFont val="Tahoma"/>
            <family val="2"/>
          </rPr>
          <t>? CORRECTLY LINKED to a valid total in 'Measurement sheet'._x000D_
(Value: 8.625)</t>
        </r>
      </text>
    </comment>
    <comment ref="G381" authorId="0" shapeId="0" xr:uid="{CB124DFD-C493-4D84-A76F-87687C0047CF}">
      <text>
        <r>
          <rPr>
            <sz val="9"/>
            <color indexed="81"/>
            <rFont val="Tahoma"/>
            <family val="2"/>
          </rPr>
          <t>? CORRECTLY LINKED to a valid total in 'Measurement sheet'._x000D_
(Value: 72)</t>
        </r>
      </text>
    </comment>
    <comment ref="G384" authorId="0" shapeId="0" xr:uid="{6794884A-0A8E-45E8-860B-823CC759E9E2}">
      <text>
        <r>
          <rPr>
            <sz val="9"/>
            <color indexed="81"/>
            <rFont val="Tahoma"/>
            <family val="2"/>
          </rPr>
          <t>?? NOT LINKED &amp; MISMATCH._x000D_
(BOQ: 0, Total Found: 2088.4058)_x000D_
Found in: Measurement sheet (2088.4058)</t>
        </r>
      </text>
    </comment>
    <comment ref="G385" authorId="0" shapeId="0" xr:uid="{0EB35F97-7998-43F0-B9E3-5BC7D86AF125}">
      <text>
        <r>
          <rPr>
            <sz val="9"/>
            <color indexed="81"/>
            <rFont val="Tahoma"/>
            <family val="2"/>
          </rPr>
          <t>?? NOT LINKED &amp; MISMATCH._x000D_
(BOQ: 0, Total Found: 932.39)_x000D_
Found in: Measurement sheet (932.39)</t>
        </r>
      </text>
    </comment>
    <comment ref="G386" authorId="0" shapeId="0" xr:uid="{B7FC3931-C27D-4009-BE02-134EBDED0CCF}">
      <text>
        <r>
          <rPr>
            <sz val="9"/>
            <color indexed="81"/>
            <rFont val="Tahoma"/>
            <family val="2"/>
          </rPr>
          <t>? CORRECTLY LINKED to a valid total in 'Measurement sheet'._x000D_
(Value: 0)</t>
        </r>
      </text>
    </comment>
    <comment ref="G389" authorId="0" shapeId="0" xr:uid="{B0665EC7-3E12-4B65-BC2C-6EBB7FA53CF8}">
      <text>
        <r>
          <rPr>
            <sz val="9"/>
            <color indexed="81"/>
            <rFont val="Tahoma"/>
            <family val="2"/>
          </rPr>
          <t>?? NOT LINKED &amp; MISMATCH._x000D_
(BOQ: 0, Total Found: 2088.4058)_x000D_
Found in: Measurement sheet (2088.4058)</t>
        </r>
      </text>
    </comment>
    <comment ref="G390" authorId="0" shapeId="0" xr:uid="{0EE9B0A4-8933-465A-AFAB-A4D946D8C4C5}">
      <text>
        <r>
          <rPr>
            <sz val="9"/>
            <color indexed="81"/>
            <rFont val="Tahoma"/>
            <family val="2"/>
          </rPr>
          <t>? CORRECTLY LINKED to a valid total in 'Measurement sheet'._x000D_
(Value: 201.9165)</t>
        </r>
      </text>
    </comment>
    <comment ref="G393" authorId="0" shapeId="0" xr:uid="{955097F5-D7C8-49D6-9ED5-FC072CBB49AC}">
      <text>
        <r>
          <rPr>
            <sz val="9"/>
            <color indexed="81"/>
            <rFont val="Tahoma"/>
            <family val="2"/>
          </rPr>
          <t>?? NOT LINKED &amp; MISMATCH._x000D_
(BOQ: 0, Total Found: 2088.4058)_x000D_
Found in: Measurement sheet (2088.4058)</t>
        </r>
      </text>
    </comment>
    <comment ref="G394" authorId="0" shapeId="0" xr:uid="{447E0AAC-F3AF-4D8D-AE61-96F94933801D}">
      <text>
        <r>
          <rPr>
            <sz val="9"/>
            <color indexed="81"/>
            <rFont val="Tahoma"/>
            <family val="2"/>
          </rPr>
          <t>? CORRECTLY LINKED to a valid total in 'Measurement sheet'._x000D_
(Value: 489.504)</t>
        </r>
      </text>
    </comment>
    <comment ref="G395" authorId="0" shapeId="0" xr:uid="{F21C56BA-C32C-4616-82D6-4A65EF45BE43}">
      <text>
        <r>
          <rPr>
            <sz val="9"/>
            <color indexed="81"/>
            <rFont val="Tahoma"/>
            <family val="2"/>
          </rPr>
          <t>?? NOT LINKED &amp; MISMATCH._x000D_
(BOQ: 0, Total Found: 459.7317)_x000D_
Found in: Measurement sheet (459.7317)</t>
        </r>
      </text>
    </comment>
    <comment ref="G398" authorId="0" shapeId="0" xr:uid="{571B132F-90B8-4C29-815F-ED200444E11D}">
      <text>
        <r>
          <rPr>
            <sz val="9"/>
            <color indexed="81"/>
            <rFont val="Tahoma"/>
            <family val="2"/>
          </rPr>
          <t>? CORRECTLY LINKED to a valid total in 'Measurement sheet'._x000D_
(Value: 12)</t>
        </r>
      </text>
    </comment>
    <comment ref="G399" authorId="0" shapeId="0" xr:uid="{53A110A8-E753-47A6-A515-36DFD4A5AE6D}">
      <text>
        <r>
          <rPr>
            <sz val="9"/>
            <color indexed="81"/>
            <rFont val="Tahoma"/>
            <family val="2"/>
          </rPr>
          <t>?? NOT LINKED &amp; MISMATCH._x000D_
(BOQ: 0, Total Found: 932.39)_x000D_
Found in: Measurement sheet (932.39)</t>
        </r>
      </text>
    </comment>
    <comment ref="G402" authorId="0" shapeId="0" xr:uid="{F209A7CC-8390-4DF0-9A1C-931DFBCE3C34}">
      <text>
        <r>
          <rPr>
            <sz val="9"/>
            <color indexed="81"/>
            <rFont val="Tahoma"/>
            <family val="2"/>
          </rPr>
          <t>?? NOT LINKED &amp; MISMATCH._x000D_
(BOQ: 0, Total Found: 2088.4058)_x000D_
Found in: Measurement sheet (2088.4058)</t>
        </r>
      </text>
    </comment>
    <comment ref="G405" authorId="0" shapeId="0" xr:uid="{6734D49A-D7F6-42CF-8F41-E9C3E77036C0}">
      <text>
        <r>
          <rPr>
            <sz val="9"/>
            <color indexed="81"/>
            <rFont val="Tahoma"/>
            <family val="2"/>
          </rPr>
          <t>?? NOT LINKED &amp; MISMATCH._x000D_
(BOQ: 0, Total Found: 2088.4058)_x000D_
Found in: Measurement sheet (2088.4058)</t>
        </r>
      </text>
    </comment>
    <comment ref="G408" authorId="0" shapeId="0" xr:uid="{817AE059-23E7-4869-BF78-0DE2F0D194A7}">
      <text>
        <r>
          <rPr>
            <sz val="9"/>
            <color indexed="81"/>
            <rFont val="Tahoma"/>
            <family val="2"/>
          </rPr>
          <t>? CORRECTLY LINKED to a valid total in 'Measurement sheet'._x000D_
(Value: 0)</t>
        </r>
      </text>
    </comment>
    <comment ref="G411" authorId="0" shapeId="0" xr:uid="{E32A2E50-BDA5-43FA-8CCF-A100FA2992F7}">
      <text>
        <r>
          <rPr>
            <sz val="9"/>
            <color indexed="81"/>
            <rFont val="Tahoma"/>
            <family val="2"/>
          </rPr>
          <t>?? NOT LINKED &amp; MISMATCH._x000D_
(BOQ: 0, Total Found: 2088.4058)_x000D_
Found in: Measurement sheet (2088.4058)</t>
        </r>
      </text>
    </comment>
    <comment ref="G412" authorId="0" shapeId="0" xr:uid="{77889617-9485-41BC-AD41-52821D80B90F}">
      <text>
        <r>
          <rPr>
            <sz val="9"/>
            <color indexed="81"/>
            <rFont val="Tahoma"/>
            <family val="2"/>
          </rPr>
          <t>?? NOT LINKED &amp; MISMATCH._x000D_
(BOQ: 0, Total Found: 932.39)_x000D_
Found in: Measurement sheet (932.39)</t>
        </r>
      </text>
    </comment>
    <comment ref="G415" authorId="0" shapeId="0" xr:uid="{24F615B1-36B9-4892-8D8C-A61EE6552656}">
      <text>
        <r>
          <rPr>
            <sz val="9"/>
            <color indexed="81"/>
            <rFont val="Tahoma"/>
            <family val="2"/>
          </rPr>
          <t>? CORRECTLY LINKED to a valid total in 'Measurement sheet'._x000D_
(Value: 12)</t>
        </r>
      </text>
    </comment>
    <comment ref="G418" authorId="0" shapeId="0" xr:uid="{50DED822-BCC3-4E36-BBCC-BC26D2586C5D}">
      <text>
        <r>
          <rPr>
            <sz val="9"/>
            <color indexed="81"/>
            <rFont val="Tahoma"/>
            <family val="2"/>
          </rPr>
          <t>?? NOT LINKED &amp; MISMATCH._x000D_
(BOQ: 0, Total Found: 2088.4058)_x000D_
Found in: Measurement sheet (2088.4058)</t>
        </r>
      </text>
    </comment>
    <comment ref="G421" authorId="0" shapeId="0" xr:uid="{D70D2104-1DEB-448A-AA63-1A189A1FD61E}">
      <text>
        <r>
          <rPr>
            <sz val="9"/>
            <color indexed="81"/>
            <rFont val="Tahoma"/>
            <family val="2"/>
          </rPr>
          <t>?? NOT LINKED &amp; MISMATCH._x000D_
(BOQ: 0, Total Found: 2088.4058)_x000D_
Found in: Measurement sheet (2088.4058)</t>
        </r>
      </text>
    </comment>
    <comment ref="G422" authorId="0" shapeId="0" xr:uid="{3CF103F1-2B4B-4526-9F63-1DDC52DD8DAC}">
      <text>
        <r>
          <rPr>
            <sz val="9"/>
            <color indexed="81"/>
            <rFont val="Tahoma"/>
            <family val="2"/>
          </rPr>
          <t>?? NOT LINKED &amp; MISMATCH._x000D_
(BOQ: 0, Total Found: 932.39)_x000D_
Found in: Measurement sheet (932.39)</t>
        </r>
      </text>
    </comment>
    <comment ref="G425" authorId="0" shapeId="0" xr:uid="{38379420-7CE7-4184-B9B6-464371344031}">
      <text>
        <r>
          <rPr>
            <sz val="9"/>
            <color indexed="81"/>
            <rFont val="Tahoma"/>
            <family val="2"/>
          </rPr>
          <t>?? NOT LINKED &amp; MISMATCH._x000D_
(BOQ: 0, Total Found: 2088.4058)_x000D_
Found in: Measurement sheet (2088.4058)</t>
        </r>
      </text>
    </comment>
    <comment ref="G426" authorId="0" shapeId="0" xr:uid="{6C2B5364-8E4A-4ACF-88DE-A99BFCCFD0CF}">
      <text>
        <r>
          <rPr>
            <sz val="9"/>
            <color indexed="81"/>
            <rFont val="Tahoma"/>
            <family val="2"/>
          </rPr>
          <t>?? NOT LINKED &amp; MISMATCH._x000D_
(BOQ: 0, Total Found: 932.39)_x000D_
Found in: Measurement sheet (932.39)</t>
        </r>
      </text>
    </comment>
    <comment ref="G429" authorId="0" shapeId="0" xr:uid="{00575C8E-27EC-479A-9F1A-719433A62CAB}">
      <text>
        <r>
          <rPr>
            <sz val="9"/>
            <color indexed="81"/>
            <rFont val="Tahoma"/>
            <family val="2"/>
          </rPr>
          <t>? CORRECTLY LINKED to a valid total in 'Measurement sheet'._x000D_
(Value: 1)</t>
        </r>
      </text>
    </comment>
    <comment ref="G432" authorId="0" shapeId="0" xr:uid="{AD77788A-3D87-46CB-983A-DC119716D801}">
      <text>
        <r>
          <rPr>
            <sz val="9"/>
            <color indexed="81"/>
            <rFont val="Tahoma"/>
            <family val="2"/>
          </rPr>
          <t>? CORRECTLY LINKED to a valid total in 'Measurement sheet'._x000D_
(Value: 1)</t>
        </r>
      </text>
    </comment>
    <comment ref="G433" authorId="0" shapeId="0" xr:uid="{695B5E00-8423-4911-A243-13CB806619B2}">
      <text>
        <r>
          <rPr>
            <sz val="9"/>
            <color indexed="81"/>
            <rFont val="Tahoma"/>
            <family val="2"/>
          </rPr>
          <t>?? NOT LINKED &amp; MISMATCH._x000D_
(BOQ: 0, Total Found: 932.39)_x000D_
Found in: Measurement sheet (932.39)</t>
        </r>
      </text>
    </comment>
    <comment ref="G434" authorId="0" shapeId="0" xr:uid="{ED953200-2BB1-4266-BB2D-A8484E5E7F5D}">
      <text>
        <r>
          <rPr>
            <sz val="9"/>
            <color indexed="81"/>
            <rFont val="Tahoma"/>
            <family val="2"/>
          </rPr>
          <t>?? NOT LINKED &amp; MISMATCH._x000D_
(BOQ: 0, Total Found: 459.7317)_x000D_
Found in: Measurement sheet (459.7317)</t>
        </r>
      </text>
    </comment>
    <comment ref="G437" authorId="0" shapeId="0" xr:uid="{471D2468-2C45-4BDB-8EDE-9B0796848A27}">
      <text>
        <r>
          <rPr>
            <sz val="9"/>
            <color indexed="81"/>
            <rFont val="Tahoma"/>
            <family val="2"/>
          </rPr>
          <t>? CORRECTLY LINKED to a valid total in 'Measurement sheet'._x000D_
(Value: 0)</t>
        </r>
      </text>
    </comment>
    <comment ref="G438" authorId="0" shapeId="0" xr:uid="{D3E0BE44-76FC-48DF-A5A8-F6FA5FB4ABCB}">
      <text>
        <r>
          <rPr>
            <sz val="9"/>
            <color indexed="81"/>
            <rFont val="Tahoma"/>
            <family val="2"/>
          </rPr>
          <t>? CORRECTLY LINKED to a valid total in 'Measurement sheet'._x000D_
(Value: 0)</t>
        </r>
      </text>
    </comment>
    <comment ref="G439" authorId="0" shapeId="0" xr:uid="{8EF316BD-F089-44DD-AE55-7988DD98281A}">
      <text>
        <r>
          <rPr>
            <sz val="9"/>
            <color indexed="81"/>
            <rFont val="Tahoma"/>
            <family val="2"/>
          </rPr>
          <t>?? NOT LINKED &amp; MISMATCH._x000D_
(BOQ: 0, Total Found: 459.7317)_x000D_
Found in: Measurement sheet (459.7317)</t>
        </r>
      </text>
    </comment>
    <comment ref="G440" authorId="0" shapeId="0" xr:uid="{11C25053-5E69-4DAB-BEA7-9BB2E71EB479}">
      <text>
        <r>
          <rPr>
            <sz val="9"/>
            <color indexed="81"/>
            <rFont val="Tahoma"/>
            <family val="2"/>
          </rPr>
          <t>?? NOT LINKED &amp; MISMATCH._x000D_
(BOQ: 0, Total Found: 540.8335)_x000D_
Found in: Measurement sheet (540.8335)</t>
        </r>
      </text>
    </comment>
    <comment ref="G441" authorId="0" shapeId="0" xr:uid="{B1FA3669-0593-41AC-9C9B-9C75C006A0A0}">
      <text>
        <r>
          <rPr>
            <sz val="9"/>
            <color indexed="81"/>
            <rFont val="Tahoma"/>
            <family val="2"/>
          </rPr>
          <t>? CORRECTLY LINKED to a valid total in 'Measurement sheet'._x000D_
(Value: 1)</t>
        </r>
      </text>
    </comment>
    <comment ref="G442" authorId="0" shapeId="0" xr:uid="{BD255BA6-E598-495C-9D4E-E42CDC6F0A5C}">
      <text>
        <r>
          <rPr>
            <sz val="9"/>
            <color indexed="81"/>
            <rFont val="Tahoma"/>
            <family val="2"/>
          </rPr>
          <t>?? NOT LINKED._x000D_
(BOQ: 0, No matching item found in any measurement sheet)</t>
        </r>
      </text>
    </comment>
    <comment ref="G443" authorId="0" shapeId="0" xr:uid="{F674ABF5-C708-4CC6-9572-4F258329C6FF}">
      <text>
        <r>
          <rPr>
            <sz val="9"/>
            <color indexed="81"/>
            <rFont val="Tahoma"/>
            <family val="2"/>
          </rPr>
          <t>?? NOT LINKED._x000D_
(BOQ: 0, No matching item found in any measurement sheet)</t>
        </r>
      </text>
    </comment>
    <comment ref="G444" authorId="0" shapeId="0" xr:uid="{E07DF53A-7AC6-4B02-A48B-3EB41C17C79D}">
      <text>
        <r>
          <rPr>
            <sz val="9"/>
            <color indexed="81"/>
            <rFont val="Tahoma"/>
            <family val="2"/>
          </rPr>
          <t>? CORRECTLY LINKED to a valid total in 'Measurement sheet'._x000D_
(Value: 617.18)</t>
        </r>
      </text>
    </comment>
    <comment ref="G445" authorId="0" shapeId="0" xr:uid="{F1615F8D-D142-4967-9E74-CFE13F863792}">
      <text>
        <r>
          <rPr>
            <sz val="9"/>
            <color indexed="81"/>
            <rFont val="Tahoma"/>
            <family val="2"/>
          </rPr>
          <t>? CORRECTLY LINKED to a valid total in 'Measurement sheet'._x000D_
(Value: 2)</t>
        </r>
      </text>
    </comment>
    <comment ref="G446" authorId="0" shapeId="0" xr:uid="{CB9C75AF-6913-4494-BCEA-D153A93D1F89}">
      <text>
        <r>
          <rPr>
            <sz val="9"/>
            <color indexed="81"/>
            <rFont val="Tahoma"/>
            <family val="2"/>
          </rPr>
          <t>? CORRECTLY LINKED to a valid total in 'Measurement sheet'._x000D_
(Value: 18)</t>
        </r>
      </text>
    </comment>
    <comment ref="G447" authorId="0" shapeId="0" xr:uid="{82B03D68-0A9A-40E1-B8AB-163FC960D30B}">
      <text>
        <r>
          <rPr>
            <sz val="9"/>
            <color indexed="81"/>
            <rFont val="Tahoma"/>
            <family val="2"/>
          </rPr>
          <t>? CORRECTLY LINKED to a valid total in 'Measurement sheet'._x000D_
(Value: 3)</t>
        </r>
      </text>
    </comment>
    <comment ref="G448" authorId="0" shapeId="0" xr:uid="{599E664B-FA08-4A0F-8E42-4F055E7735E2}">
      <text>
        <r>
          <rPr>
            <sz val="9"/>
            <color indexed="81"/>
            <rFont val="Tahoma"/>
            <family val="2"/>
          </rPr>
          <t>?? NOT LINKED &amp; MISMATCH._x000D_
(BOQ: 0, Total Found: 2)_x000D_
Found in: Measurement sheet (2)</t>
        </r>
      </text>
    </comment>
    <comment ref="G449" authorId="0" shapeId="0" xr:uid="{647B12A1-6D33-49AA-BD86-54973FF188DB}">
      <text>
        <r>
          <rPr>
            <sz val="9"/>
            <color indexed="81"/>
            <rFont val="Tahoma"/>
            <family val="2"/>
          </rPr>
          <t>?? NOT LINKED &amp; MISMATCH._x000D_
(BOQ: 0, Total Found: 2)_x000D_
Found in: Measurement sheet (2)</t>
        </r>
      </text>
    </comment>
    <comment ref="G450" authorId="0" shapeId="0" xr:uid="{B48FA38D-4ACF-47D7-9FB4-9F4A41DF618D}">
      <text>
        <r>
          <rPr>
            <sz val="9"/>
            <color indexed="81"/>
            <rFont val="Tahoma"/>
            <family val="2"/>
          </rPr>
          <t>? CORRECTLY LINKED to a valid total in 'Measurement sheet'._x000D_
(Value: 0)</t>
        </r>
      </text>
    </comment>
    <comment ref="G453" authorId="0" shapeId="0" xr:uid="{14104AAB-062D-4095-A457-AAAED4F11C77}">
      <text>
        <r>
          <rPr>
            <sz val="9"/>
            <color indexed="81"/>
            <rFont val="Tahoma"/>
            <family val="2"/>
          </rPr>
          <t>?? NOT LINKED &amp; MISMATCH._x000D_
(BOQ: 0, Total Found: 2317.1297)_x000D_
Found in: Measurement sheet (2317.1297)</t>
        </r>
      </text>
    </comment>
    <comment ref="G454" authorId="0" shapeId="0" xr:uid="{3B5D676C-9F47-4206-A6F9-82D31C0CB2E9}">
      <text>
        <r>
          <rPr>
            <sz val="9"/>
            <color indexed="81"/>
            <rFont val="Tahoma"/>
            <family val="2"/>
          </rPr>
          <t>?? NOT LINKED._x000D_
(BOQ: 0, No matching item found in any measurement sheet)</t>
        </r>
      </text>
    </comment>
    <comment ref="G461" authorId="0" shapeId="0" xr:uid="{B2ACC6CC-0771-4227-A392-9E1BB2529D88}">
      <text>
        <r>
          <rPr>
            <sz val="9"/>
            <color indexed="81"/>
            <rFont val="Tahoma"/>
            <family val="2"/>
          </rPr>
          <t>? CORRECTLY LINKED to a valid total in 'Measurement sheet'._x000D_
(Value: 1047.1893)</t>
        </r>
      </text>
    </comment>
    <comment ref="G464" authorId="0" shapeId="0" xr:uid="{1E500E67-E017-491C-A244-4C835AED419E}">
      <text>
        <r>
          <rPr>
            <sz val="9"/>
            <color indexed="81"/>
            <rFont val="Tahoma"/>
            <family val="2"/>
          </rPr>
          <t>? CORRECTLY LINKED to a valid total in 'Measurement sheet'._x000D_
(Value: 478.5775)</t>
        </r>
      </text>
    </comment>
    <comment ref="G467" authorId="0" shapeId="0" xr:uid="{950EE118-4B5E-432A-8012-F66B5083750A}">
      <text>
        <r>
          <rPr>
            <sz val="9"/>
            <color indexed="81"/>
            <rFont val="Tahoma"/>
            <family val="2"/>
          </rPr>
          <t>? CORRECTLY LINKED to a valid total in 'Measurement sheet'._x000D_
(Value: 858.45025)</t>
        </r>
      </text>
    </comment>
    <comment ref="G470" authorId="0" shapeId="0" xr:uid="{50BE4451-CF67-435E-9FA5-06BD36E7F8A3}">
      <text>
        <r>
          <rPr>
            <sz val="9"/>
            <color indexed="81"/>
            <rFont val="Tahoma"/>
            <family val="2"/>
          </rPr>
          <t>? CORRECTLY LINKED to a valid total in 'Measurement sheet'._x000D_
(Value: 1592.7034)</t>
        </r>
      </text>
    </comment>
    <comment ref="G473" authorId="0" shapeId="0" xr:uid="{B8B7AB2D-01A3-497C-9914-0E422FA46F04}">
      <text>
        <r>
          <rPr>
            <sz val="9"/>
            <color indexed="81"/>
            <rFont val="Tahoma"/>
            <family val="2"/>
          </rPr>
          <t>?? NOT LINKED &amp; MISMATCH._x000D_
(BOQ: 0, Total Found: 2088.4058)_x000D_
Found in: Measurement sheet (2088.4058)</t>
        </r>
      </text>
    </comment>
    <comment ref="G476" authorId="0" shapeId="0" xr:uid="{11CACFF1-5C0B-470E-8FFA-B940BB51C416}">
      <text>
        <r>
          <rPr>
            <sz val="9"/>
            <color indexed="81"/>
            <rFont val="Tahoma"/>
            <family val="2"/>
          </rPr>
          <t>?? NOT LINKED &amp; MISMATCH._x000D_
(BOQ: 0, Total Found: 2088.4058)_x000D_
Found in: Measurement sheet (2088.4058)</t>
        </r>
      </text>
    </comment>
    <comment ref="G479" authorId="0" shapeId="0" xr:uid="{2A56E85F-A25D-4650-A258-A9A7CE92FCC9}">
      <text>
        <r>
          <rPr>
            <sz val="9"/>
            <color indexed="81"/>
            <rFont val="Tahoma"/>
            <family val="2"/>
          </rPr>
          <t>?? NOT LINKED &amp; MISMATCH._x000D_
(BOQ: 0, Total Found: 2088.4058)_x000D_
Found in: Measurement sheet (2088.4058)</t>
        </r>
      </text>
    </comment>
    <comment ref="G486" authorId="0" shapeId="0" xr:uid="{467F1B8A-8098-4EA7-AC76-3674EDE51670}">
      <text>
        <r>
          <rPr>
            <sz val="9"/>
            <color indexed="81"/>
            <rFont val="Tahoma"/>
            <family val="2"/>
          </rPr>
          <t>?? NOT LINKED &amp; MISMATCH._x000D_
(BOQ: 0, Total Found: 2317.1297)_x000D_
Found in: Measurement sheet (2317.1297)</t>
        </r>
      </text>
    </comment>
    <comment ref="G488" authorId="0" shapeId="0" xr:uid="{E3A661D5-D1C7-4408-A96D-BCCC2DF20345}">
      <text>
        <r>
          <rPr>
            <sz val="9"/>
            <color indexed="81"/>
            <rFont val="Tahoma"/>
            <family val="2"/>
          </rPr>
          <t>?? NOT LINKED &amp; MISMATCH._x000D_
(BOQ: 0, Total Found: 2317.1297)_x000D_
Found in: Measurement sheet (2317.1297)</t>
        </r>
      </text>
    </comment>
    <comment ref="G492" authorId="0" shapeId="0" xr:uid="{A8F3FA22-90A9-492C-8FBC-5E539FC0E61B}">
      <text>
        <r>
          <rPr>
            <sz val="9"/>
            <color indexed="81"/>
            <rFont val="Tahoma"/>
            <family val="2"/>
          </rPr>
          <t>?? NOT LINKED &amp; MISMATCH._x000D_
(BOQ: 0, Total Found: 2317.1297)_x000D_
Found in: Measurement sheet (2317.1297)</t>
        </r>
      </text>
    </comment>
    <comment ref="G494" authorId="0" shapeId="0" xr:uid="{F70D8D47-442E-4020-85ED-1BF16FF7E2D9}">
      <text>
        <r>
          <rPr>
            <sz val="9"/>
            <color indexed="81"/>
            <rFont val="Tahoma"/>
            <family val="2"/>
          </rPr>
          <t>?? NOT LINKED._x000D_
(BOQ: 0, No matching item found in any measurement sheet)</t>
        </r>
      </text>
    </comment>
    <comment ref="G496" authorId="0" shapeId="0" xr:uid="{63224028-4361-4A3C-B808-B52D62FE46CA}">
      <text>
        <r>
          <rPr>
            <sz val="9"/>
            <color indexed="81"/>
            <rFont val="Tahoma"/>
            <family val="2"/>
          </rPr>
          <t>?? NOT LINKED &amp; MISMATCH._x000D_
(BOQ: 0, Total Found: 1)_x000D_
Found in: Measurement sheet (1)</t>
        </r>
      </text>
    </comment>
    <comment ref="G498" authorId="0" shapeId="0" xr:uid="{8E706826-84CF-4351-A817-E578DD6DEA30}">
      <text>
        <r>
          <rPr>
            <sz val="9"/>
            <color indexed="81"/>
            <rFont val="Tahoma"/>
            <family val="2"/>
          </rPr>
          <t>?? NOT LINKED &amp; MISMATCH._x000D_
(BOQ: 0, Total Found: 851.395)_x000D_
Found in: Measurement sheet (851.395)</t>
        </r>
      </text>
    </comment>
    <comment ref="G501" authorId="0" shapeId="0" xr:uid="{2B113A04-EFDB-4F4F-89B6-4F54E53CEEEC}">
      <text>
        <r>
          <rPr>
            <sz val="9"/>
            <color indexed="81"/>
            <rFont val="Tahoma"/>
            <family val="2"/>
          </rPr>
          <t>?? NOT LINKED &amp; MISMATCH._x000D_
(BOQ: 0, Total Found: 2317.1297)_x000D_
Found in: Measurement sheet (2317.1297)</t>
        </r>
      </text>
    </comment>
    <comment ref="G504" authorId="0" shapeId="0" xr:uid="{A9D9B5D4-86D1-4945-AC66-D4F8C7B3D29B}">
      <text>
        <r>
          <rPr>
            <sz val="9"/>
            <color indexed="81"/>
            <rFont val="Tahoma"/>
            <family val="2"/>
          </rPr>
          <t>?? NOT LINKED &amp; MISMATCH._x000D_
(BOQ: 0, Total Found: 2317.1297)_x000D_
Found in: Measurement sheet (2317.1297)</t>
        </r>
      </text>
    </comment>
    <comment ref="G507" authorId="0" shapeId="0" xr:uid="{114508BE-E581-461C-83BF-56FE777C27F8}">
      <text>
        <r>
          <rPr>
            <sz val="9"/>
            <color indexed="81"/>
            <rFont val="Tahoma"/>
            <family val="2"/>
          </rPr>
          <t>?? NOT LINKED &amp; MISMATCH._x000D_
(BOQ: 0, Total Found: 2317.1297)_x000D_
Found in: Measurement sheet (2317.1297)</t>
        </r>
      </text>
    </comment>
    <comment ref="G515" authorId="0" shapeId="0" xr:uid="{03BB221C-C30B-4997-924E-FCBF853D620C}">
      <text>
        <r>
          <rPr>
            <sz val="9"/>
            <color indexed="81"/>
            <rFont val="Tahoma"/>
            <family val="2"/>
          </rPr>
          <t>?? NOT LINKED._x000D_
(BOQ: 0, No matching item found in any measurement sheet)</t>
        </r>
      </text>
    </comment>
    <comment ref="G529" authorId="0" shapeId="0" xr:uid="{C135A5EF-39F0-4AA5-B355-C942EE066904}">
      <text>
        <r>
          <rPr>
            <sz val="9"/>
            <color indexed="81"/>
            <rFont val="Tahoma"/>
            <family val="2"/>
          </rPr>
          <t>?? NOT LINKED &amp; MISMATCH._x000D_
(BOQ: 0, Total Found: 1)_x000D_
Found in: Measurement sheet (1)</t>
        </r>
      </text>
    </comment>
    <comment ref="G546" authorId="0" shapeId="0" xr:uid="{B3E3B2C9-C97A-48BD-9FEF-C3F2F0B97031}">
      <text>
        <r>
          <rPr>
            <sz val="9"/>
            <color indexed="81"/>
            <rFont val="Tahoma"/>
            <family val="2"/>
          </rPr>
          <t>? CORRECTLY LINKED to a valid total in 'Measurement sheet'._x000D_
(Value: 1)</t>
        </r>
      </text>
    </comment>
    <comment ref="G556" authorId="0" shapeId="0" xr:uid="{B6AEC199-A0A3-45E9-A4E2-4A1CD65E14FB}">
      <text>
        <r>
          <rPr>
            <sz val="9"/>
            <color indexed="81"/>
            <rFont val="Tahoma"/>
            <family val="2"/>
          </rPr>
          <t>?? NOT LINKED._x000D_
(BOQ: 0, No matching item found in any measurement sheet)</t>
        </r>
      </text>
    </comment>
    <comment ref="G557" authorId="0" shapeId="0" xr:uid="{F4327C56-0051-4D1B-B613-F000A1756B11}">
      <text>
        <r>
          <rPr>
            <sz val="9"/>
            <color indexed="81"/>
            <rFont val="Tahoma"/>
            <family val="2"/>
          </rPr>
          <t>?? NOT LINKED._x000D_
(BOQ: 0, No matching item found in any measurement sheet)</t>
        </r>
      </text>
    </comment>
    <comment ref="G558" authorId="0" shapeId="0" xr:uid="{7369969E-6512-466E-AADF-35571C206F22}">
      <text>
        <r>
          <rPr>
            <sz val="9"/>
            <color indexed="81"/>
            <rFont val="Tahoma"/>
            <family val="2"/>
          </rPr>
          <t>?? NOT LINKED._x000D_
(BOQ: 0, No matching item found in any measurement sheet)</t>
        </r>
      </text>
    </comment>
    <comment ref="G561" authorId="0" shapeId="0" xr:uid="{6631E966-ED21-4F70-88A4-751F80E8FC12}">
      <text>
        <r>
          <rPr>
            <sz val="9"/>
            <color indexed="81"/>
            <rFont val="Tahoma"/>
            <family val="2"/>
          </rPr>
          <t>?? NOT LINKED._x000D_
(BOQ: 0, No matching item found in any measurement sheet)</t>
        </r>
      </text>
    </comment>
    <comment ref="G562" authorId="0" shapeId="0" xr:uid="{D7928C48-EF59-4706-9866-2A767D2655A0}">
      <text>
        <r>
          <rPr>
            <sz val="9"/>
            <color indexed="81"/>
            <rFont val="Tahoma"/>
            <family val="2"/>
          </rPr>
          <t>?? NOT LINKED._x000D_
(BOQ: 0, No matching item found in any measurement sheet)</t>
        </r>
      </text>
    </comment>
    <comment ref="G563" authorId="0" shapeId="0" xr:uid="{7FC1CEAD-579D-461C-BBF8-3069E4D0FE3D}">
      <text>
        <r>
          <rPr>
            <sz val="9"/>
            <color indexed="81"/>
            <rFont val="Tahoma"/>
            <family val="2"/>
          </rPr>
          <t>?? NOT LINKED._x000D_
(BOQ: 0, No matching item found in any measurement sheet)</t>
        </r>
      </text>
    </comment>
    <comment ref="G565" authorId="0" shapeId="0" xr:uid="{81542BCA-B7A7-49C2-912F-C659B41AA003}">
      <text>
        <r>
          <rPr>
            <sz val="9"/>
            <color indexed="81"/>
            <rFont val="Tahoma"/>
            <family val="2"/>
          </rPr>
          <t>?? NOT LINKED._x000D_
(BOQ: 0, No matching item found in any measurement sheet)</t>
        </r>
      </text>
    </comment>
    <comment ref="G584" authorId="0" shapeId="0" xr:uid="{595DF28E-39FB-41BC-AB70-8A0579F84F47}">
      <text>
        <r>
          <rPr>
            <sz val="9"/>
            <color indexed="81"/>
            <rFont val="Tahoma"/>
            <family val="2"/>
          </rPr>
          <t>? CORRECTLY LINKED to a valid total in 'Measurement sheet'._x000D_
(Value: 2)</t>
        </r>
      </text>
    </comment>
    <comment ref="G588" authorId="0" shapeId="0" xr:uid="{32D2EBAD-856A-4834-B60F-BD8D2805FDC5}">
      <text>
        <r>
          <rPr>
            <sz val="9"/>
            <color indexed="81"/>
            <rFont val="Tahoma"/>
            <family val="2"/>
          </rPr>
          <t>?? NOT LINKED._x000D_
(BOQ: 0, No matching item found in any measurement sheet)</t>
        </r>
      </text>
    </comment>
    <comment ref="G590" authorId="0" shapeId="0" xr:uid="{310B12AD-2D15-473B-B76A-9D779FE0F847}">
      <text>
        <r>
          <rPr>
            <sz val="9"/>
            <color indexed="81"/>
            <rFont val="Tahoma"/>
            <family val="2"/>
          </rPr>
          <t>?? NOT LINKED._x000D_
(BOQ: 0, No matching item found in any measurement sheet)</t>
        </r>
      </text>
    </comment>
    <comment ref="G592" authorId="0" shapeId="0" xr:uid="{A918A361-7818-4A32-B47A-83A7507FCAC8}">
      <text>
        <r>
          <rPr>
            <sz val="9"/>
            <color indexed="81"/>
            <rFont val="Tahoma"/>
            <family val="2"/>
          </rPr>
          <t>?? NOT LINKED._x000D_
(BOQ: 0, No matching item found in any measurement sheet)</t>
        </r>
      </text>
    </comment>
    <comment ref="G594" authorId="0" shapeId="0" xr:uid="{E5C87F27-1495-4457-9E3C-0EA9D5816306}">
      <text>
        <r>
          <rPr>
            <sz val="9"/>
            <color indexed="81"/>
            <rFont val="Tahoma"/>
            <family val="2"/>
          </rPr>
          <t>?? NOT LINKED._x000D_
(BOQ: 0, No matching item found in any measurement sheet)</t>
        </r>
      </text>
    </comment>
    <comment ref="G596" authorId="0" shapeId="0" xr:uid="{11127C50-C02B-4335-9FA7-C1A85103467B}">
      <text>
        <r>
          <rPr>
            <sz val="9"/>
            <color indexed="81"/>
            <rFont val="Tahoma"/>
            <family val="2"/>
          </rPr>
          <t>?? NOT LINKED._x000D_
(BOQ: 0, No matching item found in any measurement sheet)</t>
        </r>
      </text>
    </comment>
    <comment ref="G598" authorId="0" shapeId="0" xr:uid="{5A65179F-5E05-4AD6-B50E-EFDD50926AFC}">
      <text>
        <r>
          <rPr>
            <sz val="9"/>
            <color indexed="81"/>
            <rFont val="Tahoma"/>
            <family val="2"/>
          </rPr>
          <t>?? NOT LINKED._x000D_
(BOQ: 0, No matching item found in any measurement sheet)</t>
        </r>
      </text>
    </comment>
    <comment ref="G600" authorId="0" shapeId="0" xr:uid="{106EB1D2-6602-45D0-8E7A-B2C8154370F6}">
      <text>
        <r>
          <rPr>
            <sz val="9"/>
            <color indexed="81"/>
            <rFont val="Tahoma"/>
            <family val="2"/>
          </rPr>
          <t>?? NOT LINKED._x000D_
(BOQ: 0, No matching item found in any measurement sheet)</t>
        </r>
      </text>
    </comment>
    <comment ref="G606" authorId="0" shapeId="0" xr:uid="{721780A6-143B-492A-9E9B-B3DD17ABC749}">
      <text>
        <r>
          <rPr>
            <sz val="9"/>
            <color indexed="81"/>
            <rFont val="Tahoma"/>
            <family val="2"/>
          </rPr>
          <t>?? NOT LINKED._x000D_
(BOQ: 0, No matching item found in any measurement sheet)</t>
        </r>
      </text>
    </comment>
    <comment ref="G621" authorId="0" shapeId="0" xr:uid="{A9043D37-ACEF-475D-8165-09BF8E834882}">
      <text>
        <r>
          <rPr>
            <sz val="9"/>
            <color indexed="81"/>
            <rFont val="Tahoma"/>
            <family val="2"/>
          </rPr>
          <t>?? NOT LINKED._x000D_
(BOQ: 0, No matching item found in any measurement sheet)</t>
        </r>
      </text>
    </comment>
    <comment ref="G636" authorId="0" shapeId="0" xr:uid="{BD898568-D552-4DCF-8008-F9AD6D2174E7}">
      <text>
        <r>
          <rPr>
            <sz val="9"/>
            <color indexed="81"/>
            <rFont val="Tahoma"/>
            <family val="2"/>
          </rPr>
          <t>?? NOT LINKED._x000D_
(BOQ: 0, No matching item found in any measurement sheet)</t>
        </r>
      </text>
    </comment>
    <comment ref="G663" authorId="0" shapeId="0" xr:uid="{FE866BD3-9054-4880-B9CE-D422FF8F4912}">
      <text>
        <r>
          <rPr>
            <sz val="9"/>
            <color indexed="81"/>
            <rFont val="Tahoma"/>
            <family val="2"/>
          </rPr>
          <t>?? NOT LINKED._x000D_
(BOQ: 0, No matching item found in any measurement sheet)</t>
        </r>
      </text>
    </comment>
    <comment ref="G671" authorId="0" shapeId="0" xr:uid="{3BD1AF87-B160-4973-8A43-0686F0CDB6CC}">
      <text>
        <r>
          <rPr>
            <sz val="9"/>
            <color indexed="81"/>
            <rFont val="Tahoma"/>
            <family val="2"/>
          </rPr>
          <t>?? NOT LINKED._x000D_
(BOQ: 0, No matching item found in any measurement sheet)</t>
        </r>
      </text>
    </comment>
    <comment ref="G675" authorId="0" shapeId="0" xr:uid="{B9A42029-A6F4-4124-B41E-27DD583F9097}">
      <text>
        <r>
          <rPr>
            <sz val="9"/>
            <color indexed="81"/>
            <rFont val="Tahoma"/>
            <family val="2"/>
          </rPr>
          <t>?? NOT LINKED._x000D_
(BOQ: 0, No matching item found in any measurement sheet)</t>
        </r>
      </text>
    </comment>
    <comment ref="G681" authorId="0" shapeId="0" xr:uid="{A7D10BB3-DD5B-4232-B01D-EF2C153E8196}">
      <text>
        <r>
          <rPr>
            <sz val="9"/>
            <color indexed="81"/>
            <rFont val="Tahoma"/>
            <family val="2"/>
          </rPr>
          <t>?? NOT LINKED._x000D_
(BOQ: 0, No matching item found in any measurement sheet)</t>
        </r>
      </text>
    </comment>
    <comment ref="G690" authorId="0" shapeId="0" xr:uid="{89461C10-A011-4A00-9BD1-E08751B39A2A}">
      <text>
        <r>
          <rPr>
            <sz val="9"/>
            <color indexed="81"/>
            <rFont val="Tahoma"/>
            <family val="2"/>
          </rPr>
          <t>?? NOT LINKED._x000D_
(BOQ: 0, No matching item found in any measurement sheet)</t>
        </r>
      </text>
    </comment>
    <comment ref="G700" authorId="0" shapeId="0" xr:uid="{B3739856-94E0-44A8-B2CD-9041682EB907}">
      <text>
        <r>
          <rPr>
            <sz val="9"/>
            <color indexed="81"/>
            <rFont val="Tahoma"/>
            <family val="2"/>
          </rPr>
          <t>?? NOT LINKED._x000D_
(BOQ: 0, No matching item found in any measurement sheet)</t>
        </r>
      </text>
    </comment>
    <comment ref="G711" authorId="0" shapeId="0" xr:uid="{705301D5-709E-4393-990E-8D1FD664CA85}">
      <text>
        <r>
          <rPr>
            <sz val="9"/>
            <color indexed="81"/>
            <rFont val="Tahoma"/>
            <family val="2"/>
          </rPr>
          <t>?? NOT LINKED._x000D_
(BOQ: 0, No matching item found in any measurement sheet)</t>
        </r>
      </text>
    </comment>
    <comment ref="G721" authorId="0" shapeId="0" xr:uid="{83E6335F-1C95-4883-985D-7866D48D61C5}">
      <text>
        <r>
          <rPr>
            <sz val="9"/>
            <color indexed="81"/>
            <rFont val="Tahoma"/>
            <family val="2"/>
          </rPr>
          <t>?? NOT LINKED._x000D_
(BOQ: 0, No matching item found in any measurement sheet)</t>
        </r>
      </text>
    </comment>
    <comment ref="G734" authorId="0" shapeId="0" xr:uid="{8AA8A259-CB0C-4FD5-95A6-96B1C5E2A735}">
      <text>
        <r>
          <rPr>
            <sz val="9"/>
            <color indexed="81"/>
            <rFont val="Tahoma"/>
            <family val="2"/>
          </rPr>
          <t>?? NOT LINKED._x000D_
(BOQ: 0, No matching item found in any measurement sheet)</t>
        </r>
      </text>
    </comment>
    <comment ref="G744" authorId="0" shapeId="0" xr:uid="{651653B8-B8A7-4B66-B0B4-8FAD7D71C3AA}">
      <text>
        <r>
          <rPr>
            <sz val="9"/>
            <color indexed="81"/>
            <rFont val="Tahoma"/>
            <family val="2"/>
          </rPr>
          <t>?? NOT LINKED._x000D_
(BOQ: 0, No matching item found in any measurement sheet)</t>
        </r>
      </text>
    </comment>
    <comment ref="G755" authorId="0" shapeId="0" xr:uid="{5B835092-9A43-47D2-AB47-444221E406E8}">
      <text>
        <r>
          <rPr>
            <sz val="9"/>
            <color indexed="81"/>
            <rFont val="Tahoma"/>
            <family val="2"/>
          </rPr>
          <t>?? NOT LINKED._x000D_
(BOQ: 0, No matching item found in any measurement sheet)</t>
        </r>
      </text>
    </comment>
    <comment ref="G765" authorId="0" shapeId="0" xr:uid="{BC84227B-966C-4B38-843E-8CFF6017CBF3}">
      <text>
        <r>
          <rPr>
            <sz val="9"/>
            <color indexed="81"/>
            <rFont val="Tahoma"/>
            <family val="2"/>
          </rPr>
          <t>?? NOT LINKED._x000D_
(BOQ: 0, No matching item found in any measurement sheet)</t>
        </r>
      </text>
    </comment>
    <comment ref="G784" authorId="0" shapeId="0" xr:uid="{BA43F55A-4D75-46AD-97E9-EEDAC4EBDE93}">
      <text>
        <r>
          <rPr>
            <sz val="9"/>
            <color indexed="81"/>
            <rFont val="Tahoma"/>
            <family val="2"/>
          </rPr>
          <t>? CORRECTLY LINKED to a valid total in 'Measurement sheet'._x000D_
(Value: 1)</t>
        </r>
      </text>
    </comment>
    <comment ref="G789" authorId="0" shapeId="0" xr:uid="{FBC4B211-C7BB-401E-872B-EB9CE47E655E}">
      <text>
        <r>
          <rPr>
            <sz val="9"/>
            <color indexed="81"/>
            <rFont val="Tahoma"/>
            <family val="2"/>
          </rPr>
          <t>?? NOT LINKED._x000D_
(BOQ: 0, No matching item found in any measurement sheet)</t>
        </r>
      </text>
    </comment>
    <comment ref="G794" authorId="0" shapeId="0" xr:uid="{F9ADE38A-9608-461B-999C-22720F549DB7}">
      <text>
        <r>
          <rPr>
            <sz val="9"/>
            <color indexed="81"/>
            <rFont val="Tahoma"/>
            <family val="2"/>
          </rPr>
          <t>?? NOT LINKED._x000D_
(BOQ: 0, No matching item found in any measurement sheet)</t>
        </r>
      </text>
    </comment>
    <comment ref="G800" authorId="0" shapeId="0" xr:uid="{96B8095F-C12C-4352-BFEB-F29B175A46C3}">
      <text>
        <r>
          <rPr>
            <sz val="9"/>
            <color indexed="81"/>
            <rFont val="Tahoma"/>
            <family val="2"/>
          </rPr>
          <t>?? NOT LINKED._x000D_
(BOQ: 0, No matching item found in any measurement sheet)</t>
        </r>
      </text>
    </comment>
    <comment ref="G805" authorId="0" shapeId="0" xr:uid="{7A4D61FD-6919-4460-BEA3-F341C602E445}">
      <text>
        <r>
          <rPr>
            <sz val="9"/>
            <color indexed="81"/>
            <rFont val="Tahoma"/>
            <family val="2"/>
          </rPr>
          <t>? CORRECTLY LINKED to a valid total in 'Measurement sheet'._x000D_
(Value: 1)</t>
        </r>
      </text>
    </comment>
    <comment ref="G812" authorId="0" shapeId="0" xr:uid="{11142ABC-1742-4F55-B1FD-8C9F8EED31C9}">
      <text>
        <r>
          <rPr>
            <sz val="9"/>
            <color indexed="81"/>
            <rFont val="Tahoma"/>
            <family val="2"/>
          </rPr>
          <t>?? NOT LINKED._x000D_
(BOQ: 0, No matching item found in any measurement sheet)</t>
        </r>
      </text>
    </comment>
    <comment ref="G817" authorId="0" shapeId="0" xr:uid="{C774CECC-E6E4-4618-86E0-96D0B72E22C5}">
      <text>
        <r>
          <rPr>
            <sz val="9"/>
            <color indexed="81"/>
            <rFont val="Tahoma"/>
            <family val="2"/>
          </rPr>
          <t>? CORRECTLY LINKED to a valid total in 'Measurement sheet'._x000D_
(Value: 1)</t>
        </r>
      </text>
    </comment>
    <comment ref="G828" authorId="0" shapeId="0" xr:uid="{16F5D657-2D37-479A-92FB-0EF2B81B6660}">
      <text>
        <r>
          <rPr>
            <sz val="9"/>
            <color indexed="81"/>
            <rFont val="Tahoma"/>
            <family val="2"/>
          </rPr>
          <t>?? NOT LINKED._x000D_
(BOQ: 0, No matching item found in any measurement sheet)</t>
        </r>
      </text>
    </comment>
    <comment ref="G830" authorId="0" shapeId="0" xr:uid="{6F44F456-A6F0-4ECD-86F2-0E781F72A32B}">
      <text>
        <r>
          <rPr>
            <sz val="9"/>
            <color indexed="81"/>
            <rFont val="Tahoma"/>
            <family val="2"/>
          </rPr>
          <t>?? NOT LINKED._x000D_
(BOQ: 0, No matching item found in any measurement sheet)</t>
        </r>
      </text>
    </comment>
    <comment ref="G832" authorId="0" shapeId="0" xr:uid="{5569F453-99B2-496D-8BE5-A6A526AC0412}">
      <text>
        <r>
          <rPr>
            <sz val="9"/>
            <color indexed="81"/>
            <rFont val="Tahoma"/>
            <family val="2"/>
          </rPr>
          <t>? CORRECTLY LINKED to a valid total in 'Measurement sheet'._x000D_
(Value: 28)</t>
        </r>
      </text>
    </comment>
    <comment ref="G834" authorId="0" shapeId="0" xr:uid="{754E3C67-0E58-43D6-ADAE-179AACAFB67A}">
      <text>
        <r>
          <rPr>
            <sz val="9"/>
            <color indexed="81"/>
            <rFont val="Tahoma"/>
            <family val="2"/>
          </rPr>
          <t>?? NOT LINKED._x000D_
(BOQ: 0, No matching item found in any measurement sheet)</t>
        </r>
      </text>
    </comment>
    <comment ref="G836" authorId="0" shapeId="0" xr:uid="{F0019E80-F178-4521-87F5-CF527766A954}">
      <text>
        <r>
          <rPr>
            <sz val="9"/>
            <color indexed="81"/>
            <rFont val="Tahoma"/>
            <family val="2"/>
          </rPr>
          <t>?? NOT LINKED._x000D_
(BOQ: 0, No matching item found in any measurement sheet)</t>
        </r>
      </text>
    </comment>
    <comment ref="G838" authorId="0" shapeId="0" xr:uid="{30B0B37D-0EEF-40D5-9581-5158AAE9452D}">
      <text>
        <r>
          <rPr>
            <sz val="9"/>
            <color indexed="81"/>
            <rFont val="Tahoma"/>
            <family val="2"/>
          </rPr>
          <t>?? NOT LINKED._x000D_
(BOQ: 0, No matching item found in any measurement sheet)</t>
        </r>
      </text>
    </comment>
    <comment ref="G840" authorId="0" shapeId="0" xr:uid="{73E345B6-0965-4469-92C5-E91A23A85283}">
      <text>
        <r>
          <rPr>
            <sz val="9"/>
            <color indexed="81"/>
            <rFont val="Tahoma"/>
            <family val="2"/>
          </rPr>
          <t>?? NOT LINKED._x000D_
(BOQ: 0, No matching item found in any measurement sheet)</t>
        </r>
      </text>
    </comment>
    <comment ref="G842" authorId="0" shapeId="0" xr:uid="{FDCEF35C-FE17-49D8-B3E4-69C8F7918986}">
      <text>
        <r>
          <rPr>
            <sz val="9"/>
            <color indexed="81"/>
            <rFont val="Tahoma"/>
            <family val="2"/>
          </rPr>
          <t>?? NOT LINKED._x000D_
(BOQ: 0, No matching item found in any measurement sheet)</t>
        </r>
      </text>
    </comment>
    <comment ref="G844" authorId="0" shapeId="0" xr:uid="{D0C0BD68-19CB-4620-9672-0ED7F498AD7F}">
      <text>
        <r>
          <rPr>
            <sz val="9"/>
            <color indexed="81"/>
            <rFont val="Tahoma"/>
            <family val="2"/>
          </rPr>
          <t>?? NOT LINKED._x000D_
(BOQ: 0, No matching item found in any measurement sheet)</t>
        </r>
      </text>
    </comment>
    <comment ref="G846" authorId="0" shapeId="0" xr:uid="{111634F1-F9FB-4141-B623-6665D5334C3A}">
      <text>
        <r>
          <rPr>
            <sz val="9"/>
            <color indexed="81"/>
            <rFont val="Tahoma"/>
            <family val="2"/>
          </rPr>
          <t>?? NOT LINKED._x000D_
(BOQ: 0, No matching item found in any measurement sheet)</t>
        </r>
      </text>
    </comment>
    <comment ref="G848" authorId="0" shapeId="0" xr:uid="{3794BD5D-5AAC-4C65-9E8B-C49D94FA6B47}">
      <text>
        <r>
          <rPr>
            <sz val="9"/>
            <color indexed="81"/>
            <rFont val="Tahoma"/>
            <family val="2"/>
          </rPr>
          <t>? CORRECTLY LINKED to a valid total in 'Measurement sheet'._x000D_
(Value: 90)</t>
        </r>
      </text>
    </comment>
    <comment ref="G850" authorId="0" shapeId="0" xr:uid="{84F31295-6C5C-4EDA-B2CB-7CA4C1F4A82B}">
      <text>
        <r>
          <rPr>
            <sz val="9"/>
            <color indexed="81"/>
            <rFont val="Tahoma"/>
            <family val="2"/>
          </rPr>
          <t>?? NOT LINKED._x000D_
(BOQ: 0, No matching item found in any measurement sheet)</t>
        </r>
      </text>
    </comment>
    <comment ref="G852" authorId="0" shapeId="0" xr:uid="{A6B65B66-6C57-4AFE-AE46-0FB961F907CC}">
      <text>
        <r>
          <rPr>
            <sz val="9"/>
            <color indexed="81"/>
            <rFont val="Tahoma"/>
            <family val="2"/>
          </rPr>
          <t>?? NOT LINKED._x000D_
(BOQ: 0, No matching item found in any measurement sheet)</t>
        </r>
      </text>
    </comment>
    <comment ref="G854" authorId="0" shapeId="0" xr:uid="{D4815E12-F277-49EF-AE21-3CA4C16B4A03}">
      <text>
        <r>
          <rPr>
            <sz val="9"/>
            <color indexed="81"/>
            <rFont val="Tahoma"/>
            <family val="2"/>
          </rPr>
          <t>?? NOT LINKED._x000D_
(BOQ: 0, No matching item found in any measurement sheet)</t>
        </r>
      </text>
    </comment>
    <comment ref="G856" authorId="0" shapeId="0" xr:uid="{2BF6012D-8B55-4749-8C06-47633BCEAD9D}">
      <text>
        <r>
          <rPr>
            <sz val="9"/>
            <color indexed="81"/>
            <rFont val="Tahoma"/>
            <family val="2"/>
          </rPr>
          <t>? CORRECTLY LINKED to a valid total in 'Measurement sheet'._x000D_
(Value: 50)</t>
        </r>
      </text>
    </comment>
    <comment ref="G858" authorId="0" shapeId="0" xr:uid="{D4F1CFF5-92F8-4FA4-A20D-08A4C05F6983}">
      <text>
        <r>
          <rPr>
            <sz val="9"/>
            <color indexed="81"/>
            <rFont val="Tahoma"/>
            <family val="2"/>
          </rPr>
          <t>? CORRECTLY LINKED to a valid total in 'Measurement sheet'._x000D_
(Value: 48)</t>
        </r>
      </text>
    </comment>
    <comment ref="G862" authorId="0" shapeId="0" xr:uid="{CB1156AA-7DA2-4722-ACD2-0249C7830287}">
      <text>
        <r>
          <rPr>
            <sz val="9"/>
            <color indexed="81"/>
            <rFont val="Tahoma"/>
            <family val="2"/>
          </rPr>
          <t>?? NOT LINKED._x000D_
(BOQ: 0, No matching item found in any measurement sheet)</t>
        </r>
      </text>
    </comment>
    <comment ref="G864" authorId="0" shapeId="0" xr:uid="{BCE72351-63B9-419B-B0E1-0596F549F52A}">
      <text>
        <r>
          <rPr>
            <sz val="9"/>
            <color indexed="81"/>
            <rFont val="Tahoma"/>
            <family val="2"/>
          </rPr>
          <t>?? NOT LINKED._x000D_
(BOQ: 0, No matching item found in any measurement sheet)</t>
        </r>
      </text>
    </comment>
    <comment ref="G866" authorId="0" shapeId="0" xr:uid="{D8EE6B01-3958-4BF3-94BF-7BBB6479D232}">
      <text>
        <r>
          <rPr>
            <sz val="9"/>
            <color indexed="81"/>
            <rFont val="Tahoma"/>
            <family val="2"/>
          </rPr>
          <t>? CORRECTLY LINKED to a valid total in 'Measurement sheet'._x000D_
(Value: 2)</t>
        </r>
      </text>
    </comment>
    <comment ref="G868" authorId="0" shapeId="0" xr:uid="{B4F4151F-2FF5-4573-8F48-2D7A5B593629}">
      <text>
        <r>
          <rPr>
            <sz val="9"/>
            <color indexed="81"/>
            <rFont val="Tahoma"/>
            <family val="2"/>
          </rPr>
          <t>?? NOT LINKED._x000D_
(BOQ: 0, No matching item found in any measurement sheet)</t>
        </r>
      </text>
    </comment>
    <comment ref="G870" authorId="0" shapeId="0" xr:uid="{11DB6937-35ED-4095-9AE7-F2DD7E92E54B}">
      <text>
        <r>
          <rPr>
            <sz val="9"/>
            <color indexed="81"/>
            <rFont val="Tahoma"/>
            <family val="2"/>
          </rPr>
          <t>?? NOT LINKED._x000D_
(BOQ: 0, No matching item found in any measurement sheet)</t>
        </r>
      </text>
    </comment>
    <comment ref="G872" authorId="0" shapeId="0" xr:uid="{20A0203F-4F09-45CE-9E17-4D49F9C7EF22}">
      <text>
        <r>
          <rPr>
            <sz val="9"/>
            <color indexed="81"/>
            <rFont val="Tahoma"/>
            <family val="2"/>
          </rPr>
          <t>?? NOT LINKED._x000D_
(BOQ: 0, No matching item found in any measurement sheet)</t>
        </r>
      </text>
    </comment>
    <comment ref="G874" authorId="0" shapeId="0" xr:uid="{3C86A977-46D7-46BB-BAFD-7EEE96ABD61B}">
      <text>
        <r>
          <rPr>
            <sz val="9"/>
            <color indexed="81"/>
            <rFont val="Tahoma"/>
            <family val="2"/>
          </rPr>
          <t>?? NOT LINKED._x000D_
(BOQ: 0, No matching item found in any measurement sheet)</t>
        </r>
      </text>
    </comment>
    <comment ref="G876" authorId="0" shapeId="0" xr:uid="{7BF7AB20-1D10-4501-880F-C09E16BDD045}">
      <text>
        <r>
          <rPr>
            <sz val="9"/>
            <color indexed="81"/>
            <rFont val="Tahoma"/>
            <family val="2"/>
          </rPr>
          <t>?? NOT LINKED._x000D_
(BOQ: 0, No matching item found in any measurement sheet)</t>
        </r>
      </text>
    </comment>
    <comment ref="G878" authorId="0" shapeId="0" xr:uid="{B90AFF22-E62C-489C-967B-E26E67A149F0}">
      <text>
        <r>
          <rPr>
            <sz val="9"/>
            <color indexed="81"/>
            <rFont val="Tahoma"/>
            <family val="2"/>
          </rPr>
          <t>?? NOT LINKED._x000D_
(BOQ: 0, No matching item found in any measurement sheet)</t>
        </r>
      </text>
    </comment>
    <comment ref="G880" authorId="0" shapeId="0" xr:uid="{187802B1-755A-4749-BCC8-3C1327646573}">
      <text>
        <r>
          <rPr>
            <sz val="9"/>
            <color indexed="81"/>
            <rFont val="Tahoma"/>
            <family val="2"/>
          </rPr>
          <t>?? NOT LINKED._x000D_
(BOQ: 0, No matching item found in any measurement sheet)</t>
        </r>
      </text>
    </comment>
    <comment ref="G882" authorId="0" shapeId="0" xr:uid="{A346B514-5A1C-41E8-A1E8-E543B48317B8}">
      <text>
        <r>
          <rPr>
            <sz val="9"/>
            <color indexed="81"/>
            <rFont val="Tahoma"/>
            <family val="2"/>
          </rPr>
          <t>? CORRECTLY LINKED to a valid total in 'Measurement sheet'._x000D_
(Value: 5)</t>
        </r>
      </text>
    </comment>
    <comment ref="G884" authorId="0" shapeId="0" xr:uid="{F5749734-8CCF-4DAD-9D76-D91A8A93466D}">
      <text>
        <r>
          <rPr>
            <sz val="9"/>
            <color indexed="81"/>
            <rFont val="Tahoma"/>
            <family val="2"/>
          </rPr>
          <t>?? NOT LINKED._x000D_
(BOQ: 0, No matching item found in any measurement sheet)</t>
        </r>
      </text>
    </comment>
    <comment ref="G886" authorId="0" shapeId="0" xr:uid="{3EE0FEFF-BEFC-4D1A-8E5A-0D4263214A03}">
      <text>
        <r>
          <rPr>
            <sz val="9"/>
            <color indexed="81"/>
            <rFont val="Tahoma"/>
            <family val="2"/>
          </rPr>
          <t>?? NOT LINKED._x000D_
(BOQ: 0, No matching item found in any measurement sheet)</t>
        </r>
      </text>
    </comment>
    <comment ref="G888" authorId="0" shapeId="0" xr:uid="{AF44A06A-15C4-4F63-A6A5-9DAB2AB6677D}">
      <text>
        <r>
          <rPr>
            <sz val="9"/>
            <color indexed="81"/>
            <rFont val="Tahoma"/>
            <family val="2"/>
          </rPr>
          <t>?? NOT LINKED._x000D_
(BOQ: 0, No matching item found in any measurement sheet)</t>
        </r>
      </text>
    </comment>
    <comment ref="G890" authorId="0" shapeId="0" xr:uid="{AE036A59-73BC-4ECC-B15B-0664B87850B8}">
      <text>
        <r>
          <rPr>
            <sz val="9"/>
            <color indexed="81"/>
            <rFont val="Tahoma"/>
            <family val="2"/>
          </rPr>
          <t>? CORRECTLY LINKED to a valid total in 'Measurement sheet'._x000D_
(Value: 8)</t>
        </r>
      </text>
    </comment>
    <comment ref="G892" authorId="0" shapeId="0" xr:uid="{D6384D56-9F77-44EB-9CF4-CDD8538F7C8C}">
      <text>
        <r>
          <rPr>
            <sz val="9"/>
            <color indexed="81"/>
            <rFont val="Tahoma"/>
            <family val="2"/>
          </rPr>
          <t>? CORRECTLY LINKED to a valid total in 'Measurement sheet'._x000D_
(Value: 10)</t>
        </r>
      </text>
    </comment>
    <comment ref="G899" authorId="0" shapeId="0" xr:uid="{DBE3DC82-BA4D-429B-BC3A-6F56E4849300}">
      <text>
        <r>
          <rPr>
            <sz val="9"/>
            <color indexed="81"/>
            <rFont val="Tahoma"/>
            <family val="2"/>
          </rPr>
          <t>?? NOT LINKED._x000D_
(BOQ: 0, No matching item found in any measurement sheet)</t>
        </r>
      </text>
    </comment>
    <comment ref="G900" authorId="0" shapeId="0" xr:uid="{BD60F1CA-72D0-44D7-BF50-78E8C9C0B86D}">
      <text>
        <r>
          <rPr>
            <sz val="9"/>
            <color indexed="81"/>
            <rFont val="Tahoma"/>
            <family val="2"/>
          </rPr>
          <t>?? NOT LINKED._x000D_
(BOQ: 0, No matching item found in any measurement sheet)</t>
        </r>
      </text>
    </comment>
    <comment ref="G902" authorId="0" shapeId="0" xr:uid="{5F337844-736F-46AC-A580-94BA9420C74B}">
      <text>
        <r>
          <rPr>
            <sz val="9"/>
            <color indexed="81"/>
            <rFont val="Tahoma"/>
            <family val="2"/>
          </rPr>
          <t>?? NOT LINKED._x000D_
(BOQ: 0, No matching item found in any measurement sheet)</t>
        </r>
      </text>
    </comment>
    <comment ref="G903" authorId="0" shapeId="0" xr:uid="{94C55AEF-AF2D-45D2-A88A-70E7A2A27396}">
      <text>
        <r>
          <rPr>
            <sz val="9"/>
            <color indexed="81"/>
            <rFont val="Tahoma"/>
            <family val="2"/>
          </rPr>
          <t>?? NOT LINKED._x000D_
(BOQ: 0, No matching item found in any measurement sheet)</t>
        </r>
      </text>
    </comment>
    <comment ref="G904" authorId="0" shapeId="0" xr:uid="{3020D66A-707F-4686-A61A-35F417EA8CDC}">
      <text>
        <r>
          <rPr>
            <sz val="9"/>
            <color indexed="81"/>
            <rFont val="Tahoma"/>
            <family val="2"/>
          </rPr>
          <t>?? NOT LINKED._x000D_
(BOQ: 0, No matching item found in any measurement sheet)</t>
        </r>
      </text>
    </comment>
    <comment ref="G905" authorId="0" shapeId="0" xr:uid="{A478928A-B419-4687-9FD4-D13AB9B74928}">
      <text>
        <r>
          <rPr>
            <sz val="9"/>
            <color indexed="81"/>
            <rFont val="Tahoma"/>
            <family val="2"/>
          </rPr>
          <t>? CORRECTLY LINKED to a valid total in 'Measurement sheet'._x000D_
(Value: 160)</t>
        </r>
      </text>
    </comment>
    <comment ref="G908" authorId="0" shapeId="0" xr:uid="{218FC6AF-CAF0-4647-A69F-3C694A68F40E}">
      <text>
        <r>
          <rPr>
            <sz val="9"/>
            <color indexed="81"/>
            <rFont val="Tahoma"/>
            <family val="2"/>
          </rPr>
          <t>? CORRECTLY LINKED to a valid total in 'Measurement sheet'._x000D_
(Value: 75)</t>
        </r>
      </text>
    </comment>
    <comment ref="G911" authorId="0" shapeId="0" xr:uid="{3E3D9943-89EB-4998-A121-354697B02041}">
      <text>
        <r>
          <rPr>
            <sz val="9"/>
            <color indexed="81"/>
            <rFont val="Tahoma"/>
            <family val="2"/>
          </rPr>
          <t>?? NOT LINKED._x000D_
(BOQ: 0, No matching item found in any measurement sheet)</t>
        </r>
      </text>
    </comment>
    <comment ref="G914" authorId="0" shapeId="0" xr:uid="{91C06A67-0708-4FA2-8A42-A885C5208844}">
      <text>
        <r>
          <rPr>
            <sz val="9"/>
            <color indexed="81"/>
            <rFont val="Tahoma"/>
            <family val="2"/>
          </rPr>
          <t>? CORRECTLY LINKED to a valid total in 'Measurement sheet'._x000D_
(Value: 122)</t>
        </r>
      </text>
    </comment>
    <comment ref="G915" authorId="0" shapeId="0" xr:uid="{95EB635E-9AE2-4A73-97D7-1337E104696D}">
      <text>
        <r>
          <rPr>
            <sz val="9"/>
            <color indexed="81"/>
            <rFont val="Tahoma"/>
            <family val="2"/>
          </rPr>
          <t>?? NOT LINKED._x000D_
(BOQ: 0, No matching item found in any measurement sheet)</t>
        </r>
      </text>
    </comment>
    <comment ref="G923" authorId="0" shapeId="0" xr:uid="{7DB7EA53-1FA8-429F-96F1-9E3A80A24C0E}">
      <text>
        <r>
          <rPr>
            <sz val="9"/>
            <color indexed="81"/>
            <rFont val="Tahoma"/>
            <family val="2"/>
          </rPr>
          <t>?? NOT LINKED._x000D_
(BOQ: 0, No matching item found in any measurement sheet)</t>
        </r>
      </text>
    </comment>
    <comment ref="G925" authorId="0" shapeId="0" xr:uid="{C6D71B18-BEFA-4587-81B1-E534C2DF4276}">
      <text>
        <r>
          <rPr>
            <sz val="9"/>
            <color indexed="81"/>
            <rFont val="Tahoma"/>
            <family val="2"/>
          </rPr>
          <t>? CORRECTLY LINKED to a valid total in 'Measurement sheet'._x000D_
(Value: 0)</t>
        </r>
      </text>
    </comment>
    <comment ref="G927" authorId="0" shapeId="0" xr:uid="{E624A153-0CB8-41BE-8616-923414C7590F}">
      <text>
        <r>
          <rPr>
            <sz val="9"/>
            <color indexed="81"/>
            <rFont val="Tahoma"/>
            <family val="2"/>
          </rPr>
          <t>? CORRECTLY LINKED to a valid total in 'Measurement sheet'._x000D_
(Value: 0)</t>
        </r>
      </text>
    </comment>
    <comment ref="G929" authorId="0" shapeId="0" xr:uid="{6575B6FC-62C7-4F62-96AE-7395E12FC47A}">
      <text>
        <r>
          <rPr>
            <sz val="9"/>
            <color indexed="81"/>
            <rFont val="Tahoma"/>
            <family val="2"/>
          </rPr>
          <t>?? NOT LINKED._x000D_
(BOQ: 0, No matching item found in any measurement sheet)</t>
        </r>
      </text>
    </comment>
    <comment ref="G931" authorId="0" shapeId="0" xr:uid="{FDF00836-273A-4DED-B6ED-A3A172F143FE}">
      <text>
        <r>
          <rPr>
            <sz val="9"/>
            <color indexed="81"/>
            <rFont val="Tahoma"/>
            <family val="2"/>
          </rPr>
          <t>?? NOT LINKED._x000D_
(BOQ: 0, No matching item found in any measurement sheet)</t>
        </r>
      </text>
    </comment>
    <comment ref="G933" authorId="0" shapeId="0" xr:uid="{C198489B-6F4E-4F54-8824-D6F501508883}">
      <text>
        <r>
          <rPr>
            <sz val="9"/>
            <color indexed="81"/>
            <rFont val="Tahoma"/>
            <family val="2"/>
          </rPr>
          <t>?? NOT LINKED._x000D_
(BOQ: 0, No matching item found in any measurement sheet)</t>
        </r>
      </text>
    </comment>
    <comment ref="G935" authorId="0" shapeId="0" xr:uid="{C49980FA-D4E4-4879-A512-BD8665D1AA73}">
      <text>
        <r>
          <rPr>
            <sz val="9"/>
            <color indexed="81"/>
            <rFont val="Tahoma"/>
            <family val="2"/>
          </rPr>
          <t>?? NOT LINKED._x000D_
(BOQ: 0, No matching item found in any measurement sheet)</t>
        </r>
      </text>
    </comment>
    <comment ref="G937" authorId="0" shapeId="0" xr:uid="{6BD1460F-1CA1-42A4-AB09-6A82C6B70F88}">
      <text>
        <r>
          <rPr>
            <sz val="9"/>
            <color indexed="81"/>
            <rFont val="Tahoma"/>
            <family val="2"/>
          </rPr>
          <t>?? NOT LINKED._x000D_
(BOQ: 0, No matching item found in any measurement sheet)</t>
        </r>
      </text>
    </comment>
    <comment ref="G939" authorId="0" shapeId="0" xr:uid="{333C472C-E633-4356-970E-30719E765F35}">
      <text>
        <r>
          <rPr>
            <sz val="9"/>
            <color indexed="81"/>
            <rFont val="Tahoma"/>
            <family val="2"/>
          </rPr>
          <t>? CORRECTLY LINKED to a valid total in 'Measurement sheet'._x000D_
(Value: 0)</t>
        </r>
      </text>
    </comment>
    <comment ref="G946" authorId="0" shapeId="0" xr:uid="{E9D2D703-9B30-4515-8ACF-027AA8DF0A32}">
      <text>
        <r>
          <rPr>
            <sz val="9"/>
            <color indexed="81"/>
            <rFont val="Tahoma"/>
            <family val="2"/>
          </rPr>
          <t>?? NOT LINKED._x000D_
(BOQ: 0, No matching item found in any measurement sheet)</t>
        </r>
      </text>
    </comment>
    <comment ref="G948" authorId="0" shapeId="0" xr:uid="{E5C9A6D0-36AA-49C9-A386-6D64BA3AC7EF}">
      <text>
        <r>
          <rPr>
            <sz val="9"/>
            <color indexed="81"/>
            <rFont val="Tahoma"/>
            <family val="2"/>
          </rPr>
          <t>?? NOT LINKED._x000D_
(BOQ: 0, No matching item found in any measurement sheet)</t>
        </r>
      </text>
    </comment>
    <comment ref="G950" authorId="0" shapeId="0" xr:uid="{3184F520-0566-4E70-AE80-2B34BA67181E}">
      <text>
        <r>
          <rPr>
            <sz val="9"/>
            <color indexed="81"/>
            <rFont val="Tahoma"/>
            <family val="2"/>
          </rPr>
          <t>?? NOT LINKED._x000D_
(BOQ: 0, No matching item found in any measurement sheet)</t>
        </r>
      </text>
    </comment>
    <comment ref="G952" authorId="0" shapeId="0" xr:uid="{0DFA0DA3-3FF9-4251-A9CA-639F846BA7AC}">
      <text>
        <r>
          <rPr>
            <sz val="9"/>
            <color indexed="81"/>
            <rFont val="Tahoma"/>
            <family val="2"/>
          </rPr>
          <t>?? NOT LINKED._x000D_
(BOQ: 0, No matching item found in any measurement sheet)</t>
        </r>
      </text>
    </comment>
    <comment ref="G954" authorId="0" shapeId="0" xr:uid="{5C768E31-76E7-4CAF-9152-998446B7B703}">
      <text>
        <r>
          <rPr>
            <sz val="9"/>
            <color indexed="81"/>
            <rFont val="Tahoma"/>
            <family val="2"/>
          </rPr>
          <t>?? NOT LINKED._x000D_
(BOQ: 0, No matching item found in any measurement sheet)</t>
        </r>
      </text>
    </comment>
    <comment ref="G962" authorId="0" shapeId="0" xr:uid="{CF65CF9A-ED5B-4F30-A76B-803E6D4C1C1D}">
      <text>
        <r>
          <rPr>
            <sz val="9"/>
            <color indexed="81"/>
            <rFont val="Tahoma"/>
            <family val="2"/>
          </rPr>
          <t>? CORRECTLY LINKED to a valid total in 'Measurement sheet'._x000D_
(Value: 44)</t>
        </r>
      </text>
    </comment>
    <comment ref="G964" authorId="0" shapeId="0" xr:uid="{2E8C74C2-1F4B-4FDD-BE17-5FCFC731BF3B}">
      <text>
        <r>
          <rPr>
            <sz val="9"/>
            <color indexed="81"/>
            <rFont val="Tahoma"/>
            <family val="2"/>
          </rPr>
          <t>? CORRECTLY LINKED to a valid total in 'Measurement sheet'._x000D_
(Value: 46)</t>
        </r>
      </text>
    </comment>
    <comment ref="G966" authorId="0" shapeId="0" xr:uid="{EE45061E-55AD-4D82-9489-F87D41C2FF84}">
      <text>
        <r>
          <rPr>
            <sz val="9"/>
            <color indexed="81"/>
            <rFont val="Tahoma"/>
            <family val="2"/>
          </rPr>
          <t>?? NOT LINKED._x000D_
(BOQ: 0, No matching item found in any measurement sheet)</t>
        </r>
      </text>
    </comment>
    <comment ref="G969" authorId="0" shapeId="0" xr:uid="{00AE1005-2C73-4B1E-AB48-2A08E607378E}">
      <text>
        <r>
          <rPr>
            <sz val="9"/>
            <color indexed="81"/>
            <rFont val="Tahoma"/>
            <family val="2"/>
          </rPr>
          <t>? CORRECTLY LINKED to a valid total in 'Measurement sheet'._x000D_
(Value: 20)</t>
        </r>
      </text>
    </comment>
    <comment ref="G972" authorId="0" shapeId="0" xr:uid="{260A83BE-2177-4C1F-96CF-FCF7A940EAFB}">
      <text>
        <r>
          <rPr>
            <sz val="9"/>
            <color indexed="81"/>
            <rFont val="Tahoma"/>
            <family val="2"/>
          </rPr>
          <t>? CORRECTLY LINKED to a valid total in 'Measurement sheet'._x000D_
(Value: 0)</t>
        </r>
      </text>
    </comment>
    <comment ref="G974" authorId="0" shapeId="0" xr:uid="{6920C86A-0F17-4627-8B9D-0AC471FB6E26}">
      <text>
        <r>
          <rPr>
            <sz val="9"/>
            <color indexed="81"/>
            <rFont val="Tahoma"/>
            <family val="2"/>
          </rPr>
          <t>? CORRECTLY LINKED to a valid total in 'Measurement sheet'._x000D_
(Value: 9)</t>
        </r>
      </text>
    </comment>
    <comment ref="G976" authorId="0" shapeId="0" xr:uid="{001E12F9-FF79-4E4E-A96D-A009D3259129}">
      <text>
        <r>
          <rPr>
            <sz val="9"/>
            <color indexed="81"/>
            <rFont val="Tahoma"/>
            <family val="2"/>
          </rPr>
          <t>?? NOT LINKED._x000D_
(BOQ: 0, No matching item found in any measurement sheet)</t>
        </r>
      </text>
    </comment>
    <comment ref="G984" authorId="0" shapeId="0" xr:uid="{CFA56244-37DA-4762-8BCA-78B492391F7F}">
      <text>
        <r>
          <rPr>
            <sz val="9"/>
            <color indexed="81"/>
            <rFont val="Tahoma"/>
            <family val="2"/>
          </rPr>
          <t>?? NOT LINKED._x000D_
(BOQ: 0, No matching item found in any measurement sheet)</t>
        </r>
      </text>
    </comment>
    <comment ref="G986" authorId="0" shapeId="0" xr:uid="{6751CA7E-906F-4ED6-AE48-ED3D36AFD289}">
      <text>
        <r>
          <rPr>
            <sz val="9"/>
            <color indexed="81"/>
            <rFont val="Tahoma"/>
            <family val="2"/>
          </rPr>
          <t>?? NOT LINKED._x000D_
(BOQ: 0, No matching item found in any measurement sheet)</t>
        </r>
      </text>
    </comment>
    <comment ref="G988" authorId="0" shapeId="0" xr:uid="{1ABADCE1-D2BB-43CB-8D22-BCB1B9FFC381}">
      <text>
        <r>
          <rPr>
            <sz val="9"/>
            <color indexed="81"/>
            <rFont val="Tahoma"/>
            <family val="2"/>
          </rPr>
          <t>? CORRECTLY LINKED to a valid total in 'Measurement sheet'._x000D_
(Value: 25)</t>
        </r>
      </text>
    </comment>
    <comment ref="G990" authorId="0" shapeId="0" xr:uid="{3722DCFD-93B9-4E8A-8013-EA1769F6CE5E}">
      <text>
        <r>
          <rPr>
            <sz val="9"/>
            <color indexed="81"/>
            <rFont val="Tahoma"/>
            <family val="2"/>
          </rPr>
          <t>? CORRECTLY LINKED to a valid total in 'Measurement sheet'._x000D_
(Value: 21)</t>
        </r>
      </text>
    </comment>
    <comment ref="G992" authorId="0" shapeId="0" xr:uid="{5F21A94D-3342-445C-9659-FDD20B22AFB3}">
      <text>
        <r>
          <rPr>
            <sz val="9"/>
            <color indexed="81"/>
            <rFont val="Tahoma"/>
            <family val="2"/>
          </rPr>
          <t>? CORRECTLY LINKED to a valid total in 'Measurement sheet'._x000D_
(Value: 1.33)</t>
        </r>
      </text>
    </comment>
    <comment ref="G994" authorId="0" shapeId="0" xr:uid="{9A2E889E-584A-47EE-A379-52930C10DBDB}">
      <text>
        <r>
          <rPr>
            <sz val="9"/>
            <color indexed="81"/>
            <rFont val="Tahoma"/>
            <family val="2"/>
          </rPr>
          <t>?? NOT LINKED._x000D_
(BOQ: 0, No matching item found in any measurement sheet)</t>
        </r>
      </text>
    </comment>
    <comment ref="G996" authorId="0" shapeId="0" xr:uid="{2D83B654-E4E5-48F8-8AE6-0E1AF7164BB1}">
      <text>
        <r>
          <rPr>
            <sz val="9"/>
            <color indexed="81"/>
            <rFont val="Tahoma"/>
            <family val="2"/>
          </rPr>
          <t>? CORRECTLY LINKED to a valid total in 'Measurement sheet'._x000D_
(Value: 0)</t>
        </r>
      </text>
    </comment>
    <comment ref="G1003" authorId="0" shapeId="0" xr:uid="{570E20C9-1D6A-427E-8A5D-62631585673C}">
      <text>
        <r>
          <rPr>
            <sz val="9"/>
            <color indexed="81"/>
            <rFont val="Tahoma"/>
            <family val="2"/>
          </rPr>
          <t>? CORRECTLY LINKED to a valid total in 'Measurement sheet'._x000D_
(Value: 6)</t>
        </r>
      </text>
    </comment>
    <comment ref="G1004" authorId="0" shapeId="0" xr:uid="{6BB5534F-097A-47BA-9A50-080A5D09CF29}">
      <text>
        <r>
          <rPr>
            <sz val="9"/>
            <color indexed="81"/>
            <rFont val="Tahoma"/>
            <family val="2"/>
          </rPr>
          <t>? CORRECTLY LINKED to a valid total in 'Measurement sheet'._x000D_
(Value: 4)</t>
        </r>
      </text>
    </comment>
    <comment ref="G1005" authorId="0" shapeId="0" xr:uid="{A10EB2A3-A6A8-44BD-B1DA-A0E7DABE99B0}">
      <text>
        <r>
          <rPr>
            <sz val="9"/>
            <color indexed="81"/>
            <rFont val="Tahoma"/>
            <family val="2"/>
          </rPr>
          <t>? CORRECTLY LINKED to a valid total in 'Measurement sheet'._x000D_
(Value: 2)</t>
        </r>
      </text>
    </comment>
    <comment ref="G1006" authorId="0" shapeId="0" xr:uid="{AA95BEBF-7D6D-440C-AB77-435C71749BD9}">
      <text>
        <r>
          <rPr>
            <sz val="9"/>
            <color indexed="81"/>
            <rFont val="Tahoma"/>
            <family val="2"/>
          </rPr>
          <t>? CORRECTLY LINKED to a valid total in 'Measurement sheet'._x000D_
(Value: 4)</t>
        </r>
      </text>
    </comment>
    <comment ref="G1009" authorId="0" shapeId="0" xr:uid="{42B42AB8-78EB-4FC8-9D74-788652E55028}">
      <text>
        <r>
          <rPr>
            <sz val="9"/>
            <color indexed="81"/>
            <rFont val="Tahoma"/>
            <family val="2"/>
          </rPr>
          <t>? CORRECTLY LINKED to a valid total in 'Measurement sheet'._x000D_
(Value: 7)</t>
        </r>
      </text>
    </comment>
    <comment ref="G1010" authorId="0" shapeId="0" xr:uid="{649B69B0-925A-4726-9675-ADAD2F772697}">
      <text>
        <r>
          <rPr>
            <sz val="9"/>
            <color indexed="81"/>
            <rFont val="Tahoma"/>
            <family val="2"/>
          </rPr>
          <t>?? NOT LINKED &amp; MISMATCH._x000D_
(BOQ: 0, Total Found: 2)_x000D_
Found in: Measurement sheet (2)</t>
        </r>
      </text>
    </comment>
    <comment ref="G1011" authorId="0" shapeId="0" xr:uid="{8BDE9935-044D-4126-977E-C84B9ED0F3DF}">
      <text>
        <r>
          <rPr>
            <sz val="9"/>
            <color indexed="81"/>
            <rFont val="Tahoma"/>
            <family val="2"/>
          </rPr>
          <t>? CORRECTLY LINKED to a valid total in 'Measurement sheet'._x000D_
(Value: 6)</t>
        </r>
      </text>
    </comment>
    <comment ref="G1012" authorId="0" shapeId="0" xr:uid="{05CD0414-69A4-449F-9930-F88CCB0F7CD8}">
      <text>
        <r>
          <rPr>
            <sz val="9"/>
            <color indexed="81"/>
            <rFont val="Tahoma"/>
            <family val="2"/>
          </rPr>
          <t>?? NOT LINKED._x000D_
(BOQ: 0, No matching item found in any measurement sheet)</t>
        </r>
      </text>
    </comment>
    <comment ref="G1013" authorId="0" shapeId="0" xr:uid="{056E69CB-BAE0-4044-B001-57A7F30578B6}">
      <text>
        <r>
          <rPr>
            <sz val="9"/>
            <color indexed="81"/>
            <rFont val="Tahoma"/>
            <family val="2"/>
          </rPr>
          <t>?? NOT LINKED._x000D_
(BOQ: 0, No matching item found in any measurement sheet)</t>
        </r>
      </text>
    </comment>
    <comment ref="G1014" authorId="0" shapeId="0" xr:uid="{E57AE79A-997A-49D7-8140-E3C7150F320B}">
      <text>
        <r>
          <rPr>
            <sz val="9"/>
            <color indexed="81"/>
            <rFont val="Tahoma"/>
            <family val="2"/>
          </rPr>
          <t>?? NOT LINKED._x000D_
(BOQ: 0, No matching item found in any measurement sheet)</t>
        </r>
      </text>
    </comment>
    <comment ref="G1015" authorId="0" shapeId="0" xr:uid="{5266A694-BBD0-4C3E-BD60-87A4D3A3D886}">
      <text>
        <r>
          <rPr>
            <sz val="9"/>
            <color indexed="81"/>
            <rFont val="Tahoma"/>
            <family val="2"/>
          </rPr>
          <t>?? NOT LINKED._x000D_
(BOQ: 0, No matching item found in any measurement sheet)</t>
        </r>
      </text>
    </comment>
    <comment ref="G1016" authorId="0" shapeId="0" xr:uid="{49EE16E8-1533-4B88-8B0E-880F3504F16E}">
      <text>
        <r>
          <rPr>
            <sz val="9"/>
            <color indexed="81"/>
            <rFont val="Tahoma"/>
            <family val="2"/>
          </rPr>
          <t>?? NOT LINKED._x000D_
(BOQ: 0, No matching item found in any measurement sheet)</t>
        </r>
      </text>
    </comment>
    <comment ref="G1017" authorId="0" shapeId="0" xr:uid="{789DE6A7-50CE-44D2-98AE-74CD5582D9C6}">
      <text>
        <r>
          <rPr>
            <sz val="9"/>
            <color indexed="81"/>
            <rFont val="Tahoma"/>
            <family val="2"/>
          </rPr>
          <t>?? NOT LINKED._x000D_
(BOQ: 0, No matching item found in any measurement sheet)</t>
        </r>
      </text>
    </comment>
    <comment ref="G1020" authorId="0" shapeId="0" xr:uid="{05D7BA84-A963-4350-A330-5D7C7414F84B}">
      <text>
        <r>
          <rPr>
            <sz val="9"/>
            <color indexed="81"/>
            <rFont val="Tahoma"/>
            <family val="2"/>
          </rPr>
          <t>? CORRECTLY LINKED to a valid total in 'Measurement sheet'._x000D_
(Value: 3)</t>
        </r>
      </text>
    </comment>
    <comment ref="G1021" authorId="0" shapeId="0" xr:uid="{D9404856-3E96-4ED2-B790-0DC11F69FD75}">
      <text>
        <r>
          <rPr>
            <sz val="9"/>
            <color indexed="81"/>
            <rFont val="Tahoma"/>
            <family val="2"/>
          </rPr>
          <t>? CORRECTLY LINKED to a valid total in 'Measurement sheet'._x000D_
(Value: 2)</t>
        </r>
      </text>
    </comment>
    <comment ref="G1022" authorId="0" shapeId="0" xr:uid="{EF51A289-22B5-4EEB-B8C4-99494CC4BEF3}">
      <text>
        <r>
          <rPr>
            <sz val="9"/>
            <color indexed="81"/>
            <rFont val="Tahoma"/>
            <family val="2"/>
          </rPr>
          <t>? CORRECTLY LINKED to a valid total in 'Measurement sheet'._x000D_
(Value: 4)</t>
        </r>
      </text>
    </comment>
    <comment ref="G1023" authorId="0" shapeId="0" xr:uid="{2E564C5B-BFE2-4EA5-BF34-E73DB402E1D9}">
      <text>
        <r>
          <rPr>
            <sz val="9"/>
            <color indexed="81"/>
            <rFont val="Tahoma"/>
            <family val="2"/>
          </rPr>
          <t>? CORRECTLY LINKED to a valid total in 'Measurement sheet'._x000D_
(Value: 6)</t>
        </r>
      </text>
    </comment>
    <comment ref="G1033" authorId="0" shapeId="0" xr:uid="{4A884D34-9297-4C39-BDFC-1DC65B4813CC}">
      <text>
        <r>
          <rPr>
            <sz val="9"/>
            <color indexed="81"/>
            <rFont val="Tahoma"/>
            <family val="2"/>
          </rPr>
          <t>? CORRECTLY LINKED to a valid total in 'Measurement sheet'._x000D_
(Value: 34)</t>
        </r>
      </text>
    </comment>
    <comment ref="G1034" authorId="0" shapeId="0" xr:uid="{778A4985-3623-4AE1-A4ED-E7E08E823A7F}">
      <text>
        <r>
          <rPr>
            <sz val="9"/>
            <color indexed="81"/>
            <rFont val="Tahoma"/>
            <family val="2"/>
          </rPr>
          <t>?? NOT LINKED &amp; MISMATCH._x000D_
(BOQ: 0, Total Found: 932.39)_x000D_
Found in: Measurement sheet (932.39)</t>
        </r>
      </text>
    </comment>
    <comment ref="G1035" authorId="0" shapeId="0" xr:uid="{A09FD7A5-BE31-4907-972A-976E387AE342}">
      <text>
        <r>
          <rPr>
            <sz val="9"/>
            <color indexed="81"/>
            <rFont val="Tahoma"/>
            <family val="2"/>
          </rPr>
          <t>?? NOT LINKED &amp; MISMATCH._x000D_
(BOQ: 0, Total Found: 459.7317)_x000D_
Found in: Measurement sheet (459.7317)</t>
        </r>
      </text>
    </comment>
    <comment ref="G1039" authorId="0" shapeId="0" xr:uid="{A3BF06B1-FBFB-44B1-A478-AD9572AC0434}">
      <text>
        <r>
          <rPr>
            <sz val="9"/>
            <color indexed="81"/>
            <rFont val="Tahoma"/>
            <family val="2"/>
          </rPr>
          <t>? CORRECTLY LINKED to a valid total in 'Measurement sheet'._x000D_
(Value: 50)</t>
        </r>
      </text>
    </comment>
    <comment ref="G1040" authorId="0" shapeId="0" xr:uid="{5A6CD21B-69F3-491A-8F29-3A0A7B35AF5F}">
      <text>
        <r>
          <rPr>
            <sz val="9"/>
            <color indexed="81"/>
            <rFont val="Tahoma"/>
            <family val="2"/>
          </rPr>
          <t>?? NOT LINKED &amp; MISMATCH._x000D_
(BOQ: 0, Total Found: 932.39)_x000D_
Found in: Measurement sheet (932.39)</t>
        </r>
      </text>
    </comment>
    <comment ref="G1041" authorId="0" shapeId="0" xr:uid="{2FAB7B75-C7C1-4EAA-892A-77039EEC2808}">
      <text>
        <r>
          <rPr>
            <sz val="9"/>
            <color indexed="81"/>
            <rFont val="Tahoma"/>
            <family val="2"/>
          </rPr>
          <t>?? NOT LINKED &amp; MISMATCH._x000D_
(BOQ: 0, Total Found: 459.7317)_x000D_
Found in: Measurement sheet (459.7317)</t>
        </r>
      </text>
    </comment>
    <comment ref="G1045" authorId="0" shapeId="0" xr:uid="{F1B4E741-B07C-4DAC-A9E2-CD63D4465991}">
      <text>
        <r>
          <rPr>
            <sz val="9"/>
            <color indexed="81"/>
            <rFont val="Tahoma"/>
            <family val="2"/>
          </rPr>
          <t>?? NOT LINKED &amp; MISMATCH._x000D_
(BOQ: 0, Total Found: 2088.4058)_x000D_
Found in: Measurement sheet (2088.4058)</t>
        </r>
      </text>
    </comment>
    <comment ref="G1046" authorId="0" shapeId="0" xr:uid="{4DD2588B-449C-4D52-9AFE-05E014FA3BD8}">
      <text>
        <r>
          <rPr>
            <sz val="9"/>
            <color indexed="81"/>
            <rFont val="Tahoma"/>
            <family val="2"/>
          </rPr>
          <t>?? NOT LINKED &amp; MISMATCH._x000D_
(BOQ: 0, Total Found: 932.39)_x000D_
Found in: Measurement sheet (932.39)</t>
        </r>
      </text>
    </comment>
    <comment ref="G1047" authorId="0" shapeId="0" xr:uid="{CAB208B7-36B2-425B-A120-9690655754CC}">
      <text>
        <r>
          <rPr>
            <sz val="9"/>
            <color indexed="81"/>
            <rFont val="Tahoma"/>
            <family val="2"/>
          </rPr>
          <t>?? NOT LINKED &amp; MISMATCH._x000D_
(BOQ: 0, Total Found: 459.7317)_x000D_
Found in: Measurement sheet (459.7317)</t>
        </r>
      </text>
    </comment>
    <comment ref="G1051" authorId="0" shapeId="0" xr:uid="{5ED87CDC-3606-4A88-925B-0A659372E06C}">
      <text>
        <r>
          <rPr>
            <sz val="9"/>
            <color indexed="81"/>
            <rFont val="Tahoma"/>
            <family val="2"/>
          </rPr>
          <t>?? NOT LINKED &amp; MISMATCH._x000D_
(BOQ: 0, Total Found: 2088.4058)_x000D_
Found in: Measurement sheet (2088.4058)</t>
        </r>
      </text>
    </comment>
    <comment ref="G1055" authorId="0" shapeId="0" xr:uid="{89997604-14D9-4906-9319-E87A4366F21B}">
      <text>
        <r>
          <rPr>
            <sz val="9"/>
            <color indexed="81"/>
            <rFont val="Tahoma"/>
            <family val="2"/>
          </rPr>
          <t>?? NOT LINKED &amp; MISMATCH._x000D_
(BOQ: 0, Total Found: 2088.4058)_x000D_
Found in: Measurement sheet (2088.4058)</t>
        </r>
      </text>
    </comment>
    <comment ref="G1059" authorId="0" shapeId="0" xr:uid="{8D8FFD62-F5FF-4AAA-B76E-F9BC6120D024}">
      <text>
        <r>
          <rPr>
            <sz val="9"/>
            <color indexed="81"/>
            <rFont val="Tahoma"/>
            <family val="2"/>
          </rPr>
          <t>?? NOT LINKED &amp; MISMATCH._x000D_
(BOQ: 0, Total Found: 2088.4058)_x000D_
Found in: Measurement sheet (2088.4058)</t>
        </r>
      </text>
    </comment>
    <comment ref="G1060" authorId="0" shapeId="0" xr:uid="{659DDA9A-2655-47BF-BF12-4D253189AC7E}">
      <text>
        <r>
          <rPr>
            <sz val="9"/>
            <color indexed="81"/>
            <rFont val="Tahoma"/>
            <family val="2"/>
          </rPr>
          <t>? CORRECTLY LINKED to a valid total in 'Measurement sheet'._x000D_
(Value: 0)</t>
        </r>
      </text>
    </comment>
    <comment ref="G1062" authorId="0" shapeId="0" xr:uid="{FA4C12BD-80CE-4971-B147-DF25C5D34125}">
      <text>
        <r>
          <rPr>
            <sz val="9"/>
            <color indexed="81"/>
            <rFont val="Tahoma"/>
            <family val="2"/>
          </rPr>
          <t>?? NOT LINKED &amp; MISMATCH._x000D_
(BOQ: 0, Total Found: 459.7317)_x000D_
Found in: Measurement sheet (459.7317)</t>
        </r>
      </text>
    </comment>
    <comment ref="G1063" authorId="0" shapeId="0" xr:uid="{A18C6ED9-8954-41FD-9738-676FDCE6F518}">
      <text>
        <r>
          <rPr>
            <sz val="9"/>
            <color indexed="81"/>
            <rFont val="Tahoma"/>
            <family val="2"/>
          </rPr>
          <t>?? NOT LINKED &amp; MISMATCH._x000D_
(BOQ: 0, Total Found: 540.8335)_x000D_
Found in: Measurement sheet (540.8335)</t>
        </r>
      </text>
    </comment>
    <comment ref="G1067" authorId="0" shapeId="0" xr:uid="{F2C49A7E-402E-4EE0-B634-5EBF17C4F0E2}">
      <text>
        <r>
          <rPr>
            <sz val="9"/>
            <color indexed="81"/>
            <rFont val="Tahoma"/>
            <family val="2"/>
          </rPr>
          <t>?? NOT LINKED &amp; MISMATCH._x000D_
(BOQ: 0, Total Found: 2088.4058)_x000D_
Found in: Measurement sheet (2088.4058)</t>
        </r>
      </text>
    </comment>
    <comment ref="G1068" authorId="0" shapeId="0" xr:uid="{5BBDCF06-872B-4ECF-B895-4F5A4EA2AB0A}">
      <text>
        <r>
          <rPr>
            <sz val="9"/>
            <color indexed="81"/>
            <rFont val="Tahoma"/>
            <family val="2"/>
          </rPr>
          <t>?? NOT LINKED &amp; MISMATCH._x000D_
(BOQ: 0, Total Found: 932.39)_x000D_
Found in: Measurement sheet (932.39)</t>
        </r>
      </text>
    </comment>
    <comment ref="G1069" authorId="0" shapeId="0" xr:uid="{EE54483C-37F7-46DA-92FE-2CA789CEB9B1}">
      <text>
        <r>
          <rPr>
            <sz val="9"/>
            <color indexed="81"/>
            <rFont val="Tahoma"/>
            <family val="2"/>
          </rPr>
          <t>?? NOT LINKED &amp; MISMATCH._x000D_
(BOQ: 0, Total Found: 459.7317)_x000D_
Found in: Measurement sheet (459.7317)</t>
        </r>
      </text>
    </comment>
    <comment ref="G1071" authorId="0" shapeId="0" xr:uid="{D02BAEF7-3BEC-4FC4-A2D2-2FE840192E86}">
      <text>
        <r>
          <rPr>
            <sz val="9"/>
            <color indexed="81"/>
            <rFont val="Tahoma"/>
            <family val="2"/>
          </rPr>
          <t>? CORRECTLY LINKED to a valid total in 'Measurement sheet'._x000D_
(Value: 3)</t>
        </r>
      </text>
    </comment>
    <comment ref="G1073" authorId="0" shapeId="0" xr:uid="{C2225EF2-C089-4CDB-AFB0-03232C49E597}">
      <text>
        <r>
          <rPr>
            <sz val="9"/>
            <color indexed="81"/>
            <rFont val="Tahoma"/>
            <family val="2"/>
          </rPr>
          <t>?? NOT LINKED._x000D_
(BOQ: 0, No matching item found in any measurement sheet)</t>
        </r>
      </text>
    </comment>
    <comment ref="G1075" authorId="0" shapeId="0" xr:uid="{BA98F44F-D1E4-48D2-86C5-DEF76C663933}">
      <text>
        <r>
          <rPr>
            <sz val="9"/>
            <color indexed="81"/>
            <rFont val="Tahoma"/>
            <family val="2"/>
          </rPr>
          <t>? CORRECTLY LINKED to a valid total in 'Measurement sheet'._x000D_
(Value: 4)</t>
        </r>
      </text>
    </comment>
    <comment ref="G1077" authorId="0" shapeId="0" xr:uid="{F2E9D100-6EAC-46A3-8402-A28D7A914D52}">
      <text>
        <r>
          <rPr>
            <sz val="9"/>
            <color indexed="81"/>
            <rFont val="Tahoma"/>
            <family val="2"/>
          </rPr>
          <t>? CORRECTLY LINKED to a valid total in 'Measurement sheet'._x000D_
(Value: 2)</t>
        </r>
      </text>
    </comment>
    <comment ref="G1084" authorId="0" shapeId="0" xr:uid="{CCAEC8FF-AFFF-43D5-A3EF-F299E68F2CC5}">
      <text>
        <r>
          <rPr>
            <sz val="9"/>
            <color indexed="81"/>
            <rFont val="Tahoma"/>
            <family val="2"/>
          </rPr>
          <t>?? NOT LINKED._x000D_
(BOQ: 0, No matching item found in any measurement sheet)</t>
        </r>
      </text>
    </comment>
    <comment ref="G1085" authorId="0" shapeId="0" xr:uid="{E42D5868-DD02-4CA6-954C-2B83B41A11B5}">
      <text>
        <r>
          <rPr>
            <sz val="9"/>
            <color indexed="81"/>
            <rFont val="Tahoma"/>
            <family val="2"/>
          </rPr>
          <t>?? NOT LINKED._x000D_
(BOQ: 0, No matching item found in any measurement sheet)</t>
        </r>
      </text>
    </comment>
    <comment ref="G1086" authorId="0" shapeId="0" xr:uid="{84C906C3-C84C-4504-B64A-7D9D3FA406E1}">
      <text>
        <r>
          <rPr>
            <sz val="9"/>
            <color indexed="81"/>
            <rFont val="Tahoma"/>
            <family val="2"/>
          </rPr>
          <t>?? NOT LINKED._x000D_
(BOQ: 0, No matching item found in any measurement sheet)</t>
        </r>
      </text>
    </comment>
    <comment ref="G1087" authorId="0" shapeId="0" xr:uid="{9D0D1816-F6C4-4858-8F3D-3647A8C625E3}">
      <text>
        <r>
          <rPr>
            <sz val="9"/>
            <color indexed="81"/>
            <rFont val="Tahoma"/>
            <family val="2"/>
          </rPr>
          <t>?? NOT LINKED._x000D_
(BOQ: 0, No matching item found in any measurement sheet)</t>
        </r>
      </text>
    </comment>
    <comment ref="G1088" authorId="0" shapeId="0" xr:uid="{54302B40-94A6-4462-905E-85AE5A0CF1AF}">
      <text>
        <r>
          <rPr>
            <sz val="9"/>
            <color indexed="81"/>
            <rFont val="Tahoma"/>
            <family val="2"/>
          </rPr>
          <t>?? NOT LINKED._x000D_
(BOQ: 0, No matching item found in any measurement sheet)</t>
        </r>
      </text>
    </comment>
    <comment ref="G1091" authorId="0" shapeId="0" xr:uid="{C7150084-CC00-4639-9694-7C825A621705}">
      <text>
        <r>
          <rPr>
            <sz val="9"/>
            <color indexed="81"/>
            <rFont val="Tahoma"/>
            <family val="2"/>
          </rPr>
          <t>?? NOT LINKED._x000D_
(BOQ: 0, No matching item found in any measurement sheet)</t>
        </r>
      </text>
    </comment>
    <comment ref="G1092" authorId="0" shapeId="0" xr:uid="{BE157517-24E1-4026-B132-540693A5FC37}">
      <text>
        <r>
          <rPr>
            <sz val="9"/>
            <color indexed="81"/>
            <rFont val="Tahoma"/>
            <family val="2"/>
          </rPr>
          <t>? CORRECTLY LINKED to a valid total in 'Measurement sheet'._x000D_
(Value: 3)</t>
        </r>
      </text>
    </comment>
    <comment ref="G1093" authorId="0" shapeId="0" xr:uid="{926D41E0-857F-4377-89EB-EB6DF1B05051}">
      <text>
        <r>
          <rPr>
            <sz val="9"/>
            <color indexed="81"/>
            <rFont val="Tahoma"/>
            <family val="2"/>
          </rPr>
          <t>? CORRECTLY LINKED to a valid total in 'Measurement sheet'._x000D_
(Value: 2)</t>
        </r>
      </text>
    </comment>
    <comment ref="G1094" authorId="0" shapeId="0" xr:uid="{C5BC8725-A91D-41C9-BD97-4DFA6E9B2097}">
      <text>
        <r>
          <rPr>
            <sz val="9"/>
            <color indexed="81"/>
            <rFont val="Tahoma"/>
            <family val="2"/>
          </rPr>
          <t>? CORRECTLY LINKED to a valid total in 'Measurement sheet'._x000D_
(Value: 9)</t>
        </r>
      </text>
    </comment>
    <comment ref="G1097" authorId="0" shapeId="0" xr:uid="{070B9EB5-B24A-4076-BD4C-EC6EBB8E8388}">
      <text>
        <r>
          <rPr>
            <sz val="9"/>
            <color indexed="81"/>
            <rFont val="Tahoma"/>
            <family val="2"/>
          </rPr>
          <t>?? NOT LINKED._x000D_
(BOQ: 0, No matching item found in any measurement sheet)</t>
        </r>
      </text>
    </comment>
    <comment ref="G1098" authorId="0" shapeId="0" xr:uid="{C027A495-A3FE-4729-A279-BA17F32DC4FB}">
      <text>
        <r>
          <rPr>
            <sz val="9"/>
            <color indexed="81"/>
            <rFont val="Tahoma"/>
            <family val="2"/>
          </rPr>
          <t>? CORRECTLY LINKED to a valid total in 'Measurement sheet'._x000D_
(Value: 38)</t>
        </r>
      </text>
    </comment>
    <comment ref="G1099" authorId="0" shapeId="0" xr:uid="{D76FC121-3DCD-4E5E-900C-C69C3CB764A6}">
      <text>
        <r>
          <rPr>
            <sz val="9"/>
            <color indexed="81"/>
            <rFont val="Tahoma"/>
            <family val="2"/>
          </rPr>
          <t>? CORRECTLY LINKED to a valid total in 'Measurement sheet'._x000D_
(Value: 210)</t>
        </r>
      </text>
    </comment>
    <comment ref="G1102" authorId="0" shapeId="0" xr:uid="{E92ABCB7-D4EC-4CCD-9654-D3412726521C}">
      <text>
        <r>
          <rPr>
            <sz val="9"/>
            <color indexed="81"/>
            <rFont val="Tahoma"/>
            <family val="2"/>
          </rPr>
          <t>? CORRECTLY LINKED to a valid total in 'Measurement sheet'._x000D_
(Value: 10)</t>
        </r>
      </text>
    </comment>
    <comment ref="G1103" authorId="0" shapeId="0" xr:uid="{4110599D-DA26-4A42-9DC8-82529A8F3EC4}">
      <text>
        <r>
          <rPr>
            <sz val="9"/>
            <color indexed="81"/>
            <rFont val="Tahoma"/>
            <family val="2"/>
          </rPr>
          <t>? CORRECTLY LINKED to a valid total in 'Measurement sheet'._x000D_
(Value: 20)</t>
        </r>
      </text>
    </comment>
    <comment ref="G1106" authorId="0" shapeId="0" xr:uid="{BDDE7C4E-A602-40F3-B847-BB97923B3682}">
      <text>
        <r>
          <rPr>
            <sz val="9"/>
            <color indexed="81"/>
            <rFont val="Tahoma"/>
            <family val="2"/>
          </rPr>
          <t>?? NOT LINKED._x000D_
(BOQ: 0, No matching item found in any measurement sheet)</t>
        </r>
      </text>
    </comment>
    <comment ref="G1107" authorId="0" shapeId="0" xr:uid="{012BEE24-8FB1-4EBF-9167-BC5785006B9C}">
      <text>
        <r>
          <rPr>
            <sz val="9"/>
            <color indexed="81"/>
            <rFont val="Tahoma"/>
            <family val="2"/>
          </rPr>
          <t>?? NOT LINKED._x000D_
(BOQ: 0, No matching item found in any measurement sheet)</t>
        </r>
      </text>
    </comment>
    <comment ref="G1108" authorId="0" shapeId="0" xr:uid="{D4A1C37B-8DF8-46A9-88CE-24740BB3E010}">
      <text>
        <r>
          <rPr>
            <sz val="9"/>
            <color indexed="81"/>
            <rFont val="Tahoma"/>
            <family val="2"/>
          </rPr>
          <t>?? NOT LINKED._x000D_
(BOQ: 0, No matching item found in any measurement sheet)</t>
        </r>
      </text>
    </comment>
    <comment ref="G1111" authorId="0" shapeId="0" xr:uid="{A22DD4AC-B725-4957-8093-8515A9919A6B}">
      <text>
        <r>
          <rPr>
            <sz val="9"/>
            <color indexed="81"/>
            <rFont val="Tahoma"/>
            <family val="2"/>
          </rPr>
          <t>?? NOT LINKED &amp; MISMATCH._x000D_
(BOQ: 0, Total Found: 38)_x000D_
Found in: Measurement sheet (38)</t>
        </r>
      </text>
    </comment>
    <comment ref="G1112" authorId="0" shapeId="0" xr:uid="{83187C6C-9507-417A-99E6-9969B92D40DD}">
      <text>
        <r>
          <rPr>
            <sz val="9"/>
            <color indexed="81"/>
            <rFont val="Tahoma"/>
            <family val="2"/>
          </rPr>
          <t>?? NOT LINKED &amp; MISMATCH._x000D_
(BOQ: 0, Total Found: 20)_x000D_
Found in: Measurement sheet (20)</t>
        </r>
      </text>
    </comment>
    <comment ref="G1117" authorId="0" shapeId="0" xr:uid="{5E4E7584-D10F-4AAB-AB91-EEE7F35E8221}">
      <text>
        <r>
          <rPr>
            <sz val="9"/>
            <color indexed="81"/>
            <rFont val="Tahoma"/>
            <family val="2"/>
          </rPr>
          <t>?? NOT LINKED._x000D_
(BOQ: 0, No matching item found in any measurement sheet)</t>
        </r>
      </text>
    </comment>
    <comment ref="G1122" authorId="0" shapeId="0" xr:uid="{1BE242E9-6CDC-4890-989F-6EB0067D88AC}">
      <text>
        <r>
          <rPr>
            <sz val="9"/>
            <color indexed="81"/>
            <rFont val="Tahoma"/>
            <family val="2"/>
          </rPr>
          <t>? CORRECTLY LINKED to a valid total in 'Measurement sheet'._x000D_
(Value: 1)</t>
        </r>
      </text>
    </comment>
    <comment ref="G1125" authorId="0" shapeId="0" xr:uid="{978A844D-C866-496C-840C-E1A5BB100694}">
      <text>
        <r>
          <rPr>
            <sz val="9"/>
            <color indexed="81"/>
            <rFont val="Tahoma"/>
            <family val="2"/>
          </rPr>
          <t>?? NOT LINKED &amp; MISMATCH._x000D_
(BOQ: 0, Total Found: 2317.1297)_x000D_
Found in: Measurement sheet (2317.1297)</t>
        </r>
      </text>
    </comment>
    <comment ref="G1126" authorId="0" shapeId="0" xr:uid="{F4E78B57-7740-4F3E-959A-4009027B05CD}">
      <text>
        <r>
          <rPr>
            <sz val="9"/>
            <color indexed="81"/>
            <rFont val="Tahoma"/>
            <family val="2"/>
          </rPr>
          <t>?? NOT LINKED._x000D_
(BOQ: 0, No matching item found in any measurement sheet)</t>
        </r>
      </text>
    </comment>
    <comment ref="G1127" authorId="0" shapeId="0" xr:uid="{56DDB6A8-8AAD-49F9-B763-08F6F9AFC7A9}">
      <text>
        <r>
          <rPr>
            <sz val="9"/>
            <color indexed="81"/>
            <rFont val="Tahoma"/>
            <family val="2"/>
          </rPr>
          <t>?? NOT LINKED &amp; MISMATCH._x000D_
(BOQ: 0, Total Found: 1)_x000D_
Found in: Measurement sheet (1)</t>
        </r>
      </text>
    </comment>
    <comment ref="G1129" authorId="0" shapeId="0" xr:uid="{AFF21590-D413-4371-98C9-4CE9641031D4}">
      <text>
        <r>
          <rPr>
            <sz val="9"/>
            <color indexed="81"/>
            <rFont val="Tahoma"/>
            <family val="2"/>
          </rPr>
          <t>?? NOT LINKED._x000D_
(BOQ: 0, No matching item found in any measurement sheet)</t>
        </r>
      </text>
    </comment>
    <comment ref="G1152" authorId="0" shapeId="0" xr:uid="{1E509F02-4809-4D1F-A3F7-97ABE4323114}">
      <text>
        <r>
          <rPr>
            <sz val="9"/>
            <color indexed="81"/>
            <rFont val="Tahoma"/>
            <family val="2"/>
          </rPr>
          <t>? CORRECTLY LINKED to a valid total in 'Measurement sheet'._x000D_
(Value: 0)</t>
        </r>
      </text>
    </comment>
    <comment ref="G1153" authorId="0" shapeId="0" xr:uid="{B040603F-D7A1-4699-8E38-FAE5759CB82E}">
      <text>
        <r>
          <rPr>
            <sz val="9"/>
            <color indexed="81"/>
            <rFont val="Tahoma"/>
            <family val="2"/>
          </rPr>
          <t>? CORRECTLY LINKED to a valid total in 'Measurement sheet'._x000D_
(Value: 0)</t>
        </r>
      </text>
    </comment>
    <comment ref="G1154" authorId="0" shapeId="0" xr:uid="{F0AA3D89-56BF-4BBC-8316-2FB62440E7C4}">
      <text>
        <r>
          <rPr>
            <sz val="9"/>
            <color indexed="81"/>
            <rFont val="Tahoma"/>
            <family val="2"/>
          </rPr>
          <t>? CORRECTLY LINKED to a valid total in 'Measurement sheet'._x000D_
(Value: 94.4)</t>
        </r>
      </text>
    </comment>
    <comment ref="G1155" authorId="0" shapeId="0" xr:uid="{D433E980-2766-4AF8-BF50-E394E23CBF39}">
      <text>
        <r>
          <rPr>
            <sz val="9"/>
            <color indexed="81"/>
            <rFont val="Tahoma"/>
            <family val="2"/>
          </rPr>
          <t>? CORRECTLY LINKED to a valid total in 'Measurement sheet'._x000D_
(Value: 54)</t>
        </r>
      </text>
    </comment>
    <comment ref="G1156" authorId="0" shapeId="0" xr:uid="{A4BAEA9D-3E74-4841-9603-A5F1B77DEC21}">
      <text>
        <r>
          <rPr>
            <sz val="9"/>
            <color indexed="81"/>
            <rFont val="Tahoma"/>
            <family val="2"/>
          </rPr>
          <t>? CORRECTLY LINKED to a valid total in 'Measurement sheet'._x000D_
(Value: 21)</t>
        </r>
      </text>
    </comment>
    <comment ref="G1157" authorId="0" shapeId="0" xr:uid="{C4A7D87D-3A01-49CC-B2A1-32DA09AA54E7}">
      <text>
        <r>
          <rPr>
            <sz val="9"/>
            <color indexed="81"/>
            <rFont val="Tahoma"/>
            <family val="2"/>
          </rPr>
          <t>? CORRECTLY LINKED to a valid total in 'Measurement sheet'._x000D_
(Value: 15)</t>
        </r>
      </text>
    </comment>
    <comment ref="G1158" authorId="0" shapeId="0" xr:uid="{DCD45CB3-130D-4E91-A840-5AE582F1F935}">
      <text>
        <r>
          <rPr>
            <sz val="9"/>
            <color indexed="81"/>
            <rFont val="Tahoma"/>
            <family val="2"/>
          </rPr>
          <t>? CORRECTLY LINKED to a valid total in 'Measurement sheet'._x000D_
(Value: 25)</t>
        </r>
      </text>
    </comment>
    <comment ref="G1159" authorId="0" shapeId="0" xr:uid="{FD43F9D3-19FF-404A-976F-90E12B4490B4}">
      <text>
        <r>
          <rPr>
            <sz val="9"/>
            <color indexed="81"/>
            <rFont val="Tahoma"/>
            <family val="2"/>
          </rPr>
          <t>? CORRECTLY LINKED to a valid total in 'Measurement sheet'._x000D_
(Value: 25)</t>
        </r>
      </text>
    </comment>
    <comment ref="G1160" authorId="0" shapeId="0" xr:uid="{85258033-5C29-4824-A419-0FFB16ED3D79}">
      <text>
        <r>
          <rPr>
            <sz val="9"/>
            <color indexed="81"/>
            <rFont val="Tahoma"/>
            <family val="2"/>
          </rPr>
          <t>? CORRECTLY LINKED to a valid total in 'Measurement sheet'._x000D_
(Value: 5)</t>
        </r>
      </text>
    </comment>
    <comment ref="G1161" authorId="0" shapeId="0" xr:uid="{6F54C1BB-F03F-42F9-B215-AE69AD3581F4}">
      <text>
        <r>
          <rPr>
            <sz val="9"/>
            <color indexed="81"/>
            <rFont val="Tahoma"/>
            <family val="2"/>
          </rPr>
          <t>? CORRECTLY LINKED to a valid total in 'Measurement sheet'._x000D_
(Value: 1)</t>
        </r>
      </text>
    </comment>
    <comment ref="G1162" authorId="0" shapeId="0" xr:uid="{C0F5D378-8756-4A89-B3FB-DF4A69444D80}">
      <text>
        <r>
          <rPr>
            <sz val="9"/>
            <color indexed="81"/>
            <rFont val="Tahoma"/>
            <family val="2"/>
          </rPr>
          <t>? CORRECTLY LINKED to a valid total in 'Measurement sheet'._x000D_
(Value: 3)</t>
        </r>
      </text>
    </comment>
  </commentList>
</comments>
</file>

<file path=xl/sharedStrings.xml><?xml version="1.0" encoding="utf-8"?>
<sst xmlns="http://schemas.openxmlformats.org/spreadsheetml/2006/main" count="8219" uniqueCount="1987">
  <si>
    <t>Sr. No.</t>
  </si>
  <si>
    <t>I</t>
  </si>
  <si>
    <t>CIVIL &amp; RELATED WORKS</t>
  </si>
  <si>
    <t>II</t>
  </si>
  <si>
    <t>III</t>
  </si>
  <si>
    <t>IV</t>
  </si>
  <si>
    <t>PAINTING WORKS</t>
  </si>
  <si>
    <t>V</t>
  </si>
  <si>
    <t>VI</t>
  </si>
  <si>
    <t>VII</t>
  </si>
  <si>
    <t>Sr. No</t>
  </si>
  <si>
    <t>Particulars</t>
  </si>
  <si>
    <t>Qty.</t>
  </si>
  <si>
    <t>Demolition / Clearing Works</t>
  </si>
  <si>
    <t>a</t>
  </si>
  <si>
    <t>Dismantling/Demolishing the following and carting away the debris from the site and unloading at a approved location as per statutory rules and regulations.</t>
  </si>
  <si>
    <t>i</t>
  </si>
  <si>
    <t>Dismantling of existing brickwork</t>
  </si>
  <si>
    <t>Sq.ft</t>
  </si>
  <si>
    <t>ii</t>
  </si>
  <si>
    <t>Dismantling of existing dado tiles without plaster</t>
  </si>
  <si>
    <t>iii</t>
  </si>
  <si>
    <t>Dismantling of existing plaster</t>
  </si>
  <si>
    <t>iv</t>
  </si>
  <si>
    <t>Existing flooring including bedding material &amp; PCC/IPS.</t>
  </si>
  <si>
    <t>v</t>
  </si>
  <si>
    <t>Existing Doors / Windows</t>
  </si>
  <si>
    <t>Nos.</t>
  </si>
  <si>
    <t>vi</t>
  </si>
  <si>
    <t>Dismantling of existing Sanitary wares &amp; Plumbing Fittings</t>
  </si>
  <si>
    <t>vii</t>
  </si>
  <si>
    <t>Existing Rolling Shutter , Safety door, collapsible door etc.</t>
  </si>
  <si>
    <t>viii</t>
  </si>
  <si>
    <t>Existing Electrical fittings and fixtures</t>
  </si>
  <si>
    <t xml:space="preserve">ix </t>
  </si>
  <si>
    <t>Dismantling of existing wooden &amp; aluminum partitions</t>
  </si>
  <si>
    <t>x</t>
  </si>
  <si>
    <t>Miscellaneous items such as false ceilings.</t>
  </si>
  <si>
    <t>xi</t>
  </si>
  <si>
    <t>Shifting /Dismantling existing  furniture items (For renovation projects only)</t>
  </si>
  <si>
    <t>xii</t>
  </si>
  <si>
    <t>Dismantling of existing RCC 6 "/ 9" thk wall.</t>
  </si>
  <si>
    <t>Construction of Masonry Walls</t>
  </si>
  <si>
    <t>Providing and erecting 115 mm thk , Half brick wall (first class bricks) in cement and sand mortar 1:3 with flush joint complete with material, labour, scaffolding, curing etc. The rate to include Appling chicken mesh at RCC to brickwork joints wherever required and RCC stiffener at every 1 meter intervals in 1:2:4 concrete. (Excluding plastering). The work to include cost for lintels / sills in RCC required for Doors , windows, openings etc.</t>
  </si>
  <si>
    <t>b</t>
  </si>
  <si>
    <t>Same as 2(a) but 230mm thk ( Single brick wall)</t>
  </si>
  <si>
    <t>c</t>
  </si>
  <si>
    <t>d</t>
  </si>
  <si>
    <t>R.C.C Works</t>
  </si>
  <si>
    <t>Similar to above but for Floor slab with single layer of steel comprising 12mm dia @150 mm c/c and concrete jointing compound to be provided  in case the premises is located on first floor and floor below does not belong to the bank.</t>
  </si>
  <si>
    <t>e</t>
  </si>
  <si>
    <t>Similar to above but for Floor slab with double layer of steel comprising of 12 mm dia @ 150 mm c/c Mesh on both ways staggered by 75mm and concrete jointing compound to be provided in case the premises is located on first floor and floor below does not belong to the bank.</t>
  </si>
  <si>
    <t>f</t>
  </si>
  <si>
    <t>g</t>
  </si>
  <si>
    <t>Similar to above but without concrete (ceiling reinforcement Mesh to be provided in case upper floor does not belong to the bank)</t>
  </si>
  <si>
    <t>j</t>
  </si>
  <si>
    <t>Similar to item 3(c) i.e. 6mm MS plate instead of reinforcement mesh for wall cladding. Including necessary MS framework. Complete as directed.</t>
  </si>
  <si>
    <t>k</t>
  </si>
  <si>
    <t>Fixing in place of Strong Room Door  by providing necessary grouting in the floor and proper support. The vendor should ensure that the door is fixed in plumb.</t>
  </si>
  <si>
    <t>Job</t>
  </si>
  <si>
    <t>l</t>
  </si>
  <si>
    <t>Fixing in place of Ventilator by providing necessary grouting in the floor and proper support. The vendor should ensure that the door is fixed in plumb.</t>
  </si>
  <si>
    <t>Plaster</t>
  </si>
  <si>
    <t>Waterproofing treatment</t>
  </si>
  <si>
    <t>Providing &amp; appling water proofing treatement by Mixing and applying two coats of ready-to-use acrylic polymer based waterproofing component on modified cement base of approved make to a thickness of 2 mm over the bottom and sides of toilet and pantry slabs, including preparation of surface, finishing, curing etc. all complete at all levels as per manufacturer's specifications and as directed.</t>
  </si>
  <si>
    <t>Brick Bat Coba</t>
  </si>
  <si>
    <t>Proving and Laying brick bat coba up to 150mm thk in 1:4 cement mortar  incl. of necessary slope towards nahni trap, over  waterproofing course including finishing the top surface with water proofing compound to receive the floor tiles as per India Waterproofing Co.  Measurements of floor area shall only be considered for said works.(Toilet area)</t>
  </si>
  <si>
    <t>Plain Cement Concrete</t>
  </si>
  <si>
    <t>Same as 7(A) but for depth upto 250 mm</t>
  </si>
  <si>
    <t>Drywall Panel</t>
  </si>
  <si>
    <t>Flooring</t>
  </si>
  <si>
    <t>Vitrified Tile Flooring</t>
  </si>
  <si>
    <t>Vitrified Tile Flooring - Proving and Laying 1000mm x 1000mm / 800mm X 800 mm Vitrified floor tiles (Green Pro certified make approved by bank or CPC team as exception/ Refer make and model sheet,vitrified floor tiles) over a 75 mm thk cement mortar (Green Pro certified make approved by bank or CPC team as exception/ Refer make and model sheet,cement section) bedding (1: 4) as per the design. The joints shall be kept up to 4 mm and filled with epoxy grouting of approved shade. (Basic cost of tile up to up to Rs. 110/-Sq. ft).</t>
  </si>
  <si>
    <t>Similar to above but for providing and fixing 75mm high skirting/border.</t>
  </si>
  <si>
    <t>R.ft</t>
  </si>
  <si>
    <t>Similar as 9_a_iii but for providing and fixing 75mm high skirting/border.</t>
  </si>
  <si>
    <t>Ceramic Tile Flooring</t>
  </si>
  <si>
    <t>Similar to above but for providing and fixing 3" high skirting/border.</t>
  </si>
  <si>
    <t>Granite Flooring</t>
  </si>
  <si>
    <t>Similar to above but 75mm high skirting/border.</t>
  </si>
  <si>
    <t>Vinyl Flooring</t>
  </si>
  <si>
    <t>Providing fixing Vinyl Anti-Static flooring 5 mm thick Armstrong/LG/Tusker installed on smooth, hard &amp; absolutely levelled sub-floor. Brushed SS edges shall be used at the seams. Conductive adhesives shall be used for fixing .</t>
  </si>
  <si>
    <t>False Flooring</t>
  </si>
  <si>
    <t>P/F Raised access floor (false floor app. 150 mm to 230 mm high) .The panel shall be finished with antistatic 600x600x1.5mm laminate laid on base panels with solvent free epoxy, edge shall have 0.6mm PVC lipping &amp; floor shall have UDL of 10 KN/Sq.m point load of 2.5</t>
  </si>
  <si>
    <t>P/F Raised access floor (false floor app. 300 mm high) .The panel shall be finished with antistatic 600x600x1.5mm laminate laid on base panels with solvent free epoxy, edge shall have 0.6mm PVC lipping &amp; floor shall have UDL of 10 KN/Sq.m point load of 2.5</t>
  </si>
  <si>
    <t>h</t>
  </si>
  <si>
    <t>POP covering on Flooring</t>
  </si>
  <si>
    <t>Providing and applying POP covering on flooring for floor protection with plastic sheet between the flooring and POP. The rate should include the cleaning of POP and plastic on completion before handing over completed site.</t>
  </si>
  <si>
    <t>Providing and applying covering on flooring for floor protection with Heavy duty bubble sheet on newly placed flooring.  The rate should include the cleaning of plastic on completion before handing over completed site.</t>
  </si>
  <si>
    <t>Wall Dado Tiles</t>
  </si>
  <si>
    <t>Pantry / Dining / Toilet Counter &amp; Thresholds</t>
  </si>
  <si>
    <t>External Paving/Flooring/Window sill</t>
  </si>
  <si>
    <t>Façade Treatment</t>
  </si>
  <si>
    <t>P/F 12mm thk Black Granite to be fixed with approved adhesive (approved Low VOC/No VOC Adhesives to be used by Bank or CPC team as exception / Refer Make and Model sheet, Adhesives) and curing on plywood base (use Plywood which are "Free of Added Urea Formaldehyde" (required) and Green Pro certified (Mandatory) and make approved by Bank or CPC team as exception / Refer Make and Model sheet, BWR Plywood)  paneling on the façade. (Cost of plywood paneling not included). (Basic cost of granite Rs. 180/- sq.ft.)</t>
  </si>
  <si>
    <t>Handicapped Access Ramp</t>
  </si>
  <si>
    <t>Ramp Finishes</t>
  </si>
  <si>
    <t>Plumbing</t>
  </si>
  <si>
    <t>Internal concealed plumbing works for water supply, drainage and related works per toilet comprising of wash basin, WC, urinals etc. all complete. Gents Toilet (1 no Urinal + 1 nos. wash basin + 1 no EWC)</t>
  </si>
  <si>
    <t>Lumpsum per toilet</t>
  </si>
  <si>
    <t>Internal concealed plumbing works for water supply, drainage and related works per toilet comprising of wash basin, WC etc. all complete. Ladies Toilet (1 Wash Basin + 1 EWC)</t>
  </si>
  <si>
    <t xml:space="preserve">Internal Plumbing work for Pantry. Water supply and drainage points for sink, water supply point to water purifier and proper drain point. </t>
  </si>
  <si>
    <t xml:space="preserve">Lumpsum </t>
  </si>
  <si>
    <t>Sanitary wares (Pure white colour)</t>
  </si>
  <si>
    <t>Plumbing Fittings</t>
  </si>
  <si>
    <t>Toilet Accessories</t>
  </si>
  <si>
    <t>External plumbing works.</t>
  </si>
  <si>
    <t xml:space="preserve">Providing &amp; laying CPVC pipes with screwed sockets, joints, and necessary pvc fittings such as socket, elbows, bends, tees etc., including making/ drilling holes in walls/ slabs and remaking good the damages in original conditions. The rate is inclusive of necessary scaffolding ( Make : Astral / Precision ) </t>
  </si>
  <si>
    <t>15mm dia</t>
  </si>
  <si>
    <t>20mm dia</t>
  </si>
  <si>
    <t>25mmdia</t>
  </si>
  <si>
    <t>40mmdia</t>
  </si>
  <si>
    <t>Supplying and fixing  of PVC Pipe of SWR Grade of approved company including all necessary fitting fixed with GI Clamp making necessary holes in valets, refilling the same with concrete making good the damaged portions with matching plaster complete in all respects.  The rate is inclusive of scaffolding. ( Make :  Astral / Precision )</t>
  </si>
  <si>
    <t>2" dia</t>
  </si>
  <si>
    <t>4" dia</t>
  </si>
  <si>
    <t>6" dia</t>
  </si>
  <si>
    <t>4 " dia</t>
  </si>
  <si>
    <t>Providing and laying 150mm dia salt glazed stoneware pipes in proper gradient on cement concrete bedding or bricks over compacted soil &amp; including fittings such as bends, single or double junctions, laying, jointing in CM (1:1) including excavation and filling the trench</t>
  </si>
  <si>
    <t>Providing and fixing 23cm x 23cm salt glazed stone ware gutty trap in cm (1:4:8) outside the building including connecting salt glazed stone ware pipes and mount out of brick masonry finished with cement plaster from inside &amp; out side covered with CI/RCC cover. Complete in all respect.</t>
  </si>
  <si>
    <t>Providing &amp; constructing brick masonry chamber of size: 2'-0" x 1'-0" &amp; 1-0" to 1'-6" in depth including 6" thk CC (1:4:8) foundation, CC (1:2:4) channels, brick masonry and in CM (1:6) &amp; 20mm thk. plastering from inside and out side in CM (1:3) , providing CI / RCC cover (heavy duty ) with necessary arrangement for lifting.</t>
  </si>
  <si>
    <t>Anti Termite Treatment</t>
  </si>
  <si>
    <t>Miscellaneous civil work</t>
  </si>
  <si>
    <t>Making punctures in existing brick/siporex block up to 200mm diameter, for passing A.C. copper pipes/drain pipes as required and making good the same with cement plaster/POP.</t>
  </si>
  <si>
    <t xml:space="preserve">Vendor should provide D.G. set during execution of site while power cut issues remote location. Opex cost, Diesel is included with hireing charges. </t>
  </si>
  <si>
    <t xml:space="preserve">Per Day </t>
  </si>
  <si>
    <t>Filling charges of Diesel in installed D.G. set by Bank (Vendor should submit diesel bill during final billing)</t>
  </si>
  <si>
    <t xml:space="preserve">Civil &amp; interior vendor will be responsible for securing the premises till the site is ready for IT hand-over with  proper locking mechanism or  till project is handed over to Project manager. (Daily 12 hour shift ) </t>
  </si>
  <si>
    <t xml:space="preserve">Per month Basis </t>
  </si>
  <si>
    <t>TOILET CUBICLES - Provide and fix Toilet cubicles bottom mounted made of high pressure compressed color boards with all necessary mount fittings for fixed panels. Panels to be 300mm above finished floor with door size of 650 x 1750mm Rate to include all necessary hardware's and fittings including door locks with vacant/occupied signage locks. mode of measurement L x H Approved brand Greenlam. Shop drawings to be approved by Architect.</t>
  </si>
  <si>
    <t>Providing and making Core cut of in RCC slab / Beam of thickness up to 300mm, with core cutting machine inclusive of filling of core with fire retardant sealant of HILTI make as per the manufacturer's specification, cleaning etc complete. Note: The contractor should determine the location of beams/post tensioned tendons before carrying out the operation, getting prior approval from the builder/structural consultant and cutting all reinforcement by gas cutting machine or as directed etc. complete. (wherever required)</t>
  </si>
  <si>
    <t xml:space="preserve">Upto 75mm dia </t>
  </si>
  <si>
    <t xml:space="preserve">Upto 100mm dia </t>
  </si>
  <si>
    <t xml:space="preserve">Upto 150mm dia </t>
  </si>
  <si>
    <t xml:space="preserve">Providing, fixing and Removing MS H type frame scaffolding for branch interior and exterior work. Scafolding should have flat working platform. </t>
  </si>
  <si>
    <t xml:space="preserve">Providing and fixing a 1000 Lits over head watertank at branchs cost is including with necessary ball cock operated inlet connection and NRC valve output connection, internal connection and entire conncection should have emergency stop cock on inlet and outlet line. </t>
  </si>
  <si>
    <t xml:space="preserve">Prepare and maintain  document list, Technical cut sheet, All type of layout, Electrical based calculations, Invoice, Purchase order of purchased goods and  Materials for enrollment of the Green building certification.Cost is included with charges towards professional video recording &amp; photo shoot of entire facility available in the premises.
</t>
  </si>
  <si>
    <t>m</t>
  </si>
  <si>
    <t>n</t>
  </si>
  <si>
    <t xml:space="preserve">Providing and placing medium size self watering ceramic planters (12 Inch)with plant of given list of Botanical (Areca palm /  Mother in law’s tongue/ Lady Palm/ Janet Craig / Dragon Tree / Warneckii or Dracanaenai / Spider Plant / Money plant)  Cost including plantation , soil and fertilizers. ( Max 15 Planters to be place in branch). </t>
  </si>
  <si>
    <t>Providing &amp; fixing Vinly Graphic Film of approved make, with recommended adhesive(Low VOC/No VOC Adhesives as suggested by Bank or CPC team as exception / Refer Make and Model sheet,adhesives) of approved make &amp; sample as per manufacturer's specifications.  Rate of Wall Graphics film shall be inclusive of Image cost.</t>
  </si>
  <si>
    <t>Sq.ft.</t>
  </si>
  <si>
    <t>Total Cost of Civil &amp; related works</t>
  </si>
  <si>
    <t xml:space="preserve"> POP &amp; FALSE CEILING WORKS</t>
  </si>
  <si>
    <t>POP  Punning</t>
  </si>
  <si>
    <t>False Ceiling</t>
  </si>
  <si>
    <t>Trap Doors</t>
  </si>
  <si>
    <t>Same as item above but trap door shutters to be of Lay - in type.</t>
  </si>
  <si>
    <t xml:space="preserve">Providing and fixing modular trap doors for access to the areas above false ceiling having size 1200 mm x 600 mm ( Make Knauf ) </t>
  </si>
  <si>
    <t>Total Cost of POP and False Ceiling  Work</t>
  </si>
  <si>
    <t>CARPENTRY AND INTERIOR WORKS</t>
  </si>
  <si>
    <t>Partition</t>
  </si>
  <si>
    <t>Solid Partitions</t>
  </si>
  <si>
    <t>Glazed Partitions</t>
  </si>
  <si>
    <t>Low Height Solid Partition</t>
  </si>
  <si>
    <t xml:space="preserve">Providing and fixing of 55 mm thick Low ht Modular partition up to  1200 mm height. The partition framework to be covered with 12mm thick partical board and finished with 1.0mm thick laminate. Powder coated trim of size 75mm x 12mm made of aluminium profile to be provided at the edge of the partition finished with approved shade of coating and 75 mm  wide aluminium skirting is to be provided. </t>
  </si>
  <si>
    <t>Low Height Semi Solid Partition</t>
  </si>
  <si>
    <t>Paneling Work</t>
  </si>
  <si>
    <t>Column / Wall Paneling</t>
  </si>
  <si>
    <t>Plywood Boxing</t>
  </si>
  <si>
    <t>P/f BOXING FOR ROLLING SHUTTER up to 600mm wide x 600mm high with open able panels for accessing rolling shutter made of Salwood internal framework and 19mm thk plywood (use Plywood which are "Free of Added Urea Formaldehyde" (required) and Green Pro certified (Mandatory) and make approved by Bank or CPC team as exception / Refer Make and Model sheet, BWR Plywood) finished with 1.0mm thk laminate of approved shade on all exposed surfaces including boxing top.  Openable panel for accessing the rolling shutter to be provided .Rate to include cutouts for lights, necessary hardware, etc., all complete. (surface area will be measured for the purpose of billing)</t>
  </si>
  <si>
    <t>Doors</t>
  </si>
  <si>
    <t>Main Entrance and ATM door</t>
  </si>
  <si>
    <t>Providing and fixing in place main entrance single leaf toughen glass ( Make : Sain Globain , Modi and Asashi )door for branch and ATM of overall size of 1050mm x 2100 mm. Rate is Tobe include cost of heavy duty floor spring of approved Make and model, ss  handle of size 450 mm, mortise lock), necessary patches and all required hardware complete as directed.</t>
  </si>
  <si>
    <t>Providing and fixing in place main entrance single leaf toughen glass ( Make : Saint Gobin, Asashi)door for branch and ATM of overall size of 1050mm x 2400 mm. Rate is Tobe include cost of heavy duty floor spring (Make : Enox/Ozone), ss  handle of size 450 mm, mortise lock), necessary patches  ( Make : Enox/Ozone)and all required hardware complete as directed.</t>
  </si>
  <si>
    <t xml:space="preserve">Extra for providing and fixing Enox/Ozone Make floor spring of 120 kg capacity ( only in the case of existing doors ) </t>
  </si>
  <si>
    <t>Cabin and Meeting Room Doors</t>
  </si>
  <si>
    <t>Doors for Server Room, Store Room, Pantry and Toilet.</t>
  </si>
  <si>
    <t>i. server room door : 975mm x 2100mm</t>
  </si>
  <si>
    <t>i. server room door : 975mm x 2400mm</t>
  </si>
  <si>
    <t>ii. Teller and store room door : 900mm x 2100mm</t>
  </si>
  <si>
    <t>ii. Teller and store room door : 900mm x 2400mm</t>
  </si>
  <si>
    <t>iii. Pantry door : 825mm x 2100mm</t>
  </si>
  <si>
    <t>iii. Pantry door : 825mm x 2400mm</t>
  </si>
  <si>
    <t>P/f. solid wicket gate door of size 675mm x 900mm made of 38mm thick flush door and mounted on heavy duty soft closing hinges and with locking arrangement for Welcome Desk.</t>
  </si>
  <si>
    <t>Door Frames</t>
  </si>
  <si>
    <t>Server Room Door</t>
  </si>
  <si>
    <t>Wooden Fire Rated Door - 
Supply and Installation of 2hrs Fire Rated Wooden Doors 45 mm thk. (Single shutter) 
along with door frame with approved SS ball bearing hinges (CE Marked). Fire Rated doors to be manufactured with internal stiles and rails of tropical hardwoods, kiln seasoned and chemically treated under vacuum pressure with suitable wood preservatives having antiseptic and Fire Retardant properties in a pressure vessel. The construction is sandwich type infill material of Cera Wool Blanket and Calcium Silicate boards of required thickness for 2hour Fire Rated Door). The sandwich construction is further bonded with LEED Rated LEED Rated Ply wood on both sides which is waterproof and bonded with Phenol Formaldehyde Synthetic Resin. The doors are further given an external timber lipping of 6.5mm thickness in which intumescent strips are affixed which impart expansion properties to the door to seal them against fire / smoke escaping to the adjoining areas. Concealed door closer ITS 96 shall be used. The Fire Rated doors should achieve the criteria of STABILITY, INTEGRITY &amp; THERMAL INSULATION PROPERTIES as per the standards laid down in BS 476”. The door frame and shutter shall be finished as per detail drgs. Skinning of the door (both side) Fire rated laminate make shall be considered. Fire and Smoke Seal Strips of size 10mm x 4mm mounted in the grooves in the shutter on all sides except bottom. Intumescent sealant is used to seal the gaps of approved make. All Test reports and warranties/guarantee to be taken from manufacturer and submitted to engineer in charge before installation. Approved Make: Kenwood / Promat Rate to be inclusive of all hardwares and vision panels in fire rated glass of size as per drgs. approx size upto 1050 mm x 2100 mm (server room)</t>
  </si>
  <si>
    <t>Tables</t>
  </si>
  <si>
    <t>Branch Manager's Table</t>
  </si>
  <si>
    <t xml:space="preserve">same as item 5.a - i but  table of size 1425 x 675mm.(worktop size). </t>
  </si>
  <si>
    <t>P.B./RM worktables</t>
  </si>
  <si>
    <t>same as item 5(a) above but size of the worktable to be 1200mm x 675mm with side credenza having two nos. top drawers and openable shutters below and without drawer pedestal.</t>
  </si>
  <si>
    <t>same as item 5(a) above but size of the worktable to be 1200mm x 675mm with drawer pedestal and without side credenza.</t>
  </si>
  <si>
    <t>RM's worktables in HNW area (cockpit type)</t>
  </si>
  <si>
    <t>Providing and fixing cockpit type workstation of average size of 1500mm x 1500mm comprising of 25mm thick table top having post form edge.  3 drawer pedestal of size 400mm x 500 mm x700mm consisting of 2nos. drawer of 150mm deep and 300mm deep filing drawer having common lock ( Make : Ebco ) including modesty apron to be made out of 19mm thick BWR plywood (use Plywood which are "Free of Added Urea Formaldehyde" (required) and Green Pro certified (Mandatory) and make approved by Bank or CPC team as exception / Refer Make and Model sheet, BWR Plywood) /high particle board.  All complete including key board drawer, M.S. Powder coated Cable tray to place electrical sockets on it, CPU trolley and necessary hardware. All the exposed surfaces to be finished with 1.0mm thick laminate and internal surfaces with 0.8mm thick laminate. ( All furniture hardware should be Ebco Make )</t>
  </si>
  <si>
    <t>Running Counter, Linear Desks (WBO and back office) and Pantry Counter</t>
  </si>
  <si>
    <t>Providing and fixing in place 600mm deep running counter made of medium density particle board with post form edge profile for 25mm thick table top, Consisting of a 3 drawer pedestal of size 400mm x 500 mm x700mm consisting of 2nos. drawer of 150mm deep and 300mm deep filing drawer having common lock ( Make : Ebco ) including modesty apron to be made out of 19mm thick BWR plywood (use Plywood which are "Free of Added Urea Formaldehyde" (required) and Green Pro certified (Mandatory) and make approved by Bank or CPC team as exception / Refer Make and Model sheet, BWR Plywood) /high particle board.  All complete including key board drawer, M.S. Powder coated Cable tray to place electrical sockets on it, CPU trolley and necessary hardware.All the exposed surfaces to be finished with 1.0mm thick laminate.( All furniture hardware should be Ebco Make )</t>
  </si>
  <si>
    <t xml:space="preserve">Back Office Tables -1200mm width x 600 mm x750mm deep
Free Standing Table top made of 25mm thk prelaminated particle board of approved color laminate with front longer edge having post form dome type head with alumminium access flap with soft closing mechanism. 
Understructure shall have Square looped legs with min size of section 46mm x45mmx 1.2 mm thk made of MS Extrusion duly powder coated . It is fitted with M8x 25mm Dome shape leveller to have better look &amp; it's size should be matching to leg pipe size. 
Front Apron  wooden  Modesty of 18mm prelaminated twin laminated shall be fixed with minfix with metal leg .The ht. of modesty is 700mm
All wiring mecahnism /swith plates are to be mounted on below access flap with vertical/horizontal post to carry wires from junction post
heavy duty keyboard Tray  made of MS duly powder coated with wrist pad 
3 Drawer wooden fixed pedestal of size 700mm ht x 380mm w x 450mm D. Pedestal should be opened with single Key &amp; all drawers &amp; doors shall have no handles
Entire body except back is made of 18mm prelaminated board of approved color, &amp; back is in 9mm white All Facia vetical edges shall have reverse waterfall edge in such a way for easy finger grip to user &amp; shall have no external handle. Cost of soft Pin board cum writing board dividor inclusive with cost . </t>
  </si>
  <si>
    <t>same as item 5.d-(i) above but made out of 19mm thick BWR plywood (use Plywood which are "Free of Added Urea Formaldehyde" (required) and Green Pro certified (Mandatory) and make approved by Bank or CPC team as exception / Refer Make and Model sheet, BWR Plywood)  All the External &amp; internal surfaces to be laminated Polished.</t>
  </si>
  <si>
    <t>Providing and fixing lunch counter with top made up of 19 mm ply, fascia and brackets in 12 mm thick ply and finished with 1 mm thick laminate on top, bottom and facia Complete as directed.</t>
  </si>
  <si>
    <t>Welcome Desk</t>
  </si>
  <si>
    <t>Providing and fixing welcome desk consisting of two worktops (laminate and glass/granite) with a cabinet to house FRFC made of 19mm thick BWR plywood top, sides finished in 1.0mm thick laminate of approved shade. The table shall have a 3 drawer pedestal of size 400mm x 500 mm x700mm consisting of 2nos. drawer of 150mm deep and 300mm deep filing drawer having common lock ( Make : Ebco ) including modesty apron to be made out of 19mm thick BWR plywood (use Plywood which are "Free of Added Urea Formaldehyde" (required) and Green Pro certified (Mandatory) and make approved by Bank or CPC team as exception / Refer Make and Model sheet, BWR Plywood) /high particle board. with key boards and CPU stand complete with all hardware etc. all the exposed edges to have wooden lipping stained to match the laminate and Melaminee finished. all the internal surfaces to be hand Melamine Polished. ( All furniture hardware should be Ebco Make )</t>
  </si>
  <si>
    <t>Providing and fixing double set welcome desk consisting of two worktops (laminate and Glass (use Green Pro certified Glass and make approved by Bank  or CPC team as exception / Refer Make and Model sheet, Glass)) with a common cabinet to house FRFC made of 19mm thick BWR plywood top, sides finished in 1.0mm thick laminate of approved shade. The table shall have a 3 drawer pedestal of size 400mm x 500 mm x700mm consisting of 2nos. drawer of 150mm deep and 300mm deep filing drawer having common lock ( Make : Ebco ) including modesty apron to be made out of 19mm thick BWR plywood (use Plywood which are "Free of Added Urea Formaldehyde" (required) and Green Pro certified (Mandatory) and make approved by Bank or CPC team as exception / Refer Make and Model sheet, BWR Plywood) /high particle board, with key boards and CPU stand complete with all hardware etc. all the exposed edges to have wooden lipping stained to match the laminate and Melaminee finished. all the internal surfaces to be hand Melamine Polished. ( All furniture hardware should be Ebco Make )</t>
  </si>
  <si>
    <t>Teller Counter</t>
  </si>
  <si>
    <t>P/f Double level teller counter made out of 19mm thick plywood  (use Plywood which are "Free of Added Urea Formaldehyde" (required) and Green Pro certified (Mandatory) and make approved by Bank or CPC team as exception / Refer Make and Model sheet, BWR Plywood)  and finished in laminate one at 750mm and other at 1200mm level. Top level counter to be finished in jet black granite with double molding. The upper most worktop to have vertical barriers in form of 8 mm thick toughen glass mounted on ss finish fabricated brackets for cash transactions. Teller to be provided with 4 nos. equal sized drawers, one key board at every 1200mm length. There should be a vertical barrier separating the adjacent counter at every 1200mm length. All the exposed surfaces to be finished with 1.0mm thick laminate and internal surfaces to be finished with hand Melamine Polish. all 5 S compliances as per bank's requirements to be followed. ( All furniture hardware should be Ebco Make )</t>
  </si>
  <si>
    <t>Demat Counter</t>
  </si>
  <si>
    <t>Meeting table</t>
  </si>
  <si>
    <t>Providing and fixing in place conference room table for 10 persons made out of 19mm thick plywood (use Plywood which are "Free of Added Urea Formaldehyde" (required) and Green Pro certified (Mandatory) and make approved by Bank or CPC team as exception / Refer Make and Model sheet, BWR Plywood) finished with 1.0mm thick laminate externally and hand Melamine Polish internally. Provision to be 8 module POP Up box of Ebco made for wire management on the table top as per design. (All furniture hardware should be Ebco Make )</t>
  </si>
  <si>
    <t>Same as 5.h.ii but for 8 persons</t>
  </si>
  <si>
    <t>Same as 5.h.ii but for 12 persons</t>
  </si>
  <si>
    <t>Same as 5.h.ii but for 16 persons</t>
  </si>
  <si>
    <t>Reprography Counter (Requirement to be rechecked with Project Manager at site before providing)</t>
  </si>
  <si>
    <t>Providing and fixing low height storage cabinet for Reprography Counter of height 600mm and depth 750mm made of 19mm plywood (use Plywood which are "Free of Added Urea Formaldehyde" (required) and Green Pro certified (Mandatory) and make approved by Bank or CPC team as exception / Refer Make and Model sheet, BWR Plywood)  with drawers on top and shutters below. All the exposed surfaces to be finished with 1.0mm thick laminate and internal surfaces to be hand Melamine Polished.</t>
  </si>
  <si>
    <t>J</t>
  </si>
  <si>
    <t>Gold loan desk / Table</t>
  </si>
  <si>
    <t xml:space="preserve">Gold Loan  Desk - 1985 mm width x 675 mm deep (with Flap door &amp; Front Toughened Glass with SS Stud)
Providing and fixing in place, Gold loan manager's table of 1985 mm width x 675 mm deep (worktop size)comprising of 25mm thick table top made of medium density particle board with side credenza of size 400mm deep and 900mm long having sliding shutters with locks ( Make : Ebco ) and a 3 drawer pedestal of size 400mm x 500 mm x700mm consisting of 2nos. drawer of 150mm deep and 300mm deep filing drawer having common lock ( Make : Ebco ) including modesty apron to be made out of 19mm thick BWR plywood (use Plywood which are "Free of Added Urea Formaldehyde" (required) and Green Pro certified (Mandatory) and make approved by Bank or CPC team as exception / Refer Make and Model sheet, BWR Plywood) /high particle board. The table top to have post form edge. All complete including key board drawer, M.S. Powder coated Cable tray to place electrical sockets on it, CPU trolley and necessary hardware .( Make : Ebco) all the external surfaces to be finished with 1.0mm thick laminate and internal surfaces to be finished with 0.8 mm thick laminate of approved shade. all complete as directed.( All furniture hardware should be Ebco Make )
All Facia vetical edges shall have postformed reverse waterfall edge in such a way for easy finger grip to user &amp; shall have no external handle. (Above Table 12mm toughned Glass Fix with SS Stud 40x40x450/600 mm )
SS stud can be locally fabricated( as per attached image) or equivalent of model- Kich DT32-1-G12 which will require holes in toughened glass  
</t>
  </si>
  <si>
    <t>Storages</t>
  </si>
  <si>
    <t>Providing and fixing 450mm deep full height storage unit  made of 19mm thick plywood/HD particle board and finished with 1.0mm thick laminate externally and internally. Shutter made of 19mm thick plywood/ Particle board to be provided finished with 1.0mm thick laminate internally and externally. Intermediate shelves made of 19mm thick plywood (Plywood which are "Free of Added Urea Formaldehyde" (required) and Green Pro certified (Mandatory) and make approved by Bank or CPC team as exception / Refer Make and Model sheet, BWR Plywood)  to provided at every 400mm (as per size of box file/office file) finished with white 0.8 mm laminate. The exposed edges of the shelves should have post form edges All complete including necessary hardware, heavy duty hinges, handles, locks etc. ( All furniture hardware should be Ebco Make )</t>
  </si>
  <si>
    <t>Providing and fixing 450mm deep Low height storage unit (Upto 1050 mm high) made of 19mm thick plywood/Particle board and finished with 1.0mm thick laminate externally and internally. Openable shutter made of 19mm thick plywood  to be provided finished with 1.0mm thick laminate internally and externally. Intermediate shelves made of 19mm thick plywood to provided (as per size of box file/office file) finished with 1  mm laminate. The exposed edges of the shelves should have post form edges All complete including necessary hardware, heavy duty hinges, handles, locks etc. ( All furniture hardware should be Ebco Make )(use Plywood which are "Free of Added Urea Formaldehyde" (required) and Green Pro certified (Mandatory) and make approved by Bank or CPC team as exception / Refer Make and Model sheet, BWR Plywood)</t>
  </si>
  <si>
    <t>Providing and fixing wall mounted storage rack for DVR having front side opened and all the sides closed with 19mm thick BWR plywood. All the external surfaces to be finished with 1.0mm thick laminate and internal surfaces Tobe finished with hand Melamine Polish. Aluminium ventilation grille to be provided on either sides of the storage rack. size of the rack  W 600mm x H 530mm x D 400mm (Requirement to be confirmed by Bank before providing) (use Plywood which are "Free of Added Urea Formaldehyde" (required) and Green Pro certified (Mandatory) and make approved by Bank or CPC team as exception / Refer Make and Model sheet, BWR Plywood</t>
  </si>
  <si>
    <t xml:space="preserve">A 3 drawer pedestal of size 400mm x 500 mm x700mm consisting of 2nos. drawer of 150mm deep and 300mm deep filing drawer having common lock ( Make : Ebco ) including modesty apron to be made out of 19mm thick BWR plywood/high density particle board. (use Plywood which are "Free of Added Urea Formaldehyde" (required) and Green Pro certified (Mandatory) and make approved by Bank or CPC team as exception / Refer Make and Model sheet, BWR Plywood) </t>
  </si>
  <si>
    <t>Slotted Angle Racks</t>
  </si>
  <si>
    <t>Steel Slotted Angle Racks Open Type of size 1829 H x 915 W x 260 D mm of 14 gauge thick with 6 panels of 18 gauge thick making 5 compartments with 3 sides covered by cladding sheet of 22 gauge thick with required bolts and nuts and other hardware complete as directed.</t>
  </si>
  <si>
    <t>Pigeon hole storage</t>
  </si>
  <si>
    <t>Providing and fixing in place pigeon hole storages made of 19mm thick BWR Plywood (use Plywood which are "Free of Added Urea Formaldehyde" (required) and Green Pro certified (Mandatory) and make approved by Bank or CPC team as exception / Refer Make and Model sheet, BWR Plywood) or HD Partical Board and finished with 1.0mm thick laminate externally. The shelves and internal verticals for the pigeon hole  to be made of 12mm thick plywood and finished in hand Melamine Polish. All complete as per the 5 S requirements of the Bank.</t>
  </si>
  <si>
    <t>Shutters</t>
  </si>
  <si>
    <t>Providing and fixing shutters below pantry counter made of 19mm thick plywood (use Plywood which are "Free of Added Urea Formaldehyde" (required) and Green Pro certified (Mandatory) and make approved by Bank or CPC team as exception / Refer Make and Model sheet, BWR Plywood)  and finished with 1.0mm thick laminate internally and externally. The cost to include wooden frame of size 50 mm x 38mm for fixing of the shutters. All complete including necessary hardware like hinges, handles etc. aluminum perforated grilles for ventilation.</t>
  </si>
  <si>
    <t>Aluminium Composite Panel</t>
  </si>
  <si>
    <t xml:space="preserve">Providing and fixing tricolour (Silver - Red - Grey) Aluminium Composite Panels (ACP) of A2 FR Grade exterior grade for cladding near entrance of approved make for external wall / column / canopy cladding in combination of solid / Metallic colours, including all necessary frame work and complete weather sealing. The composite panel should consist of 3mm thermoplastic core of LDPE sandwiched between 2 skins of 0.5mm thick aluminium sheet (alloy designation 310S) making a total panel thickness
of 4mm. The surface will be furnished with Lumiflon based flourcarbon coating on top sides and service coating on reverse side. Coatings shall conform to specifications of
specifications of ECCA / AAMA and conforming to the mechanical properties of panel as per detailed technical specifications. the system shall be fixed using GI brackets
and stainless steel bolts and nuts complete with spring washers and cap nuts and all other necessary accessories. The bracket support shall be designed as per manufactures
specification and shall withstand a wind pressure of 150 kg / sqm. all hardware shall corrosion resistant frame out of anodised aluminium member. </t>
  </si>
  <si>
    <t>Railing</t>
  </si>
  <si>
    <t>SS Railing</t>
  </si>
  <si>
    <t>Providing and fixing SS railing of 304 quality as per design for staircase/ramps etc.</t>
  </si>
  <si>
    <t>MS Railing</t>
  </si>
  <si>
    <t>Providing and fixing MS railing with powder coated finish of approved shade</t>
  </si>
  <si>
    <t>Single Seater Sofa in composite leather as per design. ( Make: Amardeep Design or approved by CPC )</t>
  </si>
  <si>
    <t>Two Seater Sofa in composite leather as per design.( Make: Amardeep Design or approved by CPC )</t>
  </si>
  <si>
    <t>Three Seater Sofa in composite leather as per design.( Make: Amardeep Design or approved by CPC )</t>
  </si>
  <si>
    <t>Windows</t>
  </si>
  <si>
    <t>Same as item 11(a) above  but for 3 tracks</t>
  </si>
  <si>
    <t>Same as item 11(a) as above but openable type with friction hinges of approved co.</t>
  </si>
  <si>
    <t>Louvered windows for toilet and pantry windows</t>
  </si>
  <si>
    <t>Miscellaneous</t>
  </si>
  <si>
    <t>Soft / Pinup Board</t>
  </si>
  <si>
    <t>White Board</t>
  </si>
  <si>
    <t>Same as b (i) but toughened glass writing board of size 3' x 4' on S.S. studs</t>
  </si>
  <si>
    <t>Window Blinds</t>
  </si>
  <si>
    <t>Supplying and fixing 4" wide vertical fabric blinds of approved made and colour and texture including all fittings of approved quality complete. Blinds made using 100% polyester with acrylic polymer coating.</t>
  </si>
  <si>
    <t>Supplying and fixing roller fabric blinds of approved made and colour and texture including all fittings of approved quality complete. Blinds made using 100% polyester with acrylic polymer coating.</t>
  </si>
  <si>
    <t>Frosted Film</t>
  </si>
  <si>
    <t>Providing and fixing of frosted film on glass as per design - Make Garware.</t>
  </si>
  <si>
    <t>Providing and fixing of frosted film on glass as per design - Make 3M</t>
  </si>
  <si>
    <t>Providing and fixing Sun control film on the main glazing - Make 3M</t>
  </si>
  <si>
    <t>Mirror for Toilets &amp; Strong Room</t>
  </si>
  <si>
    <t>same as above but with pedestal unit of total 600 mm x 450 mm to be provided wherever it is not possible to fix the mirror on the strong room walls</t>
  </si>
  <si>
    <t>Curtain with SS Rod</t>
  </si>
  <si>
    <t>Providing and fixing of curtain with SS rod in Strong Room ( size upto 1500 mm x 2100mm)</t>
  </si>
  <si>
    <t>Aluminium Skirting</t>
  </si>
  <si>
    <t>Glass Shelves</t>
  </si>
  <si>
    <t>Wooden Shelf</t>
  </si>
  <si>
    <t>Plastic Board Signages</t>
  </si>
  <si>
    <t>Providing and fixing plastic board signage and numbers</t>
  </si>
  <si>
    <t>Writing Ledge (Requirement to be checked with the Project Manager before provision)</t>
  </si>
  <si>
    <t>Providing and fixing of writing ledge as per design.</t>
  </si>
  <si>
    <t>Notice Board</t>
  </si>
  <si>
    <t xml:space="preserve">Providing and fixing Notice board made up of soft board comprising of 12mm thk. back Ply (use Plywood which are "Free of Added Urea Formaldehyde" (required) and Green Pro certified (Mandatory) and make approved by Bank or CPC team as exception / Refer Make and Model sheet, BWR Plywood)  fixed on wall with 12 mm thk pinup board (Soft  board) covered with fabric of approved shade Board to be covered with four way frame of 75 mm thik 12 mm plywood and to be finished with approved laminated shade  </t>
  </si>
  <si>
    <t>Providing and fixing modular Notice board made up of soft board comprising of 18 Gauge thik back aluminium foil on wall with 10 mm thk pinup board (Soft  board) covered with fabric of approved shade and Board to be covered with four way frame of 35 mm thik aluminium extruded profile.</t>
  </si>
  <si>
    <t>Pelmet (as per site conditions and window / ceiling intersection)</t>
  </si>
  <si>
    <t>Providing and fixing in place 150mm deep pelmet made out of 19mm thick plywood (use Plywood which are "Free of Added Urea Formaldehyde" (required) and Green Pro certified (Mandatory) and make approved by Bank or CPC team as exception / Refer Make and Model sheet, BWR Plywood) and finished internally with enamel paint (use of approved Low VOC/No VOC Paints as suggested by Bank or CPC team as exception / Refer Make and Model sheet, Paints) . The pelmet to be provided at the junction of window and false ceiling only  as per site conditions. The pelmet to be concealed inside the false ceiling such as to receive the vertical blinds.</t>
  </si>
  <si>
    <t>Key Hanging Box</t>
  </si>
  <si>
    <t>Providing and fixing in place key hanging box of size 600mm x 675mm made out of 19mm thick plywood and finished with 1.0 mm thick laminate of approved shade. The shutter of the key box to be made of 19mm thick plywood (use Plywood which are "Free of Added Urea Formaldehyde" (required) and Green Pro certified (Mandatory) and make approved by Bank or CPC team as exception / Refer Make and Model sheet, BWR Plywood)  with 60mm wide frame on all sides with 6mm thick glass embedded in it. The key box to be provided with key hooks.</t>
  </si>
  <si>
    <t>o</t>
  </si>
  <si>
    <t>Aluminium Folding Step Ladder (A` type Self-supporting plate form ladder</t>
  </si>
  <si>
    <t>p</t>
  </si>
  <si>
    <t>Miscellaneous work</t>
  </si>
  <si>
    <t>Fixing of internal marketing  poster frames supplied by the bank.</t>
  </si>
  <si>
    <t>Fixing of modular ATM drop box cum writing ledge supplied by the bank</t>
  </si>
  <si>
    <t>Providing and fixing weather shed made of GI sheet of 16/18 gauge. All complete with waterproofing, vata, drip mould etc.</t>
  </si>
  <si>
    <t xml:space="preserve">Providing and fixing folding/retractable mechanical operation canopy awning made of high quality tensile plastic sheet. Cost is inclusive of all necessary accessaries, gears etc. </t>
  </si>
  <si>
    <t>Supply of carpenter on monthly basis (8 hour shift per day) after handing over of the site for branch pre-launch activity.</t>
  </si>
  <si>
    <t>per month basis</t>
  </si>
  <si>
    <t>Removing and re-applying laminate on existing furniture.</t>
  </si>
  <si>
    <t>Providing and fixing in place, media &amp; offer zone made out of 12mm thick BWR plywood (use Plywood which are "Free of Added Urea Formaldehyde" (required) and Green Pro certified (Mandatory) and make approved by Bank or CPC team as exception / Refer Make and Model sheet, BWR Plywood)  with 230 mm deep niche of size 710mm X 750 mm 2 nos for net banking and phone banking and 1 no of size 710mm X 1050mm for offer zone finished with 1.0mm thick laminate of approved shade as per design.  All niches to have a 18mm thick granite top of size 710mm X 350 mm with grommet hole of 75 mm dia with wire manager complete with round Melamine Polish on all exposed edges. Center niche to have cabinet with hinged shutter for housing CPU unit as per detail drawing. All the external surfaces to be finished with 1.0mm thick laminate and internal surfaces to be finished with 0.8 mm thick laminate of approved shade. All complete including necessary hardware.</t>
  </si>
  <si>
    <t xml:space="preserve">Providing and fixing 12 mm Chair / Corner Guard of approved aluminium extruded profile (readymade section) as approved by architect. Rate to include all nesessary fixing details all complete as per detail drawing. </t>
  </si>
  <si>
    <t>ix</t>
  </si>
  <si>
    <t>Providing and placing foot operated Dry and Wet Dust  made up of 100 % food grade and BPA Free plastice having 19 Liters capacity . Bin should have individual bin slot with removable buckets and covered with outer frame.  ( Make : Nayasa or RAGA) (For Desk)</t>
  </si>
  <si>
    <t>Providing and placing foot operated Dry and Wet Dust  made up of 100 % food grade and BPA Free plastice having 33 Liters capacity . Bin should have individual bin slot with removable buckets and covered with outer frame.  ( Make : Nayasa or RAGA) ( For Pantry )</t>
  </si>
  <si>
    <t xml:space="preserve">Providing and fixing 12 mm froster glass partion to be placed in between interconnected workstation. Rate to include all nesessary fixing details all complete as per detail drawing. </t>
  </si>
  <si>
    <t>xiii</t>
  </si>
  <si>
    <t>q</t>
  </si>
  <si>
    <t xml:space="preserve">Fire Exit Door </t>
  </si>
  <si>
    <t xml:space="preserve">Same as  12_p_xiii_a but included Supply and installation of Panic Bar with Hooter </t>
  </si>
  <si>
    <t>Total Cost of Carpentry and Interior works</t>
  </si>
  <si>
    <t>Paint on Walls</t>
  </si>
  <si>
    <t>Acrylic Emulsion Paint on Ceiling</t>
  </si>
  <si>
    <t>Synthetic Enamel Paint (over existing MS grilles, gates, shutters etc.)</t>
  </si>
  <si>
    <t>Apex Paint</t>
  </si>
  <si>
    <t>Texture Paint</t>
  </si>
  <si>
    <t>Duco Paint ( over existing Locker room door only )</t>
  </si>
  <si>
    <t>Fire rated paint on wall</t>
  </si>
  <si>
    <t>Total Cost of Painting works</t>
  </si>
  <si>
    <t>ROLLING SHUTTER AND MS WORK</t>
  </si>
  <si>
    <t>MS Window grill</t>
  </si>
  <si>
    <t xml:space="preserve">M.S. Fabrication work. </t>
  </si>
  <si>
    <t>KG.</t>
  </si>
  <si>
    <t>Rolling Shutter / Collapsible Gate</t>
  </si>
  <si>
    <t>Add extra for providing mechanical gear for  rolling shutter wherever required as per site condition.</t>
  </si>
  <si>
    <t>All type of modification at Existing Rolling Shutter for introducing grill at Eye Level / making two or more other parts from single Shutter.</t>
  </si>
  <si>
    <t>servicing/greasing of existing rolling shutters to make it workable.</t>
  </si>
  <si>
    <t>Collapsible Gate</t>
  </si>
  <si>
    <t>Collapsible MS Shutter</t>
  </si>
  <si>
    <t>VSAT Monkey cage / MS enclosure</t>
  </si>
  <si>
    <t>Total Cost of Rolling Shutter and MS Work</t>
  </si>
  <si>
    <t>ELECTRIFICATION AND ALLIED WORKS</t>
  </si>
  <si>
    <t>PART-</t>
  </si>
  <si>
    <t xml:space="preserve">1 : POWER DISTRIBUTION PANEL </t>
  </si>
  <si>
    <t xml:space="preserve">Supply, Installation, Testing &amp; commissioning of the following panels/DBs fabricated with 16 gauge CRCA steel &amp; 14 gauge CRCA sheet for the frame sheet painted in 7 tank process with 2 coats of red oxide &amp; 2 coats of Smokey grey colour similar to RAL7032 Siemens grey colour. Interconnecting wires of panel should be Cu flexible / PVC wires as per following details : - PT control circuit for voltmeter  - 1.5mm2, CT control circuit for ammeter - 2.5mm2, 20A circuit - 4mm2, 30A circuit - 6mm2, 40A circuit - 10mm2, 50/60A circuit  - 16mm2, </t>
  </si>
  <si>
    <t>1.1.1</t>
  </si>
  <si>
    <t>This Panel includes MCB for Power and AC distributions hence there is no separate LDB, PDB and ACDB required.</t>
  </si>
  <si>
    <t xml:space="preserve">Metering:-  </t>
  </si>
  <si>
    <t>2 nos of Separate KWH sub-meter to be installed, 1 no. for critical load and other for remaining load. It should be complient with the RS485 port.</t>
  </si>
  <si>
    <t>Digital VAF meter to show voltage, current and frequency parameters of the entire load</t>
  </si>
  <si>
    <t>Phase Indication Lamps  - 3 Nos.</t>
  </si>
  <si>
    <t>I/c-   63A.25KA 4P TPN MCCB:- 1 no. (Changeover can be consider seperately as per line item in BoQ below)</t>
  </si>
  <si>
    <t>O/g:- 40 A, TPN MCB:- 4 nos.</t>
  </si>
  <si>
    <t xml:space="preserve">           32/40 A,DP MCB:- 2 Nos.</t>
  </si>
  <si>
    <t xml:space="preserve">           40 A,100mA, DP ELCB:-1 nos</t>
  </si>
  <si>
    <t xml:space="preserve">           10,16,20 A,SP MCB:-6 nos </t>
  </si>
  <si>
    <t xml:space="preserve">           25 A,30mA, DP ELCB:-2 nos</t>
  </si>
  <si>
    <t xml:space="preserve">           40 A,DP ISOLATOR:-2 NOS</t>
  </si>
  <si>
    <t>1.1.2</t>
  </si>
  <si>
    <t>This panel includes MCB's for AC hence separate ACBD is not required</t>
  </si>
  <si>
    <t>Digital VAF meter to show voltage, current and frequency parameters</t>
  </si>
  <si>
    <t>Incomer 1 -  100 A. 25KA 4P MCCB:- 1 nos.  (Changeover can be consider seperately as per line item in BoQ below)</t>
  </si>
  <si>
    <t>100A TP Power Contactor with 2NO and 2NC contacts</t>
  </si>
  <si>
    <t>Normal Bus (during bank hours)</t>
  </si>
  <si>
    <t>O/g:- 63 A, TPN MCB:- 3 nos.</t>
  </si>
  <si>
    <t xml:space="preserve">           32/40 A,DP MCB:- 4Nos.</t>
  </si>
  <si>
    <t xml:space="preserve">           32 A,TPN MCB:-1 nos</t>
  </si>
  <si>
    <t>Critical Bus (24/7)</t>
  </si>
  <si>
    <t>Incomer 1 - 63A TP MCCB</t>
  </si>
  <si>
    <t>O/g:- 40 A, TPN MCB:- 1 nos.</t>
  </si>
  <si>
    <t xml:space="preserve">            32A DP MCB - 4 nos.</t>
  </si>
  <si>
    <t>Incomer 1 -  125 A. 25KA 4P MCCB:- 1 nos.  (Changeover can be consider seperately as per line item in BoQ below)</t>
  </si>
  <si>
    <t>125A TP Power Contactor with 2NO and 2NC contacts</t>
  </si>
  <si>
    <t>O/g:- 63 A, TPN MCB:- 7 nos.</t>
  </si>
  <si>
    <t xml:space="preserve">           80/100 A TPN MCCB:-  1 nos.</t>
  </si>
  <si>
    <t>Incomer 1 - 80A TP MCCB</t>
  </si>
  <si>
    <t>O/g:- 63 A, TPN MCB:- 1 nos.</t>
  </si>
  <si>
    <t xml:space="preserve">            40A TPN MCB - 1 no</t>
  </si>
  <si>
    <t xml:space="preserve">            32A DP MCB - 3 nos.</t>
  </si>
  <si>
    <t>1.1.3</t>
  </si>
  <si>
    <t>Incomer 1 -  160 A. 25KA 4P MCCB:- 1 nos.  (Changeover can be consider seperately as per line item in BoQ below)</t>
  </si>
  <si>
    <t>160A TP Power Contactor with 2NO and 2NC contacts</t>
  </si>
  <si>
    <t xml:space="preserve">           32/40 A,DP MCB:- 3 Nos.</t>
  </si>
  <si>
    <t>1.1.4</t>
  </si>
  <si>
    <t>Supply, installation, testing and commissioning of  the following rating of MCCBs in Sheet Steel enclosure duly housed in CRCA Sheet Enclosure , front operated Powder coated.</t>
  </si>
  <si>
    <t>1.2.1</t>
  </si>
  <si>
    <t>63 Amps TP&amp;N (16 Ka) MCCB-  1. No.</t>
  </si>
  <si>
    <t>1.2.2</t>
  </si>
  <si>
    <t>80 Amps TP&amp;N (16 Ka) MCCB-  1. No.</t>
  </si>
  <si>
    <t>1.2.3</t>
  </si>
  <si>
    <t>100 Amps TP&amp;N (16 Ka) MCCB-  1. No.</t>
  </si>
  <si>
    <t>1.2.4</t>
  </si>
  <si>
    <t>125 Amps TP&amp;N (25 Ka) MCCB-  1. No.</t>
  </si>
  <si>
    <t>1.2.5</t>
  </si>
  <si>
    <t>160 Amps TP&amp;N (25 Ka) MCCB-  1. No.</t>
  </si>
  <si>
    <t>1.2.6</t>
  </si>
  <si>
    <t>63 Amps FP MCB  10 ka in Powder Coated Steel Sheet Enclosure- 1 no.</t>
  </si>
  <si>
    <t>1.2.7</t>
  </si>
  <si>
    <t>80 Amps FP MCB  10 ka in Powder Coated Steel Sheet Enclosure- 1 no.</t>
  </si>
  <si>
    <t>PART ‘1’  TOTAL CARRIED TO SUMMARY</t>
  </si>
  <si>
    <t>2 : CAPACITOR PANEL</t>
  </si>
  <si>
    <t>APFCR PANEL - 10 kVAR</t>
  </si>
  <si>
    <t>This Panel is for area 1000 till 1500 sq. ft.</t>
  </si>
  <si>
    <t>Incomer section</t>
  </si>
  <si>
    <t>63A TP MCCB 25kA, O/C+S/C with rotary handle - 1no</t>
  </si>
  <si>
    <t>0-500V, Voltmeter with selector switch and 3 nos. 2A MCBs - 1set</t>
  </si>
  <si>
    <t>R Y B Phase Indicating lamps - 3 nos</t>
  </si>
  <si>
    <t>APFC RELAY - 4 STEP - 1no</t>
  </si>
  <si>
    <t>Control wiring with Fuses - 1 set</t>
  </si>
  <si>
    <t>Outgoing Section</t>
  </si>
  <si>
    <t>2 nos 5kVAR Capacitor banks comprising of the following items:</t>
  </si>
  <si>
    <t>20A TP MCB "D" Curve - 2 nos</t>
  </si>
  <si>
    <t>5kVAR Capacitor Duty Contactor with damping resistor - 2nos.</t>
  </si>
  <si>
    <t>ON/OFF Push Button with indicating lamps - 6 nos</t>
  </si>
  <si>
    <t>5kVAR MPP type 415V capacitor  - 2sets</t>
  </si>
  <si>
    <t>APFCR PANEL - 15 kVAR</t>
  </si>
  <si>
    <t>This Panel is for area 1500 till 2500 sq. ft.</t>
  </si>
  <si>
    <t>3 nos 5kVAR Capacitor banks comprising of the following items:</t>
  </si>
  <si>
    <t>20A TP MCB "D" Curve - 3 nos</t>
  </si>
  <si>
    <t>5kVAR Capacitor Duty Contactor with damping resistor - 3 nos.</t>
  </si>
  <si>
    <t>5kVAR MPP type 415V capacitor  - 3sets</t>
  </si>
  <si>
    <t>APFCR PANEL - 30 kVAR</t>
  </si>
  <si>
    <t>This Panel is for area 2500 till 4500 sq. ft.</t>
  </si>
  <si>
    <t>100A TP MCCB 25kA, O/C+S/C with rotary handle - 1no</t>
  </si>
  <si>
    <t>5kVAR Capacitor Duty Contactor with damping resistor - 2 nos.</t>
  </si>
  <si>
    <t>ON/OFF Push Button with indicating lamps - 4 nos</t>
  </si>
  <si>
    <t>5kVAR MPP type 415V capacitor  - 2 sets</t>
  </si>
  <si>
    <t>2 nos 10kVAR Capacitor banks comprising of the following items:</t>
  </si>
  <si>
    <t>32A TP MCB "D" Curve - 2 nos</t>
  </si>
  <si>
    <t>10kVAR Capacitor Duty Contactor with damping resistor - 2 nos.</t>
  </si>
  <si>
    <t>10kVAR MPP type 415V capacitor  - 2 sets</t>
  </si>
  <si>
    <t>PART ‘2’  TOTAL CARRIED TO SUMMARY</t>
  </si>
  <si>
    <t>3 : PHASE CORRECTION CIRCUIT</t>
  </si>
  <si>
    <t>PHASE CORRECTION DB SHOULD BE INSTALLED BEFORE STABILISER AND AFTER ELECTRICITY METER</t>
  </si>
  <si>
    <t/>
  </si>
  <si>
    <t>TRAINING SHOULD BE PROVIDED TO BRANCH TEAM AND FA'S</t>
  </si>
  <si>
    <t>MANUAL PHASE CORRECTION CIRCUIT</t>
  </si>
  <si>
    <t>Providing Phase Correction Distribution Boards (Double Door) suitable for 415V, 50 Hz system. Dust and vermin proof having floor / wall mounting cubicle pattern with removable gland plates, with 1 set of 100 amps Copper Bus Bar, Earth and Neutral Link etc as required.</t>
  </si>
  <si>
    <t>3.1.1</t>
  </si>
  <si>
    <t xml:space="preserve">63A 4P Onload Changeover </t>
  </si>
  <si>
    <t>Phase Sequence Relay (2 C/O) - 63 A - 1 no.</t>
  </si>
  <si>
    <t>Phase sequence indicating lamp (Red) - 2 W - 2 Nos.</t>
  </si>
  <si>
    <t>control Mcb - 6 A - 3 nos</t>
  </si>
  <si>
    <t>R-Y-B indicating lamp (Red, Yellow, Blue) - 2 W - 3 nos</t>
  </si>
  <si>
    <t>3.1.2</t>
  </si>
  <si>
    <t xml:space="preserve">100A 4P Onload Changeover </t>
  </si>
  <si>
    <t>Phase Sequence Relay (2 C/O) - 100 A - 1 no.</t>
  </si>
  <si>
    <t>3.1.3</t>
  </si>
  <si>
    <t xml:space="preserve">125A 4P Onload Changeover </t>
  </si>
  <si>
    <t>3.1.4</t>
  </si>
  <si>
    <t xml:space="preserve">160A 4P Onload Changeover </t>
  </si>
  <si>
    <t>AUTO PHASE CORRECTION CIRCUIT (with Auto-Manual provision) - CONTACTOR LOGIC</t>
  </si>
  <si>
    <t>3.2.1</t>
  </si>
  <si>
    <t>20 KVA Phase correction DB</t>
  </si>
  <si>
    <t>TPN MCCB - 63 A - 1 no.</t>
  </si>
  <si>
    <t>TP Contactor - 63 A - 2 Nos.</t>
  </si>
  <si>
    <t>Auto Manual Selector switch - 10 A - 1 No.</t>
  </si>
  <si>
    <t>Stop-Start P.B (Red, Green) - 10A - 4 nos.</t>
  </si>
  <si>
    <t>On-delay timer - 0-30 Sec - 1 no.</t>
  </si>
  <si>
    <t>3.2.2</t>
  </si>
  <si>
    <t>30 KVA Phase correction DB</t>
  </si>
  <si>
    <t>TPN MCCB - 100 A - 1 no.</t>
  </si>
  <si>
    <t>TP Contactor - 100 A - 2 Nos.</t>
  </si>
  <si>
    <t>3.2.3</t>
  </si>
  <si>
    <t>TPN MCCB - 125 A - 1 no.</t>
  </si>
  <si>
    <t>TP Contactor - 125 A - 2 Nos.</t>
  </si>
  <si>
    <t>Phase Sequence Relay (2 C/O) - 125 A - 1 no.</t>
  </si>
  <si>
    <t>3.2.4</t>
  </si>
  <si>
    <t>TPN MCCB - 160 A - 1 no.</t>
  </si>
  <si>
    <t>TP Contactor - 160 A - 2 Nos.</t>
  </si>
  <si>
    <t>Phase Sequence Relay (2 C/O) - 160A - 1 no.</t>
  </si>
  <si>
    <t>AUTO PHASE CORRECTION CIRCUIT (with Auto-Manual provision) - ATS LOGIC</t>
  </si>
  <si>
    <t>3.3.1</t>
  </si>
  <si>
    <t>FP ATS (Auto C/O) - 63 A - 1 No.</t>
  </si>
  <si>
    <t>3.3.2</t>
  </si>
  <si>
    <t>FP ATS (Auto C/O) - 100 A - 1 No.</t>
  </si>
  <si>
    <t>3.3.3</t>
  </si>
  <si>
    <t>FP ATS (Auto C/O) - 125 A - 1 No.</t>
  </si>
  <si>
    <t>3.3.4</t>
  </si>
  <si>
    <t>FP ATS (Auto C/O) - 160 A - 1 No.</t>
  </si>
  <si>
    <t>Phase Sequence Relay (2 C/O) - 160 A - 1 no.</t>
  </si>
  <si>
    <t>PART ‘3’  TOTAL CARRIED TO SUMMARY</t>
  </si>
  <si>
    <t>4 : DISTRIBUTION BOARDS</t>
  </si>
  <si>
    <t>Providing Lighting / UPS / Power Distribution Boards (Double Door) suitable for 415V, 50 Hz system. Dust and vermin proof having floor / wall mounting cubicle pattern with removable gland plates, with 1 set of 100 amps Copper Bus Bar, Earth and Neutral Link etc as required.</t>
  </si>
  <si>
    <t>ALL MCBS SHALL BE "C"  TYPE AND RATED AT 10kA</t>
  </si>
  <si>
    <t>4.1.1</t>
  </si>
  <si>
    <t>UPS DB :</t>
  </si>
  <si>
    <t>4.1.1.a</t>
  </si>
  <si>
    <t>For 3 Phase UPS</t>
  </si>
  <si>
    <t>TPN, 4 Way</t>
  </si>
  <si>
    <t>I/c:- 63 A TPN MCB.</t>
  </si>
  <si>
    <t xml:space="preserve"> O/g. 10/16/20 A SPMCB:- 12 nos.</t>
  </si>
  <si>
    <t>OR</t>
  </si>
  <si>
    <t>4.1.1.b</t>
  </si>
  <si>
    <t xml:space="preserve">For 1 Phase UPS </t>
  </si>
  <si>
    <t>SPN, 16 Way</t>
  </si>
  <si>
    <t>I/c:- 63 A DP MCB.</t>
  </si>
  <si>
    <t>4.1.2</t>
  </si>
  <si>
    <t>SPN, 12 Way</t>
  </si>
  <si>
    <t>I/c:- 40 A DP MCB/ELCB</t>
  </si>
  <si>
    <t>O/g.  10/16 A SPMCB- 6 nos.</t>
  </si>
  <si>
    <t>4.1.3</t>
  </si>
  <si>
    <t>Power  DB :</t>
  </si>
  <si>
    <t>4.1.3.a</t>
  </si>
  <si>
    <t xml:space="preserve">I/c:-  63 A TPN MCB </t>
  </si>
  <si>
    <t>O/g - 3 nos 32A DP RCCB 100mA</t>
  </si>
  <si>
    <t>O/g.   16/20 A SPMCB:- 12 nos. (4 nos per phase)</t>
  </si>
  <si>
    <t>4.1.3.b</t>
  </si>
  <si>
    <t>O/g - 3 nos 40A DP RCCB 100mA</t>
  </si>
  <si>
    <t>O/g.   16/20 A SPMCB:- 18 nos. (6 nos per phase)</t>
  </si>
  <si>
    <t>4.1.4</t>
  </si>
  <si>
    <t>Lighting  DB :</t>
  </si>
  <si>
    <t>4.1.4.a</t>
  </si>
  <si>
    <t>O/g - 3 nos 32A DP RCCB 30mA</t>
  </si>
  <si>
    <t>O/g.   10 A SPMCB:- 12 nos. (4 nos per phase)</t>
  </si>
  <si>
    <t>4.1.4.b</t>
  </si>
  <si>
    <t>O/g.   10 A SPMCB:- 18 nos. (6 nos per phase)</t>
  </si>
  <si>
    <t>PART ‘4’  TOTAL CARRIED TO SUMMARY</t>
  </si>
  <si>
    <t>5 : CABLES &amp; TERMINATIONS</t>
  </si>
  <si>
    <t xml:space="preserve">Supply , Installation of 1100V Grade PVC insulated , PVC sheathed GI wire armored Aluminium/ copper standard conductor , Cable of following sizes to be laid in on wall complete with dressing saddling clamping etc. Including civil work and required accessories. </t>
  </si>
  <si>
    <t>5.1.1</t>
  </si>
  <si>
    <t>3½ Core 120 sq.mm  1.1 KV Grade Aluminium Ar. Cable</t>
  </si>
  <si>
    <t>Mtrs.</t>
  </si>
  <si>
    <t>5.1.2</t>
  </si>
  <si>
    <t>3½ Core 95 sq.mm  1.1 KV Grade Aluminium Ar. Cable</t>
  </si>
  <si>
    <t>5.1.3</t>
  </si>
  <si>
    <t>3½ Core 70 sq.mm  1.1 KV Grade Aluminium Ar. Cable</t>
  </si>
  <si>
    <t>5.1.4</t>
  </si>
  <si>
    <t>3½ Core 50 sq.mm 1.1 KV Grade Aluminium Ar. Cable</t>
  </si>
  <si>
    <t>5.1.5</t>
  </si>
  <si>
    <t>4 Core 35 sq.mm 1.1 KV Grade Aluminium Ar. Cable</t>
  </si>
  <si>
    <t>5.1.6</t>
  </si>
  <si>
    <t>4 Core 25 sq.mm 1.1 KV Grade Aluminium Ar. Cable</t>
  </si>
  <si>
    <t>5.1.7</t>
  </si>
  <si>
    <t>4 Core 16 sq.mm 1.1 KV Grade Aluminium Ar. Cable</t>
  </si>
  <si>
    <t>5.1.8</t>
  </si>
  <si>
    <t>4 Core 10 sq.mm 1.1 KV Grade Aluminium Ar. Cable</t>
  </si>
  <si>
    <t>5.1.9</t>
  </si>
  <si>
    <t>4 Core 10 sq.mm 1.1 KV Grade Copper Ar. Cable</t>
  </si>
  <si>
    <t>5.1.10</t>
  </si>
  <si>
    <t>4 Core 6 sq.mm 1.1 KV Grade Copper Ar. Cable</t>
  </si>
  <si>
    <t>5.1.11</t>
  </si>
  <si>
    <t>4 Core 4 sq.mm  1.1 KV Grade Copper Ar. Cable</t>
  </si>
  <si>
    <t>5.1.12</t>
  </si>
  <si>
    <t>3 Core 6 sq.mm  1.1 KV Grade Copper Ar. Cable</t>
  </si>
  <si>
    <t>5.1.13</t>
  </si>
  <si>
    <t>1 Core 35 sq. mm. copper flexible cable</t>
  </si>
  <si>
    <t>5.1.14</t>
  </si>
  <si>
    <t>1 Core 25 sq.mm. copper flexible cable</t>
  </si>
  <si>
    <t>5.1.15</t>
  </si>
  <si>
    <t>1 Core 16 sq.mm. copper flexible cable</t>
  </si>
  <si>
    <t>5.1.16</t>
  </si>
  <si>
    <t>1 Core 10 sq.mm. copper flexible cable</t>
  </si>
  <si>
    <t>5.2.</t>
  </si>
  <si>
    <t xml:space="preserve">End termination of the following sizes of 1100V, Aluminium/copper (as per conductor), PVC insulated and sheathed armoured cables with single compression brass cable glands &amp; crimping type Aluminum / Copper lugs, complete with all hardware etc. One end connection of a cable (with 3/4 core) to be consider as 1 end termination.  </t>
  </si>
  <si>
    <t>5.2.1</t>
  </si>
  <si>
    <t>5.2.2</t>
  </si>
  <si>
    <t>5.2.3</t>
  </si>
  <si>
    <t>5.2.4</t>
  </si>
  <si>
    <t>5.2.5</t>
  </si>
  <si>
    <t>5.2.6</t>
  </si>
  <si>
    <t>5.2.7</t>
  </si>
  <si>
    <t>Nos</t>
  </si>
  <si>
    <t>5.2.8</t>
  </si>
  <si>
    <t>5.2.9</t>
  </si>
  <si>
    <t>5.2.10</t>
  </si>
  <si>
    <t>5.2.11</t>
  </si>
  <si>
    <t>5.2.12</t>
  </si>
  <si>
    <t>5.2.13</t>
  </si>
  <si>
    <t>5.2.14</t>
  </si>
  <si>
    <t>5.2.15</t>
  </si>
  <si>
    <t>5.2.16</t>
  </si>
  <si>
    <t>PART ‘5’  TOTAL CARRIED TO SUMMARY</t>
  </si>
  <si>
    <t xml:space="preserve">6 : CABLING FOR CCTV, PAS AND FAS </t>
  </si>
  <si>
    <t>CCTV</t>
  </si>
  <si>
    <t>6.1.1</t>
  </si>
  <si>
    <t>2 Core 1.0 sq.mm. FRLS, tinned copper, armoured cable. For camera power supply.</t>
  </si>
  <si>
    <t>6.1.2</t>
  </si>
  <si>
    <t>RG59 FRLS, tinned copper, armoured cable for video transmission / TV connection (if any)</t>
  </si>
  <si>
    <t>6.1.3</t>
  </si>
  <si>
    <t>RG 59 FRLS tinned copper , flexible cable for video transmission through the conduit (including cost of conduit and its proper installation on ceiling / wall etc.)</t>
  </si>
  <si>
    <t>6.1.4</t>
  </si>
  <si>
    <t>Providing and laying flexible Category 6 (CAT 6) cable for video transmission through the conduit (including cost of conduit and its proper installation on celling / wall etc.) Make : D-Link</t>
  </si>
  <si>
    <t>6.1.5</t>
  </si>
  <si>
    <t>Providing and laying shield Category 6 (CAT 6) cable for video transmission through the conduit (including cost of conduit and its proper installation on celling / wall etc.) Make : D-Link</t>
  </si>
  <si>
    <t>6.1.6</t>
  </si>
  <si>
    <t>Providing and laying armoured Category 6 (CAT 6) cable for video transmission and to be fixed on ceilling &amp; wall with MS clamps &amp; clips at every 1 mtr distance. (Cost of clamps and clips included with the rates) Make : D-Link</t>
  </si>
  <si>
    <t>IAS - Intrusion Alarm System</t>
  </si>
  <si>
    <t>6.2.1</t>
  </si>
  <si>
    <t>4 Core  1 sq.mm. shielded copper  cable in 20 mm rigid PVC Conduit with its accessories such as PVC spacers, saddles, screws, bends, couplings etc.</t>
  </si>
  <si>
    <t>PAS - Panic Alarm System</t>
  </si>
  <si>
    <t>6.3.1</t>
  </si>
  <si>
    <t>2 X 40/36, SWG flexible wire for Speakers connections</t>
  </si>
  <si>
    <t>FAS - Fire Alarm System</t>
  </si>
  <si>
    <t>6.4.1</t>
  </si>
  <si>
    <t>2 Core X 1.5 Sqmm solid bare copper conductor, PVC insulated, Laid up, PVC sheathed, GI round wire armoured and overall FRLS RED colour PVS sheathed cable to IS 1554 Part I latest, Cable shall be cleated on ceiling, walls; laid on trays; concealed in timber partitions etc complete as directed and required to complete the installation. (For FAS)</t>
  </si>
  <si>
    <t>6.4.2</t>
  </si>
  <si>
    <t xml:space="preserve">2 Core X 1.5 Sqmm flexible copper conductor wires laid through conduits (including cost of conduit and its proper installation on ceiling / wall etc.) </t>
  </si>
  <si>
    <t>PART ‘6’  TOTAL CARRIED TO SUMMARY</t>
  </si>
  <si>
    <t>7 : EARTHING  WORK</t>
  </si>
  <si>
    <t>Supplying and fixing following sizes of copper earth strips/cable  complete with connections as required.</t>
  </si>
  <si>
    <t>7.1.1</t>
  </si>
  <si>
    <t>1 core 6 sq.mm copper flexible cable for UPS earthing laid through the conduit.</t>
  </si>
  <si>
    <t>7.1.2</t>
  </si>
  <si>
    <t>1 core 10 sq.mm copper flexible cable for UPS earthing laid through the conduit.</t>
  </si>
  <si>
    <t>7.1.3</t>
  </si>
  <si>
    <t>25 mm x 3 mm copper strip</t>
  </si>
  <si>
    <t>7.1.4</t>
  </si>
  <si>
    <t xml:space="preserve">25 mm x 3 mm G.I. strip </t>
  </si>
  <si>
    <t>7.1.5</t>
  </si>
  <si>
    <t>8 Swg  bare copper conductor laid through the conduit</t>
  </si>
  <si>
    <t>7.1.6</t>
  </si>
  <si>
    <t>14 Swg bare copper conductor laid through the conduit</t>
  </si>
  <si>
    <t>PART ‘7'  TOTAL CARRIED TO SUMMARY</t>
  </si>
  <si>
    <t xml:space="preserve">8 : SERVO BYPASS SWITCH </t>
  </si>
  <si>
    <t>Supplying, installation, testing and commissioning the following type front operated cubicle type front operated panels made out of 14 swg powder coated CRCA Sheet Steel  with adequate space for cables (4 Nos)</t>
  </si>
  <si>
    <t>8.1.1</t>
  </si>
  <si>
    <t xml:space="preserve">80 Amps FP BYPASS - </t>
  </si>
  <si>
    <t>8.1.2</t>
  </si>
  <si>
    <t xml:space="preserve">100 Amps FP BYPASS - </t>
  </si>
  <si>
    <t>8.1.3</t>
  </si>
  <si>
    <t xml:space="preserve">125 Amps FP BYPASS - </t>
  </si>
  <si>
    <t>8.1.4</t>
  </si>
  <si>
    <t xml:space="preserve">160 Amps FP BYPASS - </t>
  </si>
  <si>
    <t>8.1.5</t>
  </si>
  <si>
    <t xml:space="preserve">200 Amps FP BYPASS - </t>
  </si>
  <si>
    <t>PART ‘8’  TOTAL CARRIED TO SUMMARY</t>
  </si>
  <si>
    <t>9 : LIGHTING &amp; POWER POINT WIRING</t>
  </si>
  <si>
    <t xml:space="preserve">Point Wiring : Wiring for the following points with 3 x 1.5 sq.mm PVC Insulated, Copper Wire in 20mm rigid PVC Conduit pipes with its accessories such as PVC spacers, saddles, screws etc. complete with 1 no. 1.5 sq.mm PVC Insulated copper wire to be used as earthing including the cost of switches / back box, plate etc.  
</t>
  </si>
  <si>
    <t>9.1.1</t>
  </si>
  <si>
    <t>9.1.2</t>
  </si>
  <si>
    <t>9.1.3</t>
  </si>
  <si>
    <t>Secondary light point (Two way) looped from 1st light point but inclusive of switch.(3 nos. 1.5 sq.mm PVC ins. Copper cond. Wire in 20mm. Rigid PVC conduit pipe but excluding circuit wiring)</t>
  </si>
  <si>
    <t>Power Point Wiring :</t>
  </si>
  <si>
    <t>9.2.1</t>
  </si>
  <si>
    <t>6 amps Light Plug Outlets :-</t>
  </si>
  <si>
    <t>Providing of  6 amps Modular type Socket and switch(multicountry type), M.S/ G.I Box for housing the above, Modular sheet, earthing the third pin  with 1.00 mm PVC Insulated Copper Conductor as a earth conductor complete in all respects as required. (Cost of wire /pipe/raceways is NOT to be included in this cost)</t>
  </si>
  <si>
    <t>9.2.2</t>
  </si>
  <si>
    <t>9.2.3</t>
  </si>
  <si>
    <t>9.2.4</t>
  </si>
  <si>
    <t>PART ‘9’  TOTAL CARRIED TO SUMMARY</t>
  </si>
  <si>
    <t>10 : POWER SOCKET &amp; SWITCHES</t>
  </si>
  <si>
    <t xml:space="preserve">Supply, Installation, testing, commissioning  of following feeders for Incoming/ outgoing in weatherproof MS sheet box, power sockets etc. </t>
  </si>
  <si>
    <t>10.1.1</t>
  </si>
  <si>
    <t>32 Amps 10ka SPN MCB Housed in M.S Sheet Box.</t>
  </si>
  <si>
    <t>10.1.2</t>
  </si>
  <si>
    <t>63 Amps 10ka FP MCB Housed in M.S Sheet Box.</t>
  </si>
  <si>
    <t>10.1.3</t>
  </si>
  <si>
    <t>3 nos. of 5/15 A power sockets controlled by 1 no. of 15 A switch(multicountry sockets)</t>
  </si>
  <si>
    <t>10.1.4</t>
  </si>
  <si>
    <t>1 nos. of 5/15A power socket controlled by 1 no. of 15 A switch(multicountry sockets)</t>
  </si>
  <si>
    <t>10.1.5</t>
  </si>
  <si>
    <t>3 nos. of 5/15 A power sockets without switch for CCTV power Supply unit(multicountry sockets).</t>
  </si>
  <si>
    <t>10.1.6</t>
  </si>
  <si>
    <t xml:space="preserve">RG -6 T.V Coaxial TV outlet Socket  with Modular sheet and M.S Box included with 2 no.s of 5 Amp socket controlled by 1 No. of 15 Amp switch. </t>
  </si>
  <si>
    <t>10.1.7</t>
  </si>
  <si>
    <t>2 nos. of 5/15 A power sockets controlled by 1 no. of 15 A switch (multicountry sockets for Display TV) Separate circuit for 3 nos of front side TV's to be provided.</t>
  </si>
  <si>
    <t>PART ‘10’  TOTAL CARRIED TO SUMMARY</t>
  </si>
  <si>
    <t>11 : SUBMAINS CIRCUIT WIRING</t>
  </si>
  <si>
    <t>11.1.1</t>
  </si>
  <si>
    <t>2 X 2.5 sqmm and 1 X 1.5 sqmm (set of 8 meter wires)</t>
  </si>
  <si>
    <t>set</t>
  </si>
  <si>
    <t>11.1.2</t>
  </si>
  <si>
    <t>2 X 2.5 sqmm and 1 X 1.5 sqmm (set of 12 meter wires)</t>
  </si>
  <si>
    <t>11.1.3</t>
  </si>
  <si>
    <t>2 X 2.5 sqmm and 1 X 1.5 sqmm (set of 18 meter wires)</t>
  </si>
  <si>
    <t>11.1.4</t>
  </si>
  <si>
    <t>2 X 2.5 sqmm and 1 X 1.5 sqmm (set of 24 meter wires)</t>
  </si>
  <si>
    <t>11.2.1</t>
  </si>
  <si>
    <t>11.2.2</t>
  </si>
  <si>
    <t>11.2.3</t>
  </si>
  <si>
    <t>11.2.4</t>
  </si>
  <si>
    <t>2 X 4 sqmm and 1 X 2.5 sqmm (set of 12 meter wires)</t>
  </si>
  <si>
    <t>11.2.5</t>
  </si>
  <si>
    <t>2 X 4 sqmm and 1 X 2.5 sqmm (set of 18 meter wires)</t>
  </si>
  <si>
    <t>11.2.6</t>
  </si>
  <si>
    <t>2 X 4 sqmm and 1 X 2.5 sqmm (set of 24 meter wires)</t>
  </si>
  <si>
    <t>11.2.7</t>
  </si>
  <si>
    <t>2 X 6 sqmm and 1 X 4 sqmm (set of 12 meter wires)</t>
  </si>
  <si>
    <t>11.2.8</t>
  </si>
  <si>
    <t>2 X 6 sqmm and 1 X 4 sqmm (set of 18 meter wires)</t>
  </si>
  <si>
    <t>11.2.9</t>
  </si>
  <si>
    <t>2 X 6 sqmm and 1 X 4 sqmm (set of 24 meter wires)</t>
  </si>
  <si>
    <t>11.3.1</t>
  </si>
  <si>
    <t>3 core 2.5 sq.mm copper flexible cable ( set of 8 meter Length)</t>
  </si>
  <si>
    <t>11.3.2</t>
  </si>
  <si>
    <t>3 core 2.5 sq.mm copper flexible cable ( set of 12 meter Length)</t>
  </si>
  <si>
    <t>11.3.3</t>
  </si>
  <si>
    <t>3 core 2.5 sq.mm copper flexible cable ( set of 18 meter Length)</t>
  </si>
  <si>
    <t>11.3.4</t>
  </si>
  <si>
    <t>3 core 2.5 sq.mm copper flexible cable ( set of 24 meter Length)</t>
  </si>
  <si>
    <t>PART 11’  TOTAL CARRIED TO SUMMARY</t>
  </si>
  <si>
    <t>12 : LIGHT FITTINGS,EXHAUST FANS ETC.</t>
  </si>
  <si>
    <t>LED Light fittings</t>
  </si>
  <si>
    <t>LED light design should be such that LPD (lighting Power Density) should be below 0.6 W per Sq.ft. at 400 lux level on table top.</t>
  </si>
  <si>
    <t>12.1.1</t>
  </si>
  <si>
    <t>600 x 600mm Recess mounting  LED panel  CRCA powder coated white housing, Slim, aesthetic CRCA powder coated bottom frame, out frame (If requires) Special translucent high transmissivity, non yellowing polycarbonate diffuser, High power, high efficiency LEDs ,Specially designed constant current driver. Lumen output should be 3000 to 4000. Wattage should be inclusive of LED and Driver losses. (cost is including outer frame if lights need to be placed in gypsum celing)</t>
  </si>
  <si>
    <t>Color Temperature 5000-6000K</t>
  </si>
  <si>
    <t>35W - 40W</t>
  </si>
  <si>
    <t>30W - 34W</t>
  </si>
  <si>
    <t>25W - 30W</t>
  </si>
  <si>
    <t>12.1.2</t>
  </si>
  <si>
    <t>Circular recess mounted LED Down lighter  High power, high efficiency Chip-On-Board LED module, High transitivity, non-yellowing PMMA diffuser, Pressure die cast aluminum housing and special, wave shaped radial heat sink, black powder coated, for superior thermal performance, Aesthetic white rim molded in engineering plastic, Specially designed, easy to install mounting clips. Lumen output should be 1000 to 1300 for 16 -18W, 700 - 1000 for 10 - 12W and 600 to 700 for 6 - 8W. Wattage should be inclusive of LED and Driver losses</t>
  </si>
  <si>
    <t xml:space="preserve">16W - 18W </t>
  </si>
  <si>
    <t>10W - 12W</t>
  </si>
  <si>
    <t>6W - 8W</t>
  </si>
  <si>
    <t>12.1.3</t>
  </si>
  <si>
    <t>Rectangular recess mounted LED Down lighter  High power, high efficiency Chip-On-Board LED module, High transitivity, non-yellowing PMMA diffuser, Pressure die cast aluminum housing and special, wave shaped radial heat sink, black powder coated, for superior thermal performance, Aesthetic white rim molded in engineering plastic, Specially designed, easy to install mounting clips. Lumen output should be 1000 to 1300 for 16 -18W, 700 - 1000 for 10 - 12W and 600 to 700 for 6 - 8W. Wattage should be inclusive of LED and Driver losses</t>
  </si>
  <si>
    <t>16W - 18W</t>
  </si>
  <si>
    <t xml:space="preserve">10W - 12W </t>
  </si>
  <si>
    <t xml:space="preserve">6W - 8W </t>
  </si>
  <si>
    <t>12.1.4</t>
  </si>
  <si>
    <t>150mm x 1200mm recess mounting White powder coated  finish CRCA housing with extruded Aluminium lip. High efficiency LEDs with long life. Special translucent satin finish virgin PMMA diffuser, Luminaire system wattage. Specially designed driver. Wattage should be inclusive of LED and Driver losses.</t>
  </si>
  <si>
    <t xml:space="preserve">25W - 28W </t>
  </si>
  <si>
    <t>12.1.5</t>
  </si>
  <si>
    <t>300mm x 1200mm recess mounting White  powder coated finish CRCA housing with extruded Aluminium lip. High efficiency LEDs with long life. Special translucent satin finish virgin PMMA diffuser, Luminaire system wattage  . Specially designed driver. Wattage should be inclusive of LED and Driver losses.</t>
  </si>
  <si>
    <t>12.1.6</t>
  </si>
  <si>
    <t>High power, high efficiency Chip-On-Board LED module LED BAR  type  fitting  for installation in trough lighting (similar to28W T5) for Cove lighting applications</t>
  </si>
  <si>
    <t>Color Temperature 3000-4000K</t>
  </si>
  <si>
    <t xml:space="preserve">10W </t>
  </si>
  <si>
    <t xml:space="preserve">20W </t>
  </si>
  <si>
    <t>20W</t>
  </si>
  <si>
    <t>12.1.7</t>
  </si>
  <si>
    <t>Circular recess mounted Rechargable LED emergency Down lighter High power, high efficiency Chip-On-Board LED module, High transitivity, non-yellowing PMMA diffuser, Pressure die cast aluminum housing and special, wave shaped radial heat sink, black powder coated, for superior thermal performance, Aesthetic white rim molded in engineering plastic, Specially designed, easy to install mounting clips. Lumen output should be 1000 to 1300 for 16 -18W, 700 - 1000 for 10 - 12W and 600 to 700 for 6 - 8W. Wattage should be inclusive of LED and Driver losses</t>
  </si>
  <si>
    <t>12.1.8</t>
  </si>
  <si>
    <t>12.1.9</t>
  </si>
  <si>
    <t>12.1.10</t>
  </si>
  <si>
    <t>Supply &amp; Installation of bracket fan 400 mm sweep, oscillating type with all fixing accessories, blades etc. complete. Make:- Usha, Crompton, Bajaj, Khaitan.</t>
  </si>
  <si>
    <t>12.1.11</t>
  </si>
  <si>
    <t>Supply &amp; Installation of pedestal fan 400 mm sweep, oscillating type with all fixing accessories, blades etc. complete. Make:- Usha, Crompton, Bajaj, Khaitan</t>
  </si>
  <si>
    <t>PART ‘12’  TOTAL CARRIED TO SUMMARY</t>
  </si>
  <si>
    <t>13 : RACEWAYS ,CONDUITS, CASSING-CAPPING</t>
  </si>
  <si>
    <t xml:space="preserve">Supply &amp; Installation of totally concealed underfloor Al./G.I Trunking. Trunking to be of the following sizes.  Excavation &amp; refilling cost is NOT to be included.  The same is to be done by Civil agency. Thickness of underfloor raceways shall be 1.60mm up to 38 mm depth and 2.0mm above 40mm depth
</t>
  </si>
  <si>
    <t>13.1.1</t>
  </si>
  <si>
    <t>65 mm x 35  mm x 1.6mm</t>
  </si>
  <si>
    <t>13.1.2</t>
  </si>
  <si>
    <t>80 mm x 40 mm x 2.0mm</t>
  </si>
  <si>
    <t>13.1.3</t>
  </si>
  <si>
    <t>100 mm x 40  mm x 2.00mm</t>
  </si>
  <si>
    <t>13.1.4</t>
  </si>
  <si>
    <t>150mm x 38mm x 1.6 mm G.I Floor Raceway</t>
  </si>
  <si>
    <t>13.1.5</t>
  </si>
  <si>
    <t>300mm x 38mm x 2.0 mm G.I Floor Raceway</t>
  </si>
  <si>
    <t>Supply &amp; Installation of Floor Junction Boxes fabricated out of GI  / M.S Sheet (Powder Coated) of the following sizes as required complete with 3mm Thick SS Sheet Cover as required.</t>
  </si>
  <si>
    <t>13.2.1</t>
  </si>
  <si>
    <t>100 x 100 mm</t>
  </si>
  <si>
    <t>13.2.2</t>
  </si>
  <si>
    <t>150 x 150 mm</t>
  </si>
  <si>
    <t>13.2.3</t>
  </si>
  <si>
    <t>200 x 200 mm</t>
  </si>
  <si>
    <t>13.2.4</t>
  </si>
  <si>
    <t>300 x 300 mm</t>
  </si>
  <si>
    <t>Supply &amp; Installation of totally concealed underfloor rigid PVC pipes of MMS gauge of following sizes.</t>
  </si>
  <si>
    <t>13.3.1</t>
  </si>
  <si>
    <t>20 mm</t>
  </si>
  <si>
    <t>13.3.2</t>
  </si>
  <si>
    <t>25 mm</t>
  </si>
  <si>
    <t>13.3.3</t>
  </si>
  <si>
    <t>32 mm</t>
  </si>
  <si>
    <t>Supply &amp; Installation of the  PVC casing capping over the wall, partition from junction box to power point</t>
  </si>
  <si>
    <t>13.4.1</t>
  </si>
  <si>
    <t xml:space="preserve">25 mm </t>
  </si>
  <si>
    <t>13.4.2</t>
  </si>
  <si>
    <t xml:space="preserve">50 mm </t>
  </si>
  <si>
    <t>Supplying and fixing of the following sizes of G.I Cable Trays , complete with threaded hangers, nuts bolts, washers and couplers as required  for fixing of cable trays.</t>
  </si>
  <si>
    <t>13.5.1</t>
  </si>
  <si>
    <t xml:space="preserve">300 mm X 40mm x 40 mm x1.6 mm </t>
  </si>
  <si>
    <t>R. Mtr</t>
  </si>
  <si>
    <t>13.5.2</t>
  </si>
  <si>
    <t>150mm  x 40mm x 40mm  x 1.6 mm</t>
  </si>
  <si>
    <t>13.5.3</t>
  </si>
  <si>
    <t>100mm  x 40mm x 40mm  x 1.6 mm</t>
  </si>
  <si>
    <t>Supply &amp; Installation of totally concealed underfloor / Wall rigid GI pipes conduits of of following sizes.</t>
  </si>
  <si>
    <t>13.6.1</t>
  </si>
  <si>
    <t>13.6.2</t>
  </si>
  <si>
    <t>PART ‘13’  TOTAL CARRIED TO SUMMARY</t>
  </si>
  <si>
    <t>PART -</t>
  </si>
  <si>
    <t>14 : FIRE FIGHTING WORKS</t>
  </si>
  <si>
    <t>PART ‘14’  TOTAL CARRIED TO SUMMARY</t>
  </si>
  <si>
    <t>15 : MISCELLANEOUS WORK</t>
  </si>
  <si>
    <t>Retaining one electrician at site till completion of IT installation and Branch launch activities.</t>
  </si>
  <si>
    <t>per month per person</t>
  </si>
  <si>
    <t xml:space="preserve">Provide and fixing of air curtain at main entrance door with Remote and inbuild  sensor with effective height of 7 ft to 9 ft having noise level up to 50 db and maximum air flow velocity up to 21 m/s at nozzel. </t>
  </si>
  <si>
    <t xml:space="preserve">size 900 x 230 x 220, CFM 825 </t>
  </si>
  <si>
    <t xml:space="preserve">No.s </t>
  </si>
  <si>
    <t>size 1200 x 230 x 220, CFM 1100</t>
  </si>
  <si>
    <t xml:space="preserve">size 1500 x 230 x 220,  CFM 1380 </t>
  </si>
  <si>
    <t xml:space="preserve">Set </t>
  </si>
  <si>
    <t>PART ‘15’  TOTAL CARRIED TO SUMMARY</t>
  </si>
  <si>
    <t>Total Cost of Electrification and Allied Works</t>
  </si>
  <si>
    <t>Chess Board</t>
  </si>
  <si>
    <t>Dart Board</t>
  </si>
  <si>
    <t>Conference Room Table</t>
  </si>
  <si>
    <t>Pantry Table</t>
  </si>
  <si>
    <t>Back Painted Glass Divider</t>
  </si>
  <si>
    <t>HDMI Cable</t>
  </si>
  <si>
    <t>Mtr</t>
  </si>
  <si>
    <t xml:space="preserve">LED Profile </t>
  </si>
  <si>
    <t>Rft</t>
  </si>
  <si>
    <t>Photo Frame</t>
  </si>
  <si>
    <t>Total Cost of Additional works</t>
  </si>
  <si>
    <t>PARTICULARS</t>
  </si>
  <si>
    <t>NO</t>
  </si>
  <si>
    <t>L</t>
  </si>
  <si>
    <t>B/D</t>
  </si>
  <si>
    <t>QTY</t>
  </si>
  <si>
    <t>Hub Room Old Tiles</t>
  </si>
  <si>
    <t>Gents Washroom</t>
  </si>
  <si>
    <t>Pantry</t>
  </si>
  <si>
    <t>Conference Room</t>
  </si>
  <si>
    <t>CH Cabin Wall</t>
  </si>
  <si>
    <t>RM Wall</t>
  </si>
  <si>
    <t>RM near Window</t>
  </si>
  <si>
    <t>RM Area Column 1 &amp; 2</t>
  </si>
  <si>
    <t>RM Area Cloumn 3, 4 &amp; 5</t>
  </si>
  <si>
    <t>Server Window Granite 7 x 3</t>
  </si>
  <si>
    <t>Store Window Granite 4 x 3</t>
  </si>
  <si>
    <t>Store Door Frame 7 x 3</t>
  </si>
  <si>
    <t>Ladies Window Granite 5.5 x 4</t>
  </si>
  <si>
    <t xml:space="preserve">Gents Window Granite 2 x 3 </t>
  </si>
  <si>
    <t>Gents Window Granite 4 x 4</t>
  </si>
  <si>
    <t>Pantry Window Granite 4 x 4 - 2nos / 5.5 x 4 / 2 x 3</t>
  </si>
  <si>
    <t>Conf Window Granite 2 x 3 - 4nos</t>
  </si>
  <si>
    <t>CH Window Granite 2 x 3</t>
  </si>
  <si>
    <t>RM Window Granite 2 x 3</t>
  </si>
  <si>
    <t xml:space="preserve">TOTAL </t>
  </si>
  <si>
    <t>Store Room</t>
  </si>
  <si>
    <t>Deduction - Door</t>
  </si>
  <si>
    <t>Ladies Washroom</t>
  </si>
  <si>
    <t>Deduction - Window</t>
  </si>
  <si>
    <t>Hub Entry Column</t>
  </si>
  <si>
    <t>Graphic Wall</t>
  </si>
  <si>
    <t>Hub Room</t>
  </si>
  <si>
    <t>Deduction - Column</t>
  </si>
  <si>
    <t>Pantry near Wash Basin</t>
  </si>
  <si>
    <t xml:space="preserve">CH Cabin </t>
  </si>
  <si>
    <t>RM</t>
  </si>
  <si>
    <t>Windows - Server / Store / Ladies / Gents -2 / Pantry -4 / Conf- 4 / CH / RM</t>
  </si>
  <si>
    <t>Door - Pantry</t>
  </si>
  <si>
    <t>For Plumbing</t>
  </si>
  <si>
    <t xml:space="preserve">Do-do as 2(a) above but 150mm thk  siporex / AAC / Aerocon / light weight block wall </t>
  </si>
  <si>
    <t>Hub Room Window</t>
  </si>
  <si>
    <t>Hub Room Entry</t>
  </si>
  <si>
    <t xml:space="preserve">Hub Room </t>
  </si>
  <si>
    <t>Electric Room</t>
  </si>
  <si>
    <t>Utility Entry</t>
  </si>
  <si>
    <t>Store Room Wall</t>
  </si>
  <si>
    <t>Gents Wall</t>
  </si>
  <si>
    <t>Ladies Entry Wall</t>
  </si>
  <si>
    <t>Store Room Window</t>
  </si>
  <si>
    <t>Ladies Wall Near Column</t>
  </si>
  <si>
    <t xml:space="preserve">Ladies Window </t>
  </si>
  <si>
    <t>Gents Window</t>
  </si>
  <si>
    <t>Pantry Wall</t>
  </si>
  <si>
    <t xml:space="preserve">Pantry Window </t>
  </si>
  <si>
    <t>Conf Window</t>
  </si>
  <si>
    <t>CH Windpw</t>
  </si>
  <si>
    <t>RM Window</t>
  </si>
  <si>
    <t>Misc</t>
  </si>
  <si>
    <t>P/A 1:4 cement plaster</t>
  </si>
  <si>
    <t>Wall Construction</t>
  </si>
  <si>
    <t>Ladies Column</t>
  </si>
  <si>
    <t>Existing Wall in Ladies Column</t>
  </si>
  <si>
    <t>Existing Wall in Gents</t>
  </si>
  <si>
    <t>Deduction - Windows</t>
  </si>
  <si>
    <t>CH Cabin</t>
  </si>
  <si>
    <t>RM Area</t>
  </si>
  <si>
    <t>RM Arear near Window</t>
  </si>
  <si>
    <t>P/A waterproofing treatment for toilets , pantry counter</t>
  </si>
  <si>
    <t>Ladies - Floor</t>
  </si>
  <si>
    <t>Ladies - Wall</t>
  </si>
  <si>
    <t>Deduction - Ladies Door</t>
  </si>
  <si>
    <t>Gents - Floor</t>
  </si>
  <si>
    <t>Gents - Wall</t>
  </si>
  <si>
    <t>Deduction - Gents Door</t>
  </si>
  <si>
    <t>Basin Counter</t>
  </si>
  <si>
    <t>Basin Counter Wall</t>
  </si>
  <si>
    <t>Proving and Laying brick bat coba up to 150mm thk</t>
  </si>
  <si>
    <t xml:space="preserve"> </t>
  </si>
  <si>
    <t>P/E Plain cement concrete</t>
  </si>
  <si>
    <t>Conf Room</t>
  </si>
  <si>
    <t>RM Window Area</t>
  </si>
  <si>
    <t>Lift Area</t>
  </si>
  <si>
    <t xml:space="preserve">Proving and Laying 1000mm x 1000mm / 800mm X 800 mm Vitrified floor tiles  </t>
  </si>
  <si>
    <t xml:space="preserve">Branch / ATM Area </t>
  </si>
  <si>
    <t>Staircase Area</t>
  </si>
  <si>
    <t>Deductions</t>
  </si>
  <si>
    <t>Server room</t>
  </si>
  <si>
    <t>Store room</t>
  </si>
  <si>
    <t>Antilobby</t>
  </si>
  <si>
    <t>Lift Lobby</t>
  </si>
  <si>
    <t>Anti-skid and anti-dust vitrified  tile Flooring</t>
  </si>
  <si>
    <t xml:space="preserve">Proving and Laying 600mm x 600mm anti-skid and Anti-dust Vitrified floor tiles </t>
  </si>
  <si>
    <t>Ground Floor</t>
  </si>
  <si>
    <t>Antilobby floor</t>
  </si>
  <si>
    <t>Antilobby wall</t>
  </si>
  <si>
    <t>Cafeteria Wall</t>
  </si>
  <si>
    <t>Deduction - Electric Panel</t>
  </si>
  <si>
    <t>Deduction - Graphic Wall</t>
  </si>
  <si>
    <t>Balcony Area</t>
  </si>
  <si>
    <t>Similar as 9_b_i but for providing and fixing 75mm high skirting/border.</t>
  </si>
  <si>
    <t>Providing fixing Vinyl Anti-Static flooring 2mm thick (flexible roll) -Armstrong/LG/Tusker  -</t>
  </si>
  <si>
    <t>Conference room</t>
  </si>
  <si>
    <t>Deduction</t>
  </si>
  <si>
    <t>P/F Raised access floor (false floor app. 150 mm to 230 mm high) .</t>
  </si>
  <si>
    <t xml:space="preserve">Server </t>
  </si>
  <si>
    <t xml:space="preserve">Providing and applying covering on flooring for floor protection </t>
  </si>
  <si>
    <t>Branch</t>
  </si>
  <si>
    <t>Providing &amp; fixing 600mm deep pantry counter</t>
  </si>
  <si>
    <t>Pantry counter</t>
  </si>
  <si>
    <t xml:space="preserve">Providing &amp; Fixing of size 450mm X 900mm both sides polished divider </t>
  </si>
  <si>
    <t>Gents</t>
  </si>
  <si>
    <t xml:space="preserve">Providing &amp; Laying 150mm wide Jet black Granite Threshold at ATM and Main Entrance </t>
  </si>
  <si>
    <t>Ladies</t>
  </si>
  <si>
    <t>Store</t>
  </si>
  <si>
    <t>Office Entry</t>
  </si>
  <si>
    <t>Staircase</t>
  </si>
  <si>
    <t>Providing &amp; Laying 75 mm wide  Black granite Threshold for Toilets &amp; Pantry.  (Basic Cost of Jet black granite upto Rs. 180/- sq.ft)</t>
  </si>
  <si>
    <t>Pantry Door</t>
  </si>
  <si>
    <t>Sill &amp; jambs to windows / Doors.Providing and laying in required positions black granite of 18mm thk. Upto 2100mm in length (double piece),</t>
  </si>
  <si>
    <t>Ladies Washrooom</t>
  </si>
  <si>
    <t xml:space="preserve">Providing and fixing first quality European Water closet with attached cisten of Dual Flush Cistern </t>
  </si>
  <si>
    <t xml:space="preserve">Providing and fixing heavy duty pillar cock for pantry </t>
  </si>
  <si>
    <t xml:space="preserve">Providing and fixing angular stopcock </t>
  </si>
  <si>
    <t xml:space="preserve">Providing and fixing heavy duty C.P. brass short body bibcock (two in one) </t>
  </si>
  <si>
    <t>providing and fixing of heavy duty bottle trap.</t>
  </si>
  <si>
    <t xml:space="preserve">Providing and fixing heavy duty  pillar cock for washbasins </t>
  </si>
  <si>
    <t xml:space="preserve">Providing and fixing aerators Shower Flow Aerator (Spray) </t>
  </si>
  <si>
    <t>Providing and fixing hand type Jet Spray with adjustable nozzle</t>
  </si>
  <si>
    <t xml:space="preserve">Providing &amp; laying CPVC pipes with screwed sockets, joints, and necessary pvc fittings such as socket, elbows, bends, tees etc., including making/ drilling holes in walls/ slabs and remaking good the damages in original conditions. The rate is inclusive of necessary scaffolding ( Make :  Astral / Precision / Prince ) </t>
  </si>
  <si>
    <t>Supplying and fixing  of PVC Pipe of SWR Grade of approved company including all necessary fitting fixed with GI Clamp making necessary holes in valets, refilling the same with concrete making good the damaged portions with matching plaster complete in all respects.  The rate is inclusive of scaffolding. ( Make :  Astral / Precision / Prince )</t>
  </si>
  <si>
    <t xml:space="preserve">Chasing work in the existing brick/siporex up to 200mm wide and max to 75mm deep, </t>
  </si>
  <si>
    <t>Pantry - 6' x 6nos + 4' x 1nos / Server -6' x 1nos / Antilobby - 6' x 1nos / Store - 6' x 1nos</t>
  </si>
  <si>
    <t>Trenching work as per width and depth required.</t>
  </si>
  <si>
    <t xml:space="preserve">Making punctures in existing brick/siporex block up to 200mm diameter, </t>
  </si>
  <si>
    <t xml:space="preserve">TOILET CUBICLES - Provide and fix Toilet cubicles bottom </t>
  </si>
  <si>
    <t xml:space="preserve">Providing and making Core cut of in RCC slab / Beam of thickness up to 300mm, </t>
  </si>
  <si>
    <t>Plumbing Work - 10 x 35</t>
  </si>
  <si>
    <t>Providing and fixing a desktop model of CO2 Monitoring Unit having CO2</t>
  </si>
  <si>
    <t>Providing and placing medium size self watering ceramic planters (12 Inch)</t>
  </si>
  <si>
    <t>Providing &amp; fixing Vinly Graphic Film of approved make</t>
  </si>
  <si>
    <t>Cafeteria</t>
  </si>
  <si>
    <t>EP wall</t>
  </si>
  <si>
    <t>L wall</t>
  </si>
  <si>
    <t xml:space="preserve">Providing and applying Plaster of Paris punning to wall </t>
  </si>
  <si>
    <t>Electric Panel</t>
  </si>
  <si>
    <t>Gypsum board Ceiling - 12.5mm thk. single layer gypsum board</t>
  </si>
  <si>
    <t>Vertical</t>
  </si>
  <si>
    <t xml:space="preserve">Pantry </t>
  </si>
  <si>
    <t>CH</t>
  </si>
  <si>
    <t>CH Outside</t>
  </si>
  <si>
    <t>Deduction - Grid</t>
  </si>
  <si>
    <t>600mm x 600mm Modular Grid Ceiling :</t>
  </si>
  <si>
    <t>Office Area</t>
  </si>
  <si>
    <t>Near CH</t>
  </si>
  <si>
    <t>Column</t>
  </si>
  <si>
    <t xml:space="preserve">Providing and fixing of full height solid partition </t>
  </si>
  <si>
    <t>Deduction - Glazing</t>
  </si>
  <si>
    <t>Storage</t>
  </si>
  <si>
    <t>Deduction - Storage Area</t>
  </si>
  <si>
    <t xml:space="preserve">CH </t>
  </si>
  <si>
    <t>Façade</t>
  </si>
  <si>
    <t>RM Side Façade</t>
  </si>
  <si>
    <t xml:space="preserve">DORMA WC profile single glazed fixed partition for 12 mm toughened glass </t>
  </si>
  <si>
    <t>Pantry Entry</t>
  </si>
  <si>
    <t>Façade Road Side</t>
  </si>
  <si>
    <t>Façade Near RM</t>
  </si>
  <si>
    <t>P/F paneling with Aluminium frame work of 18 gauge of size 50mm x 38mm</t>
  </si>
  <si>
    <t>Portal</t>
  </si>
  <si>
    <t>Portal Side</t>
  </si>
  <si>
    <t>Deduction - Beam</t>
  </si>
  <si>
    <t>Balcony till RM</t>
  </si>
  <si>
    <t>Top</t>
  </si>
  <si>
    <t>Window Sides</t>
  </si>
  <si>
    <t>Providing and fixing 6mm thk back painted glass (extra clear glass)</t>
  </si>
  <si>
    <t>Entry</t>
  </si>
  <si>
    <t>RM Lobby</t>
  </si>
  <si>
    <t>Outside Conf</t>
  </si>
  <si>
    <t>Office &amp; Pantry</t>
  </si>
  <si>
    <t xml:space="preserve">CH cabin </t>
  </si>
  <si>
    <t>Store / Washroom Antilobby</t>
  </si>
  <si>
    <t xml:space="preserve">same as item 4.c-(i) but with out vision panel for toilets and wash rooms. </t>
  </si>
  <si>
    <t>Gents / Ladies</t>
  </si>
  <si>
    <t>approx size upto 1050 mm x 2100 mm (server room)</t>
  </si>
  <si>
    <t>CH cabin</t>
  </si>
  <si>
    <t xml:space="preserve">RM Tables - 1200 mm width x 600 mm deep
</t>
  </si>
  <si>
    <t>Same as above item no. 5.h.ii Conference room table having  approximate size of table 2700mm x 1050mm.</t>
  </si>
  <si>
    <t>Office area</t>
  </si>
  <si>
    <t xml:space="preserve">Providing and fixing 450mm deep full height storage unit ( 2100mm high) </t>
  </si>
  <si>
    <t>HKC</t>
  </si>
  <si>
    <t xml:space="preserve">Storage top made of 25mm thk prelaminated particle board frosty white color </t>
  </si>
  <si>
    <t>Cluster head</t>
  </si>
  <si>
    <t>Conference area</t>
  </si>
  <si>
    <t>Open Office</t>
  </si>
  <si>
    <t>Steel Slotted Angle Racks</t>
  </si>
  <si>
    <t xml:space="preserve">Providing and fixing shutters below pantry counter </t>
  </si>
  <si>
    <t>Basin</t>
  </si>
  <si>
    <t xml:space="preserve">Providing and fixing DB shutters </t>
  </si>
  <si>
    <t>Electrical Panel</t>
  </si>
  <si>
    <t xml:space="preserve">Providing and fixing tricolour (Silver - Red - Grey) Aluminium Composite Panels (ACP) </t>
  </si>
  <si>
    <t xml:space="preserve">Shutter 1 </t>
  </si>
  <si>
    <t>Shutter 2</t>
  </si>
  <si>
    <t>Elect Panel</t>
  </si>
  <si>
    <t>External Façade</t>
  </si>
  <si>
    <t>Staircase periphery</t>
  </si>
  <si>
    <t xml:space="preserve">Supplying &amp; fixing in position Aluminium extruder two track sliding windows </t>
  </si>
  <si>
    <t xml:space="preserve">Providing and fixing 12thk. Soft board </t>
  </si>
  <si>
    <t>Providing and fixing 6mm thk back painted glass</t>
  </si>
  <si>
    <t xml:space="preserve">Supplying and fixing roller fabric blinds </t>
  </si>
  <si>
    <t>RM Façade</t>
  </si>
  <si>
    <t>Window</t>
  </si>
  <si>
    <t>Providing and fixing of frosted film on glass as per design - make 3M # 7725324</t>
  </si>
  <si>
    <t>Pantry &amp; Office Door</t>
  </si>
  <si>
    <t xml:space="preserve">Providing and fixing flawless 6 mm thk. mirror of approved quality . </t>
  </si>
  <si>
    <t xml:space="preserve">Providing &amp; fixing Steel signage SS 304 in Brush finish </t>
  </si>
  <si>
    <t>IGBC / pantry/Store/Ladies/Gents/Elect/ Server</t>
  </si>
  <si>
    <t>Providing and fixing in place key hanging box of size 600mm x 675mm</t>
  </si>
  <si>
    <t>Supply of carpenter on monthly basis</t>
  </si>
  <si>
    <t xml:space="preserve">Providing and fixing 12 mm Chair / Corner Guard </t>
  </si>
  <si>
    <t>Lobby</t>
  </si>
  <si>
    <t>Work stations</t>
  </si>
  <si>
    <t>Providing and applying desired paint luster finish to walls,  of approved shade</t>
  </si>
  <si>
    <t>Punning Qnty</t>
  </si>
  <si>
    <t>Same as item (a) but applying acrylic emulsion paint on the ceiling</t>
  </si>
  <si>
    <t>Gypsum Ceiling</t>
  </si>
  <si>
    <t>Balcony</t>
  </si>
  <si>
    <t>Washroom</t>
  </si>
  <si>
    <t>Shutter</t>
  </si>
  <si>
    <t xml:space="preserve">The surface of wall or ceiling to be painted </t>
  </si>
  <si>
    <t>Wall</t>
  </si>
  <si>
    <t>Wall Around Lift Opp Side</t>
  </si>
  <si>
    <t xml:space="preserve">Wall Around Lift </t>
  </si>
  <si>
    <t>Wall Around Lift Opp Side near Office entry</t>
  </si>
  <si>
    <t>Wall Around Lift</t>
  </si>
  <si>
    <t>Ceiling Near Pantry</t>
  </si>
  <si>
    <t>Ceiling Near Office</t>
  </si>
  <si>
    <t>LIST OF MATERIALS &amp; APPROVED BRANDS FOR HDFC Bank</t>
  </si>
  <si>
    <t>Material</t>
  </si>
  <si>
    <t>IMP Criteria</t>
  </si>
  <si>
    <t>Approved brands</t>
  </si>
  <si>
    <t>Civil Items</t>
  </si>
  <si>
    <t>Cement</t>
  </si>
  <si>
    <t>Green Pro Certification</t>
  </si>
  <si>
    <r>
      <rPr>
        <b/>
        <u/>
        <sz val="10"/>
        <rFont val="Calibri"/>
        <charset val="134"/>
        <scheme val="minor"/>
      </rPr>
      <t>ACC</t>
    </r>
    <r>
      <rPr>
        <sz val="10"/>
        <rFont val="Calibri"/>
        <charset val="134"/>
        <scheme val="minor"/>
      </rPr>
      <t xml:space="preserve">
1. ACC Suraksha Power
2. ACC Gold Water Shield
3. ACC F2R Superfast
4. ACC HPC Long Life
5. ACC Concrete+ Xtra Strong
</t>
    </r>
    <r>
      <rPr>
        <b/>
        <u/>
        <sz val="10"/>
        <rFont val="Calibri"/>
        <charset val="134"/>
        <scheme val="minor"/>
      </rPr>
      <t xml:space="preserve">
JK Lakshmi Cement Ltd</t>
    </r>
    <r>
      <rPr>
        <sz val="10"/>
        <rFont val="Calibri"/>
        <charset val="134"/>
        <scheme val="minor"/>
      </rPr>
      <t xml:space="preserve">
1. COC
2. PPC
3. Sixer
4. HDP
5. PHDP
6. Platinum
7. PSC
8. PRO Plus
</t>
    </r>
    <r>
      <rPr>
        <b/>
        <u/>
        <sz val="10"/>
        <rFont val="Calibri"/>
        <charset val="134"/>
        <scheme val="minor"/>
      </rPr>
      <t xml:space="preserve">UltraTech Cement Limited
</t>
    </r>
    <r>
      <rPr>
        <sz val="10"/>
        <rFont val="Calibri"/>
        <charset val="134"/>
        <scheme val="minor"/>
      </rPr>
      <t xml:space="preserve">1. UltraTech Premium, Composite Cement
2. UltraTech Weather Plus, Composite Cement
3. UltraTech Weather Plus, Portland Pozzolana Cement
4. UltraTech, Composite Cement
5. UltraTech, Portland Pozzolana Cement
</t>
    </r>
    <r>
      <rPr>
        <b/>
        <u/>
        <sz val="10"/>
        <rFont val="Calibri"/>
        <charset val="134"/>
        <scheme val="minor"/>
      </rPr>
      <t>Dalmia Cement</t>
    </r>
    <r>
      <rPr>
        <sz val="10"/>
        <rFont val="Calibri"/>
        <charset val="134"/>
        <scheme val="minor"/>
      </rPr>
      <t xml:space="preserve">
1. Vajram Cement - Portland Pozzolana Cement (PPC)
</t>
    </r>
    <r>
      <rPr>
        <b/>
        <u/>
        <sz val="10"/>
        <rFont val="Calibri"/>
        <charset val="134"/>
        <scheme val="minor"/>
      </rPr>
      <t>JSW Cement Ltd</t>
    </r>
    <r>
      <rPr>
        <sz val="10"/>
        <rFont val="Calibri"/>
        <charset val="134"/>
        <scheme val="minor"/>
      </rPr>
      <t xml:space="preserve">
1. portland Slag Cement 
2. Composite Cement</t>
    </r>
  </si>
  <si>
    <t>Ready Mixed Concrete</t>
  </si>
  <si>
    <r>
      <rPr>
        <b/>
        <sz val="10"/>
        <rFont val="Calibri"/>
        <charset val="134"/>
        <scheme val="minor"/>
      </rPr>
      <t xml:space="preserve">ACC :
</t>
    </r>
    <r>
      <rPr>
        <sz val="10"/>
        <rFont val="Calibri"/>
        <charset val="134"/>
        <scheme val="minor"/>
      </rPr>
      <t xml:space="preserve">
ACC ECOPACT 
ACC Feathercrete
ACC Fillcrete
ACC Flowcrete
ACC Permicrete
</t>
    </r>
    <r>
      <rPr>
        <b/>
        <sz val="10"/>
        <rFont val="Calibri"/>
        <charset val="134"/>
        <scheme val="minor"/>
      </rPr>
      <t xml:space="preserve">ULTRATECH : 
</t>
    </r>
    <r>
      <rPr>
        <sz val="10"/>
        <rFont val="Calibri"/>
        <charset val="134"/>
        <scheme val="minor"/>
      </rPr>
      <t xml:space="preserve">Ultratech Duracon
Ultratech Flowfill
Ultratech Free flow
Ultratech Hypercon
</t>
    </r>
  </si>
  <si>
    <t>Aerocon Block</t>
  </si>
  <si>
    <r>
      <rPr>
        <b/>
        <u/>
        <sz val="10"/>
        <rFont val="Calibri"/>
        <charset val="134"/>
        <scheme val="minor"/>
      </rPr>
      <t>Ultra Tech</t>
    </r>
    <r>
      <rPr>
        <sz val="10"/>
        <rFont val="Calibri"/>
        <charset val="134"/>
        <scheme val="minor"/>
      </rPr>
      <t xml:space="preserve">
1. Extralite- AAC Blocks 
</t>
    </r>
    <r>
      <rPr>
        <b/>
        <u/>
        <sz val="10"/>
        <rFont val="Calibri"/>
        <charset val="134"/>
        <scheme val="minor"/>
      </rPr>
      <t>JK Lakshmi Cement Ltd</t>
    </r>
    <r>
      <rPr>
        <sz val="10"/>
        <rFont val="Calibri"/>
        <charset val="134"/>
        <scheme val="minor"/>
      </rPr>
      <t xml:space="preserve">
1.JK Smartblox
</t>
    </r>
    <r>
      <rPr>
        <b/>
        <u/>
        <sz val="10"/>
        <rFont val="Calibri"/>
        <charset val="134"/>
        <scheme val="minor"/>
      </rPr>
      <t>Godrej</t>
    </r>
    <r>
      <rPr>
        <u/>
        <sz val="10"/>
        <rFont val="Calibri"/>
        <charset val="134"/>
        <scheme val="minor"/>
      </rPr>
      <t xml:space="preserve">
</t>
    </r>
    <r>
      <rPr>
        <sz val="10"/>
        <rFont val="Calibri"/>
        <charset val="134"/>
        <scheme val="minor"/>
      </rPr>
      <t xml:space="preserve">1. Tuff Blocks
</t>
    </r>
    <r>
      <rPr>
        <b/>
        <u/>
        <sz val="10"/>
        <rFont val="Calibri"/>
        <charset val="134"/>
        <scheme val="minor"/>
      </rPr>
      <t>JVS Comatsco Industries Pvt. Ltd</t>
    </r>
    <r>
      <rPr>
        <sz val="10"/>
        <rFont val="Calibri"/>
        <charset val="134"/>
        <scheme val="minor"/>
      </rPr>
      <t xml:space="preserve">
1. Ecolite AAC Blocks
</t>
    </r>
    <r>
      <rPr>
        <b/>
        <u/>
        <sz val="10"/>
        <rFont val="Calibri"/>
        <charset val="134"/>
        <scheme val="minor"/>
      </rPr>
      <t xml:space="preserve"> KD Infra</t>
    </r>
    <r>
      <rPr>
        <sz val="10"/>
        <rFont val="Calibri"/>
        <charset val="134"/>
        <scheme val="minor"/>
      </rPr>
      <t xml:space="preserve">
1.Brikolite AAC Block
</t>
    </r>
    <r>
      <rPr>
        <b/>
        <u/>
        <sz val="10"/>
        <rFont val="Calibri"/>
        <charset val="134"/>
        <scheme val="minor"/>
      </rPr>
      <t xml:space="preserve"> UAL Industries Ltd</t>
    </r>
    <r>
      <rPr>
        <sz val="10"/>
        <rFont val="Calibri"/>
        <charset val="134"/>
        <scheme val="minor"/>
      </rPr>
      <t xml:space="preserve">
 1.KON_CRETE AAC blocks</t>
    </r>
    <r>
      <rPr>
        <b/>
        <u/>
        <sz val="10"/>
        <rFont val="Calibri"/>
        <charset val="134"/>
        <scheme val="minor"/>
      </rPr>
      <t xml:space="preserve">
UltraTech Cement Limited
</t>
    </r>
    <r>
      <rPr>
        <sz val="10"/>
        <rFont val="Calibri"/>
        <charset val="134"/>
        <scheme val="minor"/>
      </rPr>
      <t xml:space="preserve">1. Xtralite - AAC Blocks
</t>
    </r>
    <r>
      <rPr>
        <u/>
        <sz val="10"/>
        <rFont val="Calibri"/>
        <charset val="134"/>
        <scheme val="minor"/>
      </rPr>
      <t xml:space="preserve">Zuari Cement Limited 
</t>
    </r>
    <r>
      <rPr>
        <sz val="10"/>
        <rFont val="Calibri"/>
        <charset val="134"/>
        <scheme val="minor"/>
      </rPr>
      <t>1. Super lite- AACblocks</t>
    </r>
  </si>
  <si>
    <t xml:space="preserve">Waterproofing </t>
  </si>
  <si>
    <t>NA</t>
  </si>
  <si>
    <t>Pedilite /Roff</t>
  </si>
  <si>
    <t xml:space="preserve">False Flooring </t>
  </si>
  <si>
    <t>United insulation /Flexi floor (aet) / Kebao / Innerspace</t>
  </si>
  <si>
    <t>Bubble sheet</t>
  </si>
  <si>
    <t>Cello</t>
  </si>
  <si>
    <t>SS Sink</t>
  </si>
  <si>
    <t>Nirali</t>
  </si>
  <si>
    <t>Sanitarywares &amp; Faucets</t>
  </si>
  <si>
    <t>Pillar cock</t>
  </si>
  <si>
    <t>Water Flow Rate at 3 Bar pressure</t>
  </si>
  <si>
    <r>
      <rPr>
        <b/>
        <u/>
        <sz val="10"/>
        <rFont val="Book Antiqua"/>
        <charset val="134"/>
      </rPr>
      <t>Jaguar</t>
    </r>
    <r>
      <rPr>
        <sz val="10"/>
        <rFont val="Book Antiqua"/>
        <charset val="134"/>
      </rPr>
      <t xml:space="preserve">
Use Jaquar Make with model no. 021KN</t>
    </r>
    <r>
      <rPr>
        <b/>
        <sz val="10"/>
        <rFont val="Book Antiqua"/>
        <charset val="134"/>
      </rPr>
      <t>G</t>
    </r>
    <r>
      <rPr>
        <sz val="10"/>
        <rFont val="Book Antiqua"/>
        <charset val="134"/>
      </rPr>
      <t xml:space="preserve"> with flow rate of 2.5 LPM @ pressure of 3 Bar. </t>
    </r>
    <r>
      <rPr>
        <b/>
        <sz val="10"/>
        <rFont val="Book Antiqua"/>
        <charset val="134"/>
      </rPr>
      <t>Pl note Suffix G in model no.</t>
    </r>
    <r>
      <rPr>
        <b/>
        <u/>
        <sz val="10"/>
        <rFont val="Book Antiqua"/>
        <charset val="134"/>
      </rPr>
      <t xml:space="preserve"> is critical</t>
    </r>
    <r>
      <rPr>
        <b/>
        <sz val="10"/>
        <rFont val="Book Antiqua"/>
        <charset val="134"/>
      </rPr>
      <t xml:space="preserve"> to get desired flow rate.
</t>
    </r>
    <r>
      <rPr>
        <b/>
        <u/>
        <sz val="10"/>
        <rFont val="Book Antiqua"/>
        <charset val="134"/>
      </rPr>
      <t xml:space="preserve">Cera 
</t>
    </r>
    <r>
      <rPr>
        <sz val="10"/>
        <rFont val="Book Antiqua"/>
        <charset val="134"/>
      </rPr>
      <t xml:space="preserve">F2013101- FOUNTAIN - Pillar cock with aerator 
F1001101- PLATINUM - Pillar cock with aerator 
F1015101-VICTOR - Pillar cock with aerator 
</t>
    </r>
    <r>
      <rPr>
        <b/>
        <u/>
        <sz val="10"/>
        <rFont val="Book Antiqua"/>
        <charset val="134"/>
      </rPr>
      <t xml:space="preserve">Hindware : 
</t>
    </r>
    <r>
      <rPr>
        <sz val="10"/>
        <rFont val="Book Antiqua"/>
        <charset val="134"/>
      </rPr>
      <t xml:space="preserve">F730002CP : Contessa Neo Pillar Cock Long Neck
F740001CP : Dove Pillar cock
</t>
    </r>
  </si>
  <si>
    <t>Sink cock</t>
  </si>
  <si>
    <r>
      <rPr>
        <b/>
        <u/>
        <sz val="10"/>
        <rFont val="Book Antiqua"/>
        <charset val="134"/>
      </rPr>
      <t>Jaguar</t>
    </r>
    <r>
      <rPr>
        <sz val="10"/>
        <rFont val="Book Antiqua"/>
        <charset val="134"/>
      </rPr>
      <t xml:space="preserve">
Use Jaquar Make and same model with Suffix GD (like 349 KNGD) with flow rate of 3.8 LPM @ pressure of 3 Bar. </t>
    </r>
    <r>
      <rPr>
        <b/>
        <sz val="10"/>
        <rFont val="Book Antiqua"/>
        <charset val="134"/>
      </rPr>
      <t xml:space="preserve">Pl note Suffix GD in model no. </t>
    </r>
    <r>
      <rPr>
        <b/>
        <u/>
        <sz val="10"/>
        <rFont val="Book Antiqua"/>
        <charset val="134"/>
      </rPr>
      <t>is critical</t>
    </r>
    <r>
      <rPr>
        <b/>
        <sz val="10"/>
        <rFont val="Book Antiqua"/>
        <charset val="134"/>
      </rPr>
      <t xml:space="preserve"> to get desired flow rate.
</t>
    </r>
    <r>
      <rPr>
        <b/>
        <u/>
        <sz val="10"/>
        <rFont val="Book Antiqua"/>
        <charset val="134"/>
      </rPr>
      <t xml:space="preserve">Cera 
</t>
    </r>
    <r>
      <rPr>
        <sz val="10"/>
        <rFont val="Book Antiqua"/>
        <charset val="134"/>
      </rPr>
      <t xml:space="preserve">F1016251-CHELSEA - Sink cock (wall mounted) with 200 mm (8″) long swivel spout and wall flange 
F1002251 - CARBON - Sink cock (wall mounted) with 150 mm (6″) long swivel spout and aerator
F2013251 -  FOUNTAIN - Sink cock (wall mounted) with 150 mm (6″) long swivel spout and aerator 
</t>
    </r>
    <r>
      <rPr>
        <b/>
        <u/>
        <sz val="10"/>
        <rFont val="Book Antiqua"/>
        <charset val="134"/>
      </rPr>
      <t xml:space="preserve">Hindware 
</t>
    </r>
    <r>
      <rPr>
        <sz val="10"/>
        <rFont val="Book Antiqua"/>
        <charset val="134"/>
      </rPr>
      <t>F200024CP :Classik Sink Cock With Swivel Casted Spout (Wall Mounted)
F120021CP :Axxis Sink Cock With Normal Swinging Spout (Wall Mounted)</t>
    </r>
  </si>
  <si>
    <t>Two way bib cock</t>
  </si>
  <si>
    <r>
      <rPr>
        <b/>
        <u/>
        <sz val="10"/>
        <rFont val="Book Antiqua"/>
        <charset val="134"/>
      </rPr>
      <t>Jaguar</t>
    </r>
    <r>
      <rPr>
        <sz val="10"/>
        <rFont val="Book Antiqua"/>
        <charset val="134"/>
      </rPr>
      <t xml:space="preserve">
Use Jaquar Make with model no. 043N</t>
    </r>
    <r>
      <rPr>
        <b/>
        <sz val="10"/>
        <rFont val="Book Antiqua"/>
        <charset val="134"/>
      </rPr>
      <t>G</t>
    </r>
    <r>
      <rPr>
        <sz val="10"/>
        <rFont val="Book Antiqua"/>
        <charset val="134"/>
      </rPr>
      <t xml:space="preserve"> with flow rate of 2.5 LPM @ pressure of 3 Ba</t>
    </r>
    <r>
      <rPr>
        <b/>
        <sz val="10"/>
        <rFont val="Book Antiqua"/>
        <charset val="134"/>
      </rPr>
      <t xml:space="preserve">r. Pl note Suffix G in model no. </t>
    </r>
    <r>
      <rPr>
        <b/>
        <u/>
        <sz val="10"/>
        <rFont val="Book Antiqua"/>
        <charset val="134"/>
      </rPr>
      <t>is critical</t>
    </r>
    <r>
      <rPr>
        <b/>
        <sz val="10"/>
        <rFont val="Book Antiqua"/>
        <charset val="134"/>
      </rPr>
      <t xml:space="preserve"> to get desired flow rate.
</t>
    </r>
    <r>
      <rPr>
        <b/>
        <u/>
        <sz val="10"/>
        <rFont val="Book Antiqua"/>
        <charset val="134"/>
      </rPr>
      <t xml:space="preserve">Cera 
</t>
    </r>
    <r>
      <rPr>
        <sz val="10"/>
        <rFont val="Book Antiqua"/>
        <charset val="134"/>
      </rPr>
      <t xml:space="preserve">F2013163-FOUNTAIN - 2-way Bib cock with single handle and wall flange 
F1003161- TITANUM - 2-Way bib cock with wall flange and aerator 
</t>
    </r>
    <r>
      <rPr>
        <b/>
        <u/>
        <sz val="10"/>
        <rFont val="Book Antiqua"/>
        <charset val="134"/>
      </rPr>
      <t>Hindware :</t>
    </r>
    <r>
      <rPr>
        <sz val="10"/>
        <rFont val="Book Antiqua"/>
        <charset val="134"/>
      </rPr>
      <t xml:space="preserve">
F200004CP :Classik Bib Cock 2 In 1
F120003CP :Axxis Bib Cock 2 In 1
</t>
    </r>
  </si>
  <si>
    <t>Angle cock</t>
  </si>
  <si>
    <r>
      <rPr>
        <b/>
        <u/>
        <sz val="10"/>
        <color rgb="FF000000"/>
        <rFont val="Arial"/>
        <charset val="134"/>
      </rPr>
      <t xml:space="preserve">Jaguar : 
</t>
    </r>
    <r>
      <rPr>
        <sz val="10"/>
        <color rgb="FF000000"/>
        <rFont val="Arial"/>
        <charset val="134"/>
      </rPr>
      <t xml:space="preserve">CON-CHR-059KN
</t>
    </r>
    <r>
      <rPr>
        <sz val="10"/>
        <color rgb="FF000000"/>
        <rFont val="Arial"/>
        <charset val="134"/>
      </rPr>
      <t xml:space="preserve">
</t>
    </r>
    <r>
      <rPr>
        <b/>
        <u/>
        <sz val="10"/>
        <color rgb="FF000000"/>
        <rFont val="Arial"/>
        <charset val="134"/>
      </rPr>
      <t xml:space="preserve">Hindware :
</t>
    </r>
    <r>
      <rPr>
        <sz val="10"/>
        <color rgb="FF000000"/>
        <rFont val="Arial"/>
        <charset val="134"/>
      </rPr>
      <t xml:space="preserve">F200005CP :Classik Angular Stop Cock
</t>
    </r>
  </si>
  <si>
    <t>Concealed stop cock</t>
  </si>
  <si>
    <r>
      <rPr>
        <b/>
        <u/>
        <sz val="10"/>
        <color rgb="FF000000"/>
        <rFont val="Arial"/>
        <charset val="134"/>
      </rPr>
      <t xml:space="preserve">Jaguar : 
</t>
    </r>
    <r>
      <rPr>
        <sz val="10"/>
        <color rgb="FF000000"/>
        <rFont val="Arial"/>
        <charset val="134"/>
      </rPr>
      <t xml:space="preserve">CON-CHR-083FTK
</t>
    </r>
    <r>
      <rPr>
        <sz val="10"/>
        <color rgb="FF000000"/>
        <rFont val="Arial"/>
        <charset val="134"/>
      </rPr>
      <t xml:space="preserve">
</t>
    </r>
    <r>
      <rPr>
        <b/>
        <u/>
        <sz val="10"/>
        <color rgb="FF000000"/>
        <rFont val="Arial"/>
        <charset val="134"/>
      </rPr>
      <t xml:space="preserve">Hindware :
</t>
    </r>
    <r>
      <rPr>
        <sz val="10"/>
        <color rgb="FF000000"/>
        <rFont val="Arial"/>
        <charset val="134"/>
      </rPr>
      <t xml:space="preserve">F200007CP : Classik Concealed Stop Cock- 15 / 20 mm
</t>
    </r>
  </si>
  <si>
    <t>Urinal - Flush Valve</t>
  </si>
  <si>
    <t xml:space="preserve">Water Flow Rate </t>
  </si>
  <si>
    <r>
      <rPr>
        <b/>
        <u/>
        <sz val="10"/>
        <rFont val="Book Antiqua"/>
        <charset val="134"/>
      </rPr>
      <t>Jaguar</t>
    </r>
    <r>
      <rPr>
        <sz val="10"/>
        <rFont val="Book Antiqua"/>
        <charset val="134"/>
      </rPr>
      <t xml:space="preserve">
Use Jaquar Make with model no. 077</t>
    </r>
    <r>
      <rPr>
        <b/>
        <sz val="10"/>
        <rFont val="Book Antiqua"/>
        <charset val="134"/>
      </rPr>
      <t>G</t>
    </r>
    <r>
      <rPr>
        <sz val="10"/>
        <rFont val="Book Antiqua"/>
        <charset val="134"/>
      </rPr>
      <t xml:space="preserve"> with flow rate of 1.5 LPF. </t>
    </r>
    <r>
      <rPr>
        <b/>
        <sz val="10"/>
        <rFont val="Book Antiqua"/>
        <charset val="134"/>
      </rPr>
      <t xml:space="preserve">Pl note Suffix G in model no. is critical to get desired flow rate.
</t>
    </r>
    <r>
      <rPr>
        <b/>
        <u/>
        <sz val="10"/>
        <rFont val="Book Antiqua"/>
        <charset val="134"/>
      </rPr>
      <t xml:space="preserve">Cera - </t>
    </r>
    <r>
      <rPr>
        <sz val="10"/>
        <rFont val="Book Antiqua"/>
        <charset val="134"/>
      </rPr>
      <t xml:space="preserve">
F9020203 : Self closing angle cock pressmatic for urinal with wall flange and 200 mm connecting pipe </t>
    </r>
    <r>
      <rPr>
        <b/>
        <sz val="10"/>
        <rFont val="Book Antiqua"/>
        <charset val="134"/>
      </rPr>
      <t xml:space="preserve">
</t>
    </r>
  </si>
  <si>
    <t>Tower rail (450 mm)</t>
  </si>
  <si>
    <t>ACN-1111BNM</t>
  </si>
  <si>
    <t>Towel ring</t>
  </si>
  <si>
    <t>ACN-CHR-1121N</t>
  </si>
  <si>
    <t>Soap dispenser</t>
  </si>
  <si>
    <t>ACN-CHR-1135N</t>
  </si>
  <si>
    <t>Toilet roll holder</t>
  </si>
  <si>
    <t>ACN-CHR-1153S</t>
  </si>
  <si>
    <t>Hook</t>
  </si>
  <si>
    <t>ANC-1161N</t>
  </si>
  <si>
    <t>Jet spray</t>
  </si>
  <si>
    <r>
      <rPr>
        <b/>
        <u/>
        <sz val="10"/>
        <rFont val="Book Antiqua"/>
        <charset val="134"/>
      </rPr>
      <t>Jaguar</t>
    </r>
    <r>
      <rPr>
        <sz val="10"/>
        <rFont val="Book Antiqua"/>
        <charset val="134"/>
      </rPr>
      <t xml:space="preserve">
Use Jaquar Make with model no.</t>
    </r>
    <r>
      <rPr>
        <b/>
        <sz val="10"/>
        <rFont val="Book Antiqua"/>
        <charset val="134"/>
      </rPr>
      <t xml:space="preserve"> 565GA</t>
    </r>
    <r>
      <rPr>
        <sz val="10"/>
        <rFont val="Book Antiqua"/>
        <charset val="134"/>
      </rPr>
      <t xml:space="preserve"> with flow rate of 6 LPM @ pressure of 3 Bar. </t>
    </r>
    <r>
      <rPr>
        <b/>
        <sz val="10"/>
        <rFont val="Book Antiqua"/>
        <charset val="134"/>
      </rPr>
      <t xml:space="preserve">Pl note Suffix GA in model no. is critical to get desired flow rate.
</t>
    </r>
    <r>
      <rPr>
        <b/>
        <u/>
        <sz val="10"/>
        <rFont val="Book Antiqua"/>
        <charset val="134"/>
      </rPr>
      <t xml:space="preserve">Cera
</t>
    </r>
    <r>
      <rPr>
        <sz val="10"/>
        <rFont val="Book Antiqua"/>
        <charset val="134"/>
      </rPr>
      <t>F8030101 / F8030102 / F8030103 / F8030104AB /F8030105AB / F8030109AB - Health Faucet ABS body with 1 meter SS braided connection pipe</t>
    </r>
  </si>
  <si>
    <t>Waste coupling</t>
  </si>
  <si>
    <t>ACD-709</t>
  </si>
  <si>
    <t>Bottle trap</t>
  </si>
  <si>
    <t>ACD-769L300x190</t>
  </si>
  <si>
    <t>Connector pipe</t>
  </si>
  <si>
    <t>ACD-805B</t>
  </si>
  <si>
    <t>Nirali - Grace plain - Small (485mm x 410mm) glossy</t>
  </si>
  <si>
    <t>8.17a</t>
  </si>
  <si>
    <t>Wall hung Water closet (Ceramic Fitting)</t>
  </si>
  <si>
    <t xml:space="preserve">Hindware - ATHENS One Piece Closet 92511/ Mario Extended Wall Mounted Closet 20084 / Element 92082 /Florence Coupled Closet 92058 / Constellation Extended Wall Mounted Closet 20028.
Cera - CAMPBELL S1021109 S Trap 120 mm S1021110 P Trap/ CURTIS S1031111 P Trap / </t>
  </si>
  <si>
    <t>8.17b</t>
  </si>
  <si>
    <t>Water Closet With Flush Valve</t>
  </si>
  <si>
    <t>Water Flow rate</t>
  </si>
  <si>
    <r>
      <rPr>
        <b/>
        <u/>
        <sz val="10"/>
        <color rgb="FF000000"/>
        <rFont val="Calibri"/>
        <charset val="134"/>
        <scheme val="minor"/>
      </rPr>
      <t xml:space="preserve">Jaguar
</t>
    </r>
    <r>
      <rPr>
        <sz val="10"/>
        <color rgb="FF000000"/>
        <rFont val="Calibri"/>
        <charset val="134"/>
        <scheme val="minor"/>
      </rPr>
      <t xml:space="preserve"> Suggesting use of jaguar make with model number 1085G, 1085SQG, 1085DFPG, 1089G, 1089SQG, 1089DFPG (for flush valves) with flow rates of 4/2 LPF. Pl note Suffix G in model no is critical to get desired flow rate.
</t>
    </r>
    <r>
      <rPr>
        <b/>
        <u/>
        <sz val="10"/>
        <color rgb="FF000000"/>
        <rFont val="Calibri"/>
        <charset val="134"/>
        <scheme val="minor"/>
      </rPr>
      <t>Cera:</t>
    </r>
    <r>
      <rPr>
        <sz val="10"/>
        <color rgb="FF000000"/>
        <rFont val="Calibri"/>
        <charset val="134"/>
        <scheme val="minor"/>
      </rPr>
      <t xml:space="preserve">
F8010106 : Flush valve concealed push type (Double  flow) 25 mm (1”)  4/2 LPF</t>
    </r>
  </si>
  <si>
    <t>8.17c</t>
  </si>
  <si>
    <t>Water Closet With Cistern</t>
  </si>
  <si>
    <r>
      <rPr>
        <b/>
        <u/>
        <sz val="10"/>
        <color rgb="FF000000"/>
        <rFont val="Calibri"/>
        <charset val="134"/>
        <scheme val="minor"/>
      </rPr>
      <t xml:space="preserve">Cera </t>
    </r>
    <r>
      <rPr>
        <sz val="10"/>
        <color rgb="FF000000"/>
        <rFont val="Calibri"/>
        <charset val="134"/>
        <scheme val="minor"/>
      </rPr>
      <t xml:space="preserve">
S1021103 + S1060101 - Calibre deluxe ewc-S + Calibre cistern
 S1021104 + S1060104 -Callaghan two pc ewc-S + Callaghan cistern
 S1013110 - Campbell one pc ewc-S 110 mm 
 S1021120 + B1020105 - Curtis two pc ewc-S
S1021113 + S1060106 - Cruse two pc ewc-S
S1041105 - Compact wall hung
S1031111 + B1020105 - Curtis wall hung with Curtis PVC Cistern
S1021132 + S1060122 - Cimberly two piece Water closet-S trap with Cimberly cistern
</t>
    </r>
    <r>
      <rPr>
        <b/>
        <u/>
        <sz val="10"/>
        <color rgb="FF000000"/>
        <rFont val="Calibri"/>
        <charset val="134"/>
        <scheme val="minor"/>
      </rPr>
      <t xml:space="preserve">Hindware 
</t>
    </r>
    <r>
      <rPr>
        <sz val="10"/>
        <color rgb="FF000000"/>
        <rFont val="Calibri"/>
        <charset val="134"/>
        <scheme val="minor"/>
      </rPr>
      <t xml:space="preserve">Cleo - S-190/220
ESSENCE - 92051 
 ENIGMA SLIM 92502 
ELEMENT 92081  </t>
    </r>
  </si>
  <si>
    <t>Wall mounted / Table top Wash basin</t>
  </si>
  <si>
    <t xml:space="preserve">Hindware - Compac 10004 / Cleo 10012 WHITE
CERA Wash basins - CHIME S2040139 / CAMMY : S2090127 /  CORBA : S2020104 </t>
  </si>
  <si>
    <t>Urinal</t>
  </si>
  <si>
    <t>CERA Sanitaryware - URINAL Urinal Flat Back with integrated EFS 360 x 330 x 740 mm (S4010101)
Hindware : 60020 : FB- Eureka Standard Urinal</t>
  </si>
  <si>
    <t>Under counter wash basin</t>
  </si>
  <si>
    <t>Hindware Round 10065 / Zen 10049 WHITE / Cera</t>
  </si>
  <si>
    <t>PVC/ CPVC/UPVC pipe</t>
  </si>
  <si>
    <t>Astral / Prince / Precision</t>
  </si>
  <si>
    <t xml:space="preserve">Anti Termite </t>
  </si>
  <si>
    <t>PCI / Hicare</t>
  </si>
  <si>
    <t xml:space="preserve">Tiles </t>
  </si>
  <si>
    <r>
      <rPr>
        <b/>
        <u/>
        <sz val="10"/>
        <rFont val="Calibri"/>
        <charset val="134"/>
        <scheme val="minor"/>
      </rPr>
      <t xml:space="preserve">Somany :
</t>
    </r>
    <r>
      <rPr>
        <sz val="10"/>
        <rFont val="Calibri"/>
        <charset val="134"/>
        <scheme val="minor"/>
      </rPr>
      <t xml:space="preserve">Ultra Charge -Vitro -  Milky White (800 x 800) 
Ultra charge - Vitro - Berlineta White ( 800 x 800 ) 
Delmon Beige - (600 x 600) </t>
    </r>
    <r>
      <rPr>
        <b/>
        <u/>
        <sz val="10"/>
        <rFont val="Calibri"/>
        <charset val="134"/>
        <scheme val="minor"/>
      </rPr>
      <t xml:space="preserve">
Prism Johnson
</t>
    </r>
    <r>
      <rPr>
        <sz val="10"/>
        <rFont val="Calibri"/>
        <charset val="134"/>
        <scheme val="minor"/>
      </rPr>
      <t xml:space="preserve">JOHNSON MARBONITE - DOUBLE CHARGE
JOHNSON REFLECTO
</t>
    </r>
    <r>
      <rPr>
        <b/>
        <u/>
        <sz val="10"/>
        <rFont val="Calibri"/>
        <charset val="134"/>
        <scheme val="minor"/>
      </rPr>
      <t xml:space="preserve">Nitco </t>
    </r>
    <r>
      <rPr>
        <sz val="10"/>
        <rFont val="Calibri"/>
        <charset val="134"/>
        <scheme val="minor"/>
      </rPr>
      <t xml:space="preserve">
Duracottura Tiles
Wall Tiles
</t>
    </r>
  </si>
  <si>
    <t xml:space="preserve">Armstrong/Tusker </t>
  </si>
  <si>
    <t>Carpentry Items</t>
  </si>
  <si>
    <t>BWR Plywood</t>
  </si>
  <si>
    <t>Vidya Ply and Board Pvt Ltd , Samrat,</t>
  </si>
  <si>
    <t>Commercial Plywood 
Plywood with "Free of Urea Formaldehyde"</t>
  </si>
  <si>
    <t xml:space="preserve">Free of Urea Formaldehyde , FSC Certified, IGBC Registered </t>
  </si>
  <si>
    <t>Century,V-CAN,Green Ply</t>
  </si>
  <si>
    <t>Marine Plywood
Plywood with "Free of Urea Formaldehyde"</t>
  </si>
  <si>
    <t>Century, Samrat, V-CAN,Green Ply,</t>
  </si>
  <si>
    <t>Partition Framework</t>
  </si>
  <si>
    <t xml:space="preserve">Aluminium sections / India Gypsum : GI METAL FRAME PARTITION SYSTEM </t>
  </si>
  <si>
    <t>Block Board</t>
  </si>
  <si>
    <t xml:space="preserve">Century,Samrat, V-CAN, Vidya Ply and Board Pvt Ltd,Green Ply, </t>
  </si>
  <si>
    <t>Gypsum Board</t>
  </si>
  <si>
    <t xml:space="preserve">Gyproc Saint Gobin : 
Gypboard Plain 
Gypboard Fireline Board
India Gypsum :  
Regular Gypsum Board 
Fire Resistance Gypsum Board
USG Boral : 
</t>
  </si>
  <si>
    <t>Bison Board</t>
  </si>
  <si>
    <t>Bison</t>
  </si>
  <si>
    <t>Flush Door</t>
  </si>
  <si>
    <t xml:space="preserve">Century,Green Ply, Samrat, </t>
  </si>
  <si>
    <t>Laminate</t>
  </si>
  <si>
    <t xml:space="preserve">Century,Green lam, Samrat, Royal Touch, </t>
  </si>
  <si>
    <t>9a</t>
  </si>
  <si>
    <t>Laminate Shade</t>
  </si>
  <si>
    <t xml:space="preserve">Green Certification &amp;  IGBC Registered </t>
  </si>
  <si>
    <t>Century Lam : # 525 - Fusion Maple
Samrat : 485SF #Light Bavarian Beech and 816SF #Mangfall Beech</t>
  </si>
  <si>
    <t>Adhesive For Wood</t>
  </si>
  <si>
    <t>Low VOC or No VOC as per IGBC Norms</t>
  </si>
  <si>
    <t>Fevicol SH / Marine/ Hiper</t>
  </si>
  <si>
    <t>Rubberized Adhesive</t>
  </si>
  <si>
    <t>Fevicol SR / Fevicol Heatx / Ezee Spray / SR-998</t>
  </si>
  <si>
    <t>Clear Float Glass, Toughened glass</t>
  </si>
  <si>
    <t xml:space="preserve">Saint Globain </t>
  </si>
  <si>
    <t xml:space="preserve">Back Painted Glass </t>
  </si>
  <si>
    <t>Saint Globain - Titanium Gray
Asahi : Stone Grey and Sparling Snow White</t>
  </si>
  <si>
    <t>Full glazed toughened glass partition</t>
  </si>
  <si>
    <t>Saint Globain/Asahi / Modiguard</t>
  </si>
  <si>
    <t>Frame toughened glass door fitting</t>
  </si>
  <si>
    <t xml:space="preserve">Acrylic Solid surface </t>
  </si>
  <si>
    <t>LG/Samsung/Dupont/Infini/ Granium</t>
  </si>
  <si>
    <t>LG - Artic White # S006</t>
  </si>
  <si>
    <t>Roller Blinds</t>
  </si>
  <si>
    <t>Fire Rated Door</t>
  </si>
  <si>
    <t xml:space="preserve">Kenwood / Promat </t>
  </si>
  <si>
    <t>Eurobond # Bright Silver - ER 101 Red -ER 107  Silver - ER102</t>
  </si>
  <si>
    <t>Fabric</t>
  </si>
  <si>
    <t>Response - HDFC Blue</t>
  </si>
  <si>
    <t>Aluminium skirting  / chair guard / hat section</t>
  </si>
  <si>
    <t>Bottomline/ Orno</t>
  </si>
  <si>
    <t xml:space="preserve">Modular Furniture </t>
  </si>
  <si>
    <t>BIFMA / Green Guard / Green Pro Certification- (Interior products must produce BIFMA M 7.1, E3 / Green Guard Certificate (Sustainability)</t>
  </si>
  <si>
    <t>AFC Furnitures , PSL  and other brands approved by CPC team</t>
  </si>
  <si>
    <t>Ceiling</t>
  </si>
  <si>
    <r>
      <rPr>
        <b/>
        <sz val="10"/>
        <rFont val="Calibri"/>
        <charset val="134"/>
        <scheme val="minor"/>
      </rPr>
      <t xml:space="preserve">Gyproc Saint Gobin : </t>
    </r>
    <r>
      <rPr>
        <sz val="10"/>
        <rFont val="Calibri"/>
        <charset val="134"/>
        <scheme val="minor"/>
      </rPr>
      <t xml:space="preserve">
Gypboard Plain 
Gypboard Fireline Board
</t>
    </r>
    <r>
      <rPr>
        <b/>
        <sz val="10"/>
        <rFont val="Calibri"/>
        <charset val="134"/>
        <scheme val="minor"/>
      </rPr>
      <t xml:space="preserve">India Gypsum :  </t>
    </r>
    <r>
      <rPr>
        <sz val="10"/>
        <rFont val="Calibri"/>
        <charset val="134"/>
        <scheme val="minor"/>
      </rPr>
      <t xml:space="preserve">
Regular Gypsum Board 
Fire Resistance Gypsum Board
</t>
    </r>
    <r>
      <rPr>
        <b/>
        <sz val="10"/>
        <rFont val="Calibri"/>
        <charset val="134"/>
        <scheme val="minor"/>
      </rPr>
      <t xml:space="preserve">USG Boral : </t>
    </r>
    <r>
      <rPr>
        <sz val="10"/>
        <rFont val="Calibri"/>
        <charset val="134"/>
        <scheme val="minor"/>
      </rPr>
      <t xml:space="preserve">
Sheetrock Gypsum Board
Firebloc Board </t>
    </r>
  </si>
  <si>
    <t>Axiom Trim Channel</t>
  </si>
  <si>
    <t>Armstrong / USG Boral / India Gypsum</t>
  </si>
  <si>
    <t>Metal Ceiling</t>
  </si>
  <si>
    <t xml:space="preserve">Armstrong : 5488P1 / Indian Gypsum :    Aluminium Ceiling Tiles   </t>
  </si>
  <si>
    <t>Modular Grid Ceiling</t>
  </si>
  <si>
    <t>Armstrong -USG Boral :  0.7 NRC</t>
  </si>
  <si>
    <t>Loose Furniture</t>
  </si>
  <si>
    <t xml:space="preserve">Center table , Coffee table. </t>
  </si>
  <si>
    <t>As approved by CPC Team</t>
  </si>
  <si>
    <t>Lounge seating / Sofas / Waiting Area Chair</t>
  </si>
  <si>
    <t>Hardware Items</t>
  </si>
  <si>
    <t>Aluminum Section</t>
  </si>
  <si>
    <t>Jindal / Hindalco / Nalco</t>
  </si>
  <si>
    <t>Floor Springs</t>
  </si>
  <si>
    <t>Environmental Product Declaration is mandetor</t>
  </si>
  <si>
    <t>Dorma/ Hafele / Ozone / Enox</t>
  </si>
  <si>
    <t>Door Closer</t>
  </si>
  <si>
    <t>Dorma - Sap code: 66400101 Description: TS 68 Door Closer with Std Arm EN 2/3/4 Silver / Ozone / Enox</t>
  </si>
  <si>
    <t>Door Stopper</t>
  </si>
  <si>
    <t>Dorma - Sap Code: 9113304: Description Door Stop half dome 45mm dia / Ozone / Enox</t>
  </si>
  <si>
    <t>Magnetic Door Holder</t>
  </si>
  <si>
    <t>Dorma - Sap Code: 9112181 : Description: Magnetic Door Holder,satin chrome finish / Ozone / Enox</t>
  </si>
  <si>
    <t>Glass Handles</t>
  </si>
  <si>
    <t>Dorma - Sap code: 9125510 Description: TGD D 350 X 25 S, Satin SS 304 / Ozone / Enox</t>
  </si>
  <si>
    <t>Dead Lock (for Flush Door)</t>
  </si>
  <si>
    <t>Dorma - Sap code: 9120855 Description: 706 Dead Lock, 55mm Backset , SSS, Escutcheons - 01 Pair, EPC TTK Key -60mm Qty  / Ozone / Enox</t>
  </si>
  <si>
    <t>Dead Lock (for Toilet Door)</t>
  </si>
  <si>
    <t>Dorma - Sap code: 9120855 Description: 706 Dead Lock, 55mm Backset , SSS, Escutcheons - 01 Pair,, One Side Tumb Turn Other side 
Coin Privacy Key -60mm
/ Ozone / Enox</t>
  </si>
  <si>
    <t>Door Hinges - Brass</t>
  </si>
  <si>
    <t>Dorma - sap code 9117214 / Description : BB4330, 5 Kn uckle, 2 Ball bearing butt hinges.Size: 4" x 3" x 3mm Grade SS 304 - Fin ish SSS / Ozone / Enox</t>
  </si>
  <si>
    <t>Cabinet Handles</t>
  </si>
  <si>
    <t>Kitch / Ozone / Enox</t>
  </si>
  <si>
    <t>Shutter Hinges</t>
  </si>
  <si>
    <t>Magnum / Palladium / Haffele / Ozone / Enox</t>
  </si>
  <si>
    <t>Latch</t>
  </si>
  <si>
    <t>Godrej / Tag / Hafele/ Ozone / Enox</t>
  </si>
  <si>
    <t>Tower Bolt</t>
  </si>
  <si>
    <t>Magnum / Palladium / Ozone / Enox</t>
  </si>
  <si>
    <t>Cylindrical Lock</t>
  </si>
  <si>
    <t>Dorma / Ozone / Enox</t>
  </si>
  <si>
    <t>Door Lock</t>
  </si>
  <si>
    <t>Drawer Lock</t>
  </si>
  <si>
    <t>Hafele / Ozone / Vijayan / Godrej/ Enox</t>
  </si>
  <si>
    <t>Pedestal Lock</t>
  </si>
  <si>
    <t>Hafele / Ozone / Vijayan / Godrej / Enox</t>
  </si>
  <si>
    <t>Storage Lock</t>
  </si>
  <si>
    <t>Magnetic Ball Catch</t>
  </si>
  <si>
    <t>Magnum / Palladium/ Enox</t>
  </si>
  <si>
    <t>Aluminum Louvers</t>
  </si>
  <si>
    <t>Jindal / Hindalco / Nalco/ Geeta / Enox</t>
  </si>
  <si>
    <t>Screws</t>
  </si>
  <si>
    <t>GKW / Enox</t>
  </si>
  <si>
    <t>Paint , Ceiling &amp; Flooring Items</t>
  </si>
  <si>
    <t>Acrylic Emulsion Paint</t>
  </si>
  <si>
    <t>Berger / Dulux/Nippon Paints/ Surfa Coats India Limited
/ AkzoNobel India Ltd</t>
  </si>
  <si>
    <t>Plastic Paint</t>
  </si>
  <si>
    <t>Digital VAF meter</t>
  </si>
  <si>
    <t>L&amp;T / Yokins</t>
  </si>
  <si>
    <t>RYB Indicators</t>
  </si>
  <si>
    <t>L&amp;T / Tecknics / Vashno</t>
  </si>
  <si>
    <t xml:space="preserve">Panel tagging </t>
  </si>
  <si>
    <t>Anodised aluminum / Trafolite black on white with etched capital lettering</t>
  </si>
  <si>
    <t>APFC Panel ( Capacitor )</t>
  </si>
  <si>
    <t>L&amp;T / Vishay / Malde / Epcos</t>
  </si>
  <si>
    <t>AC outdoor power supply box enclosure should be IP66 / IP65</t>
  </si>
  <si>
    <t>Devi Polymers / Hensel should be IP66</t>
  </si>
  <si>
    <t>HRC Fuses</t>
  </si>
  <si>
    <t xml:space="preserve">L&amp;T / Schnieder / Siemens </t>
  </si>
  <si>
    <t>Fuse Switch Unit</t>
  </si>
  <si>
    <t>Glands</t>
  </si>
  <si>
    <t>ECG / EMI /Comet</t>
  </si>
  <si>
    <t>Lugs</t>
  </si>
  <si>
    <t>Dowells / Lotus</t>
  </si>
  <si>
    <t>Terminals</t>
  </si>
  <si>
    <t>Essen / Elmex</t>
  </si>
  <si>
    <t>Distribution Board With MCBs</t>
  </si>
  <si>
    <t>Legrand / Siemens /Schnieder/L&amp;T</t>
  </si>
  <si>
    <t>MCCBs</t>
  </si>
  <si>
    <t>ELCB / ELMCBs</t>
  </si>
  <si>
    <t>Industrial Socket Outlet</t>
  </si>
  <si>
    <t>Wires</t>
  </si>
  <si>
    <t>Finolex/ Polycab / KEI</t>
  </si>
  <si>
    <t>Cables</t>
  </si>
  <si>
    <t>PVC Conduit</t>
  </si>
  <si>
    <t>Precision / VIP</t>
  </si>
  <si>
    <t>Flexible Conduit</t>
  </si>
  <si>
    <t>Tubflex / Precision</t>
  </si>
  <si>
    <t>Switch / Socket</t>
  </si>
  <si>
    <t>Anchor - Roma /Legrand / North  West /Gold metal</t>
  </si>
  <si>
    <t>Light Fixtures</t>
  </si>
  <si>
    <t>Lighting Design with Low LPD</t>
  </si>
  <si>
    <t>Wipro/Philips/havells/Bajaj /CG/Panasonic/Halonix/Polycab / Orient / Jaguar / Quadralumen</t>
  </si>
  <si>
    <t>Wall / Pedestal &amp; Ceiling Fans</t>
  </si>
  <si>
    <t>BEE 5 Star rating</t>
  </si>
  <si>
    <t>Usha, Cromptom, Bajaj.</t>
  </si>
  <si>
    <t>Exhaust Fan</t>
  </si>
  <si>
    <t>Bajaj / Usha.</t>
  </si>
  <si>
    <t xml:space="preserve">Air Curtain </t>
  </si>
  <si>
    <t xml:space="preserve">Russell / Euronics </t>
  </si>
  <si>
    <t xml:space="preserve">LED fittings </t>
  </si>
  <si>
    <t xml:space="preserve">ELCB - Sensitivity </t>
  </si>
  <si>
    <t>Sensitivity of the ELCB shall be 30mA for lighting and small power circuits (6A) and 100mA for AC and boiler circuits. Computer power circuits shall be provided with Hi-sense type ELCBs  at 30mA or if not available then 100mA ELCBs</t>
  </si>
  <si>
    <t>Raceway thickness (AL / GI)</t>
  </si>
  <si>
    <t>Underfloor raceways shall be 1.60mm up to 38mm depth and 2.0 mm above 40mm depth</t>
  </si>
  <si>
    <t>Panel / Cables / DB Tagging</t>
  </si>
  <si>
    <t>Panel / all DB's / Main power cables should be tagged properly with Anodised aluminum / Trafolite black on white plate / phenolic tagging only will be permitted.</t>
  </si>
  <si>
    <r>
      <t xml:space="preserve">Do-do as 2(a) above but 100mm thk  siporex / AAC / Aerocon / light weight block wall </t>
    </r>
    <r>
      <rPr>
        <b/>
        <sz val="10"/>
        <color rgb="FF00B0F0"/>
        <rFont val="Cambria"/>
        <family val="1"/>
        <scheme val="major"/>
      </rPr>
      <t>(Green Pro certified make approved by bank or CPC team as exception/ Refer make and model sheet,aerocon blocks)</t>
    </r>
  </si>
  <si>
    <r>
      <t xml:space="preserve">Do-do as 2(a) above but 150mm thk  siporex / AAC / Aerocon / light weight block wall </t>
    </r>
    <r>
      <rPr>
        <b/>
        <sz val="10"/>
        <color rgb="FF00B0F0"/>
        <rFont val="Cambria"/>
        <family val="1"/>
        <scheme val="major"/>
      </rPr>
      <t>(Green Pro certified make approved by bank or CPC team as exception/ Refer make and model sheet,aerocon blocks)</t>
    </r>
  </si>
  <si>
    <r>
      <t>R.C.C work :</t>
    </r>
    <r>
      <rPr>
        <sz val="10"/>
        <color indexed="8"/>
        <rFont val="Cambria"/>
        <family val="1"/>
        <scheme val="major"/>
      </rPr>
      <t xml:space="preserve">Providing &amp; casting in-situ reinforced cement concrete </t>
    </r>
    <r>
      <rPr>
        <b/>
        <sz val="10"/>
        <color indexed="8"/>
        <rFont val="Cambria"/>
        <family val="1"/>
        <scheme val="major"/>
      </rPr>
      <t>225 mm thick</t>
    </r>
    <r>
      <rPr>
        <sz val="10"/>
        <color indexed="8"/>
        <rFont val="Cambria"/>
        <family val="1"/>
        <scheme val="major"/>
      </rPr>
      <t xml:space="preserve"> for wall/columns/ as per details/ drawings/ design( The rate to include cost of re-baring/Hilti/drilling and joining with existing beam or lintel including  shuttering, steel , concrete, inserts, cutout for ventilator, hacking, curing, bonding chemical / slurry all complete, design and certification from structural consultant. Grade of concrete to be considered shall be M25 &amp; steel to be considered as 12mm dia tor steel @150mm c/c both way </t>
    </r>
    <r>
      <rPr>
        <b/>
        <sz val="10"/>
        <color indexed="8"/>
        <rFont val="Cambria"/>
        <family val="1"/>
        <scheme val="major"/>
      </rPr>
      <t xml:space="preserve">in two layers </t>
    </r>
    <r>
      <rPr>
        <sz val="10"/>
        <color indexed="8"/>
        <rFont val="Cambria"/>
        <family val="1"/>
        <scheme val="major"/>
      </rPr>
      <t>staggered by 75mm in both directions. The thickness of walls to be 225 mm without plaster. 300mm x300mm RCC column to be provided near the strong room door for mounting strong room door.</t>
    </r>
  </si>
  <si>
    <r>
      <t xml:space="preserve">Do-do as 3(a) above but Ready mix concrete </t>
    </r>
    <r>
      <rPr>
        <sz val="10"/>
        <color rgb="FF00B0F0"/>
        <rFont val="Cambria"/>
        <family val="1"/>
        <scheme val="major"/>
      </rPr>
      <t>(Green Pro certified make approved by bank or CPC team as exception/ Refer make and model sheet,RMC)</t>
    </r>
  </si>
  <si>
    <r>
      <t xml:space="preserve">Do-do as 3(c) above but Ready mix concrete </t>
    </r>
    <r>
      <rPr>
        <sz val="10"/>
        <color rgb="FF00B0F0"/>
        <rFont val="Cambria"/>
        <family val="1"/>
        <scheme val="major"/>
      </rPr>
      <t>(Green Pro certified make approved by bank or CPC team as exception/ Refer make and model sheet,RMC)</t>
    </r>
  </si>
  <si>
    <r>
      <t xml:space="preserve">Do-do as 3(f) above but Ready mix concrete </t>
    </r>
    <r>
      <rPr>
        <sz val="10"/>
        <color rgb="FF00B0F0"/>
        <rFont val="Cambria"/>
        <family val="1"/>
        <scheme val="major"/>
      </rPr>
      <t>(Green Pro certified make approved by bank or CPC team as exception/ Refer make and model sheet,RMC)</t>
    </r>
  </si>
  <si>
    <r>
      <t xml:space="preserve">Do-do as 3(g) above but Ready mix concrete </t>
    </r>
    <r>
      <rPr>
        <sz val="10"/>
        <color rgb="FF00B0F0"/>
        <rFont val="Cambria"/>
        <family val="1"/>
        <scheme val="major"/>
      </rPr>
      <t>(Green Pro certified make approved by bank or CPC team as exception/ Refer make and model sheet,RMC)</t>
    </r>
  </si>
  <si>
    <r>
      <t>P/A 1:4 cement plaster</t>
    </r>
    <r>
      <rPr>
        <b/>
        <sz val="10"/>
        <color rgb="FF00B0F0"/>
        <rFont val="Cambria"/>
        <family val="1"/>
        <scheme val="major"/>
      </rPr>
      <t>(Green Pro certified make approved by bank or CPC team as exception/ Refer make and model sheet,cement)</t>
    </r>
    <r>
      <rPr>
        <b/>
        <sz val="10"/>
        <color rgb="FFFF0000"/>
        <rFont val="Cambria"/>
        <family val="1"/>
        <scheme val="major"/>
      </rPr>
      <t xml:space="preserve"> </t>
    </r>
    <r>
      <rPr>
        <sz val="10"/>
        <color rgb="FF000000"/>
        <rFont val="Cambria"/>
        <family val="1"/>
        <scheme val="major"/>
      </rPr>
      <t xml:space="preserve"> with waterproofing compound to brick/RCC work including scaffolding in single coat of minimum 12 mm thick finished to receive Plaster of Paris levelling coat.</t>
    </r>
  </si>
  <si>
    <r>
      <t>External Plaster in 1:3  with waterproofing compound to brick/RCC work  up to 25mm thk including  cost of scaffolding up to 20'.</t>
    </r>
    <r>
      <rPr>
        <sz val="10"/>
        <color indexed="10"/>
        <rFont val="Cambria"/>
        <family val="1"/>
        <scheme val="major"/>
      </rPr>
      <t xml:space="preserve">( Prior approval of Bank required) </t>
    </r>
    <r>
      <rPr>
        <b/>
        <sz val="10"/>
        <color rgb="FF00B0F0"/>
        <rFont val="Cambria"/>
        <family val="1"/>
        <scheme val="major"/>
      </rPr>
      <t>(Green Pro certified make approved by bank or CPC team as exception/ Refer make and model sheet,cement)</t>
    </r>
  </si>
  <si>
    <r>
      <t>P/E Plain cement concrete</t>
    </r>
    <r>
      <rPr>
        <sz val="10"/>
        <color rgb="FFFF0000"/>
        <rFont val="Cambria"/>
        <family val="1"/>
        <scheme val="major"/>
      </rPr>
      <t xml:space="preserve"> </t>
    </r>
    <r>
      <rPr>
        <b/>
        <sz val="10"/>
        <color rgb="FF00B0F0"/>
        <rFont val="Cambria"/>
        <family val="1"/>
        <scheme val="major"/>
      </rPr>
      <t xml:space="preserve">(Green Pro certified make approved by bank or CPC team as exception/ Refer make and model sheet,cement section) </t>
    </r>
    <r>
      <rPr>
        <sz val="10"/>
        <color rgb="FF000000"/>
        <rFont val="Cambria"/>
        <family val="1"/>
        <scheme val="major"/>
      </rPr>
      <t xml:space="preserve"> of grade M -10 ( 1:3:6 ) including shuttering for levelling course for flooring within the Bank Premise. The thickness may vary from 75mm</t>
    </r>
    <r>
      <rPr>
        <sz val="10"/>
        <color indexed="8"/>
        <rFont val="Cambria"/>
        <family val="1"/>
        <scheme val="major"/>
      </rPr>
      <t xml:space="preserve"> to 125 mm</t>
    </r>
    <r>
      <rPr>
        <sz val="10"/>
        <color rgb="FF000000"/>
        <rFont val="Cambria"/>
        <family val="1"/>
        <scheme val="major"/>
      </rPr>
      <t xml:space="preserve"> as per requirement. </t>
    </r>
    <r>
      <rPr>
        <sz val="10"/>
        <color rgb="FFFA2E2E"/>
        <rFont val="Cambria"/>
        <family val="1"/>
        <scheme val="major"/>
      </rPr>
      <t xml:space="preserve">(As per site condition - </t>
    </r>
    <r>
      <rPr>
        <b/>
        <sz val="10"/>
        <color rgb="FFFA2E2E"/>
        <rFont val="Cambria"/>
        <family val="1"/>
        <scheme val="major"/>
      </rPr>
      <t>Prior approval of Bank required</t>
    </r>
    <r>
      <rPr>
        <sz val="10"/>
        <color rgb="FFFA2E2E"/>
        <rFont val="Cambria"/>
        <family val="1"/>
        <scheme val="major"/>
      </rPr>
      <t>)</t>
    </r>
  </si>
  <si>
    <r>
      <t xml:space="preserve">Do-do as 7(a) above but Ready mix concrete </t>
    </r>
    <r>
      <rPr>
        <sz val="10"/>
        <color rgb="FF00B0F0"/>
        <rFont val="Cambria"/>
        <family val="1"/>
        <scheme val="major"/>
      </rPr>
      <t>(Green Pro certified make approved by bank or CPC team as exception/ Refer make and model sheet,RMC)</t>
    </r>
  </si>
  <si>
    <r>
      <t xml:space="preserve">Do-do as 7(b) above but Ready mix concrete </t>
    </r>
    <r>
      <rPr>
        <sz val="10"/>
        <color rgb="FF00B0F0"/>
        <rFont val="Cambria"/>
        <family val="1"/>
        <scheme val="major"/>
      </rPr>
      <t>(Green Pro certified make approved by bank or CPC team as exception/ Refer make and model sheet,RMC)</t>
    </r>
  </si>
  <si>
    <r>
      <t>Similar to above but for exterior works</t>
    </r>
    <r>
      <rPr>
        <sz val="10"/>
        <color rgb="FFFA2E2E"/>
        <rFont val="Cambria"/>
        <family val="1"/>
        <scheme val="major"/>
      </rPr>
      <t xml:space="preserve"> (As per site condition - Prior approval of Bank required)</t>
    </r>
  </si>
  <si>
    <r>
      <t xml:space="preserve">Do-do as 7(e) above but Ready mix concrete </t>
    </r>
    <r>
      <rPr>
        <sz val="10"/>
        <color rgb="FF00B0F0"/>
        <rFont val="Cambria"/>
        <family val="1"/>
        <scheme val="major"/>
      </rPr>
      <t>(Green Pro certified make approved by bank or CPC team as exception/ Refer make and model sheet,RMC)</t>
    </r>
  </si>
  <si>
    <r>
      <t>Providing and laying cement concrete flooring</t>
    </r>
    <r>
      <rPr>
        <sz val="10"/>
        <color indexed="10"/>
        <rFont val="Cambria"/>
        <family val="1"/>
        <scheme val="major"/>
      </rPr>
      <t xml:space="preserve"> </t>
    </r>
    <r>
      <rPr>
        <sz val="10"/>
        <color indexed="8"/>
        <rFont val="Cambria"/>
        <family val="1"/>
        <scheme val="major"/>
      </rPr>
      <t xml:space="preserve">40 - 50 mm thick , C.M. 1:3 laid to proper level and slope cost should including compaction as directed and curing complete in all respect. </t>
    </r>
    <r>
      <rPr>
        <sz val="10"/>
        <color indexed="10"/>
        <rFont val="Cambria"/>
        <family val="1"/>
        <scheme val="major"/>
      </rPr>
      <t xml:space="preserve">(As per site condition - </t>
    </r>
    <r>
      <rPr>
        <b/>
        <sz val="10"/>
        <color indexed="10"/>
        <rFont val="Cambria"/>
        <family val="1"/>
        <scheme val="major"/>
      </rPr>
      <t>Prior approval of Bank required</t>
    </r>
    <r>
      <rPr>
        <sz val="10"/>
        <color indexed="10"/>
        <rFont val="Cambria"/>
        <family val="1"/>
        <scheme val="major"/>
      </rPr>
      <t>)</t>
    </r>
    <r>
      <rPr>
        <b/>
        <sz val="10"/>
        <color rgb="FF00B0F0"/>
        <rFont val="Cambria"/>
        <family val="1"/>
        <scheme val="major"/>
      </rPr>
      <t xml:space="preserve">(Green Pro certified make approved by bank or CPC team as exception/ Refer make and model sheet,cement section) </t>
    </r>
  </si>
  <si>
    <r>
      <t xml:space="preserve">Providing and fixing of Solid Dry Wall Panel  75mm thick of size 2400/2700/3000mm in length and 600mm width certified by Green Building council having a unique tongue and groove jointing system. The panels are made of two  fibre reinforced cement sheets enclosing a light weight aerated concrete core composed of cement, fly ash and other binders. Density is 720~780kg/cum, panel has Axial load carrying capacity min 83 KN/m  with 2.5 times factor safety as per test method of ASTM -E-72:98 . These panels need to meet Uniformly distributed load (Bending load 80 -95kg/sqm &amp; modulus of rupture 40-58kg/sqcm)  as per test method  ASTM-E-72:98 &amp; IS 2380 Part 4. Thermal Conductivity typical K value - 0.17 ~0.21 W/m K, having a fire rating of 120 minutes as per BS 476 part 20-22 and sound transmission coefficient 36~40 as per IS 9901 (part 1) 1981
The wall panels to be installed with G.I Floor Channel : 14 x 75 x 25 mm size of 1 mm thick at bottom and  38 X75X 38 mm size with 1mm thickness at top. Tongue and Groove joints will be joined with elastomeric cementitious highly polymerized jointing compound as per manufacturer’s recommendation. Non-woven Self-adhesive glass fiber / fiber mesh tape in sufficient width to be applied to reinforce the exposed skin of jointing system. Jointing compound to be applied on joint finally to make good . Rate by the vendor to include scaffolding, lifting charges and jointing material, wastages etc. as a complete item of work excluding finishing etc. The installation will be done as per  specification, drawing and as directed by EIC/consultant. All work to be done by certified installer with proper supervision following WMS and as per instruction of Engineering in charge.  (Ideal for Server room , Solid Partition, Store rooms ) Approved Brands : HIL Limited , Visaka (Vnext) , Everest Panel)
</t>
    </r>
    <r>
      <rPr>
        <b/>
        <sz val="10"/>
        <color rgb="FF00B0F0"/>
        <rFont val="Cambria"/>
        <family val="1"/>
        <scheme val="major"/>
      </rPr>
      <t>(Green Pro certified make approved by bank or CPC team as exception/ Refer make and model sheet, Aerocon Panel)</t>
    </r>
  </si>
  <si>
    <r>
      <t xml:space="preserve">Do-do as 8(a) above but 100mm thk </t>
    </r>
    <r>
      <rPr>
        <b/>
        <sz val="10"/>
        <color rgb="FF00B0F0"/>
        <rFont val="Cambria"/>
        <family val="1"/>
        <scheme val="major"/>
      </rPr>
      <t>(Green Pro certified make approved by bank or CPC team as exception/ Refer make and model sheet, Aerocon Panel)</t>
    </r>
  </si>
  <si>
    <r>
      <t xml:space="preserve">Proving and Laying 600mm x 600mm anti-skid and Anti-dust Vitrified floor tiles for Toilet floors with a 75 mm thk cement mortar </t>
    </r>
    <r>
      <rPr>
        <b/>
        <sz val="10"/>
        <color rgb="FF00B0F0"/>
        <rFont val="Cambria"/>
        <family val="1"/>
        <scheme val="major"/>
      </rPr>
      <t xml:space="preserve">(Green Pro certified make approved by bank or CPC team as exception/ Refer make and model sheet,cement section) </t>
    </r>
    <r>
      <rPr>
        <sz val="10"/>
        <color rgb="FF000000"/>
        <rFont val="Cambria"/>
        <family val="1"/>
        <scheme val="major"/>
      </rPr>
      <t xml:space="preserve"> bedding  (1: 4) as per the design including colour cement in joint to matching shade. The joints shall be kept as thin as possible should not exceeding 1 mm.  </t>
    </r>
    <r>
      <rPr>
        <b/>
        <sz val="10"/>
        <color rgb="FFFF0000"/>
        <rFont val="Cambria"/>
        <family val="1"/>
        <scheme val="major"/>
      </rPr>
      <t>(Basic cost of tile upto Rs. 60 /-Sq. ft)</t>
    </r>
    <r>
      <rPr>
        <sz val="10"/>
        <color rgb="FF000000"/>
        <rFont val="Cambria"/>
        <family val="1"/>
        <scheme val="major"/>
      </rPr>
      <t xml:space="preserve">. ( For server room, store, pantry, toilets ) (Green Pro certified make approved by bank or CPC team as exception/ Refer make and model sheet, vitrified floor tiles) </t>
    </r>
    <r>
      <rPr>
        <b/>
        <sz val="10"/>
        <color rgb="FFFF0000"/>
        <rFont val="Cambria"/>
        <family val="1"/>
        <scheme val="major"/>
      </rPr>
      <t xml:space="preserve">Somany : Delmon Beige - (600 x 600) </t>
    </r>
  </si>
  <si>
    <r>
      <t>Proving and Layin</t>
    </r>
    <r>
      <rPr>
        <sz val="10"/>
        <color indexed="8"/>
        <rFont val="Cambria"/>
        <family val="1"/>
        <scheme val="major"/>
      </rPr>
      <t>g of 300 mm x 300mm Ceramic floor tiles</t>
    </r>
    <r>
      <rPr>
        <sz val="10"/>
        <color rgb="FF00B0F0"/>
        <rFont val="Cambria"/>
        <family val="1"/>
        <scheme val="major"/>
      </rPr>
      <t xml:space="preserve"> (use Green Pro certified make approved by bank or CPC team as exception/ Refer make and model sheet,ceramic tiles)</t>
    </r>
    <r>
      <rPr>
        <sz val="10"/>
        <color indexed="8"/>
        <rFont val="Cambria"/>
        <family val="1"/>
        <scheme val="major"/>
      </rPr>
      <t xml:space="preserve"> (1st quality) of approved make over a 75 mm thk cement mortar </t>
    </r>
    <r>
      <rPr>
        <sz val="10"/>
        <color rgb="FF00B0F0"/>
        <rFont val="Cambria"/>
        <family val="1"/>
        <scheme val="major"/>
      </rPr>
      <t xml:space="preserve"> (use Green Pro certified make approved by bank or CPC team as exception/ Refer make and model sheet,cement section)</t>
    </r>
    <r>
      <rPr>
        <sz val="10"/>
        <color indexed="8"/>
        <rFont val="Cambria"/>
        <family val="1"/>
        <scheme val="major"/>
      </rPr>
      <t xml:space="preserve"> bedding  (1: 4</t>
    </r>
    <r>
      <rPr>
        <sz val="10"/>
        <color rgb="FF000000"/>
        <rFont val="Cambria"/>
        <family val="1"/>
        <scheme val="major"/>
      </rPr>
      <t xml:space="preserve">) as per the pattern given including colour cement joints in matching shade. Rate to include curing, acid wash, etc. complete. The joints shall be kept as thin as possible not exceeding 1 mm. </t>
    </r>
    <r>
      <rPr>
        <b/>
        <sz val="10"/>
        <color rgb="FFFA2E2E"/>
        <rFont val="Cambria"/>
        <family val="1"/>
        <scheme val="major"/>
      </rPr>
      <t>(Basic cost of tile Rs. 35/- Sq. ft)</t>
    </r>
  </si>
  <si>
    <r>
      <t xml:space="preserve">Supplying and laying 12 mm thk machine cut &amp; machine polished </t>
    </r>
    <r>
      <rPr>
        <b/>
        <sz val="10"/>
        <color rgb="FF000000"/>
        <rFont val="Cambria"/>
        <family val="1"/>
        <scheme val="major"/>
      </rPr>
      <t>Granite flooring</t>
    </r>
    <r>
      <rPr>
        <sz val="10"/>
        <color rgb="FF000000"/>
        <rFont val="Cambria"/>
        <family val="1"/>
        <scheme val="major"/>
      </rPr>
      <t xml:space="preserve"> , on a prefinished surface with 1:3 cement sand mortar</t>
    </r>
    <r>
      <rPr>
        <b/>
        <sz val="10"/>
        <color rgb="FF000000"/>
        <rFont val="Cambria"/>
        <family val="1"/>
        <scheme val="major"/>
      </rPr>
      <t xml:space="preserve"> </t>
    </r>
    <r>
      <rPr>
        <b/>
        <sz val="10"/>
        <color rgb="FF00B0F0"/>
        <rFont val="Cambria"/>
        <family val="1"/>
        <scheme val="major"/>
      </rPr>
      <t>(Green Pro certified make approved by bank or CPC team as exception/ Refer make and model sheet,cement section)</t>
    </r>
    <r>
      <rPr>
        <b/>
        <sz val="10"/>
        <color rgb="FF000000"/>
        <rFont val="Cambria"/>
        <family val="1"/>
        <scheme val="major"/>
      </rPr>
      <t xml:space="preserve"> </t>
    </r>
    <r>
      <rPr>
        <sz val="10"/>
        <color rgb="FF000000"/>
        <rFont val="Cambria"/>
        <family val="1"/>
        <scheme val="major"/>
      </rPr>
      <t>.</t>
    </r>
    <r>
      <rPr>
        <b/>
        <sz val="10"/>
        <color rgb="FFFA2E2E"/>
        <rFont val="Cambria"/>
        <family val="1"/>
        <scheme val="major"/>
      </rPr>
      <t>(Basic cost of granite Rs 180 /sq.ft)</t>
    </r>
    <r>
      <rPr>
        <sz val="10"/>
        <color rgb="FF000000"/>
        <rFont val="Cambria"/>
        <family val="1"/>
        <scheme val="major"/>
      </rPr>
      <t>.  Rate shall be inclusive of machine polishing edges in case of protruding edges &amp; groove if ordered. . Measurement for payment shall be as per laid area .</t>
    </r>
  </si>
  <si>
    <r>
      <t xml:space="preserve">Vitrified Tiles in wooden finish  </t>
    </r>
    <r>
      <rPr>
        <b/>
        <sz val="10"/>
        <color rgb="FFDD0806"/>
        <rFont val="Cambria"/>
        <family val="1"/>
        <scheme val="major"/>
      </rPr>
      <t>(in HNW areas with prior approval)</t>
    </r>
  </si>
  <si>
    <r>
      <t xml:space="preserve">Same as item </t>
    </r>
    <r>
      <rPr>
        <sz val="10"/>
        <color rgb="FF0066CC"/>
        <rFont val="Cambria"/>
        <family val="1"/>
        <scheme val="major"/>
      </rPr>
      <t xml:space="preserve">9.a-(i) </t>
    </r>
    <r>
      <rPr>
        <sz val="10"/>
        <color rgb="FF000000"/>
        <rFont val="Cambria"/>
        <family val="1"/>
        <scheme val="major"/>
      </rPr>
      <t xml:space="preserve">but vitrified tiles in wooden finish. </t>
    </r>
    <r>
      <rPr>
        <sz val="10"/>
        <color rgb="FF00B0F0"/>
        <rFont val="Cambria"/>
        <family val="1"/>
        <scheme val="major"/>
      </rPr>
      <t xml:space="preserve">(Green Pro certified make approved by bank or CPC team as exception/ Refer make and model sheet,vitrified floor tiles) </t>
    </r>
    <r>
      <rPr>
        <b/>
        <sz val="10"/>
        <color rgb="FFFF0000"/>
        <rFont val="Cambria"/>
        <family val="1"/>
        <scheme val="major"/>
      </rPr>
      <t>(Basic cost of tile Rs.85/- per sq ft.)</t>
    </r>
  </si>
  <si>
    <r>
      <t xml:space="preserve">Carpet Flooring  </t>
    </r>
    <r>
      <rPr>
        <b/>
        <sz val="10"/>
        <color rgb="FFDD0806"/>
        <rFont val="Cambria"/>
        <family val="1"/>
        <scheme val="major"/>
      </rPr>
      <t>(in HNW areas with prior approval)</t>
    </r>
  </si>
  <si>
    <r>
      <t xml:space="preserve">Providing and laying carpet of 20 ounce loop pile in polypropylene in carpet tile </t>
    </r>
    <r>
      <rPr>
        <b/>
        <sz val="10"/>
        <color rgb="FF00B0F0"/>
        <rFont val="Cambria"/>
        <family val="1"/>
        <scheme val="major"/>
      </rPr>
      <t xml:space="preserve"> (Green Pro certified make approved by bank or CPC team as exception/ Refer make and model sheet,vitrified floor tiles)</t>
    </r>
    <r>
      <rPr>
        <sz val="10"/>
        <color rgb="FF000000"/>
        <rFont val="Cambria"/>
        <family val="1"/>
        <scheme val="major"/>
      </rPr>
      <t xml:space="preserve">form without underlay. Cost also included surface preparation required for laying of it and carpet protection. </t>
    </r>
    <r>
      <rPr>
        <b/>
        <sz val="10"/>
        <color rgb="FFFA2E2E"/>
        <rFont val="Cambria"/>
        <family val="1"/>
        <scheme val="major"/>
      </rPr>
      <t>( Basic cost of tile Rs.160 /- per sq ft.)</t>
    </r>
  </si>
  <si>
    <r>
      <t xml:space="preserve">Proving and Laying Ceramic glaze Wall Tiles  </t>
    </r>
    <r>
      <rPr>
        <sz val="10"/>
        <color rgb="FF00B0F0"/>
        <rFont val="Cambria"/>
        <family val="1"/>
        <scheme val="major"/>
      </rPr>
      <t xml:space="preserve">(Green Pro certified make approved by bank or CPC team as exception/ Refer make and model sheet,cement section) </t>
    </r>
    <r>
      <rPr>
        <sz val="10"/>
        <color rgb="FF000000"/>
        <rFont val="Cambria"/>
        <family val="1"/>
        <scheme val="major"/>
      </rPr>
      <t>( Colour : White ) of size 450mm x 300mm (1st quality) of somany make or approved make over a cement mortar bedding (1:4)</t>
    </r>
    <r>
      <rPr>
        <sz val="10"/>
        <color rgb="FF00B0F0"/>
        <rFont val="Cambria"/>
        <family val="1"/>
        <scheme val="major"/>
      </rPr>
      <t xml:space="preserve"> (use Green Pro certified make approved by bank or CPC team as exception/ Refer make and model sheet,cement section) </t>
    </r>
    <r>
      <rPr>
        <sz val="10"/>
        <color rgb="FF000000"/>
        <rFont val="Cambria"/>
        <family val="1"/>
        <scheme val="major"/>
      </rPr>
      <t xml:space="preserve">as per the pattern given including filling joint with colour cement in matching shade. </t>
    </r>
    <r>
      <rPr>
        <b/>
        <sz val="10"/>
        <color rgb="FFFF0000"/>
        <rFont val="Cambria"/>
        <family val="1"/>
        <scheme val="major"/>
      </rPr>
      <t>(Basic cost of tiles Rs. 50/- Sq.ft).</t>
    </r>
  </si>
  <si>
    <r>
      <t xml:space="preserve">Proving and Laying wall dado Vitrified glaze tiles of size  600 mm X 600 mm (1st quality) of approved make over a cement mortar  </t>
    </r>
    <r>
      <rPr>
        <sz val="10"/>
        <color rgb="FF00B0F0"/>
        <rFont val="Cambria"/>
        <family val="1"/>
        <scheme val="major"/>
      </rPr>
      <t xml:space="preserve">(Green Pro certified make approved by bank or CPC team as exception/ Refer make and model sheet,cement section) </t>
    </r>
    <r>
      <rPr>
        <sz val="10"/>
        <color rgb="FF000000"/>
        <rFont val="Cambria"/>
        <family val="1"/>
        <scheme val="major"/>
      </rPr>
      <t xml:space="preserve">bedding (1:4) as per the pattern given including filling joint with colour cement in matching shade. </t>
    </r>
    <r>
      <rPr>
        <b/>
        <sz val="10"/>
        <color indexed="10"/>
        <rFont val="Cambria"/>
        <family val="1"/>
        <scheme val="major"/>
      </rPr>
      <t xml:space="preserve">(Basic cost of tiles upto  Rs. 65/- Sq.ft). </t>
    </r>
    <r>
      <rPr>
        <sz val="10"/>
        <color rgb="FF00B0F0"/>
        <rFont val="Cambria"/>
        <family val="1"/>
        <scheme val="major"/>
      </rPr>
      <t xml:space="preserve">(Green Pro certified make approved by bank or CPC team as exception/ Refer make and model sheet, wall tiles) </t>
    </r>
    <r>
      <rPr>
        <b/>
        <sz val="10"/>
        <color rgb="FFFF0000"/>
        <rFont val="Cambria"/>
        <family val="1"/>
        <scheme val="major"/>
      </rPr>
      <t xml:space="preserve">Somany : Delmon Beige - (600 x 600) </t>
    </r>
  </si>
  <si>
    <r>
      <t>Providing &amp; fixing 600mm deep pantry counter made out of 12mm thk black granite supported by 25mm thk Kadappa to be fixed horizontally and vertically. The cost to be included of the platform to have 75mm wide granite fascia horizontally with molded edges as per design. 100mm high granite band over dado level to be provided. 75mm thk platform at floor level inside the counter should be provided finished with 75mm high granite skirting from outside The cost to include of making hole in the counter for fixing sink, End verticals to be fixed made of Kadappa and covered with granite to be provided as per the design.</t>
    </r>
    <r>
      <rPr>
        <sz val="10"/>
        <color rgb="FFFF0000"/>
        <rFont val="Cambria"/>
        <family val="1"/>
        <scheme val="major"/>
      </rPr>
      <t xml:space="preserve"> </t>
    </r>
    <r>
      <rPr>
        <b/>
        <sz val="10"/>
        <color rgb="FFFF0000"/>
        <rFont val="Cambria"/>
        <family val="1"/>
        <scheme val="major"/>
      </rPr>
      <t>(Basic Cost of Granite 180/- sq.ft)</t>
    </r>
    <r>
      <rPr>
        <b/>
        <sz val="10"/>
        <color rgb="FF000000"/>
        <rFont val="Cambria"/>
        <family val="1"/>
        <scheme val="major"/>
      </rPr>
      <t>.</t>
    </r>
    <r>
      <rPr>
        <sz val="10"/>
        <color rgb="FF000000"/>
        <rFont val="Cambria"/>
        <family val="1"/>
        <scheme val="major"/>
      </rPr>
      <t xml:space="preserve"> Cost of Storage, CP fittings, SS sink are not included.</t>
    </r>
  </si>
  <si>
    <r>
      <t xml:space="preserve">Providing &amp; Fixing </t>
    </r>
    <r>
      <rPr>
        <b/>
        <sz val="10"/>
        <color rgb="FF000000"/>
        <rFont val="Cambria"/>
        <family val="1"/>
        <scheme val="major"/>
      </rPr>
      <t>Dining Counter</t>
    </r>
    <r>
      <rPr>
        <sz val="10"/>
        <color rgb="FF000000"/>
        <rFont val="Cambria"/>
        <family val="1"/>
        <scheme val="major"/>
      </rPr>
      <t xml:space="preserve"> with S.S Angle Bracket in approved </t>
    </r>
    <r>
      <rPr>
        <b/>
        <sz val="10"/>
        <color rgb="FF000000"/>
        <rFont val="Cambria"/>
        <family val="1"/>
        <scheme val="major"/>
      </rPr>
      <t>Black Granite</t>
    </r>
    <r>
      <rPr>
        <sz val="10"/>
        <color rgb="FF000000"/>
        <rFont val="Cambria"/>
        <family val="1"/>
        <scheme val="major"/>
      </rPr>
      <t xml:space="preserve"> finish at ht. 750 mm from Finished Floor Level.</t>
    </r>
    <r>
      <rPr>
        <b/>
        <sz val="10"/>
        <color rgb="FF000000"/>
        <rFont val="Cambria"/>
        <family val="1"/>
        <scheme val="major"/>
      </rPr>
      <t xml:space="preserve">(Depth of Counter 600 mm)  </t>
    </r>
    <r>
      <rPr>
        <b/>
        <sz val="10"/>
        <color rgb="FFFF0000"/>
        <rFont val="Cambria"/>
        <family val="1"/>
        <scheme val="major"/>
      </rPr>
      <t>(Basic Cost of Granite 180/- sq.ft)</t>
    </r>
  </si>
  <si>
    <r>
      <t xml:space="preserve">Providing &amp; fixing </t>
    </r>
    <r>
      <rPr>
        <b/>
        <sz val="10"/>
        <color rgb="FF000000"/>
        <rFont val="Cambria"/>
        <family val="1"/>
        <scheme val="major"/>
      </rPr>
      <t>wash basin counter</t>
    </r>
    <r>
      <rPr>
        <sz val="10"/>
        <color rgb="FF000000"/>
        <rFont val="Cambria"/>
        <family val="1"/>
        <scheme val="major"/>
      </rPr>
      <t xml:space="preserve"> in Toilets of </t>
    </r>
    <r>
      <rPr>
        <b/>
        <sz val="10"/>
        <color rgb="FF000000"/>
        <rFont val="Cambria"/>
        <family val="1"/>
        <scheme val="major"/>
      </rPr>
      <t xml:space="preserve">600 mm Deep </t>
    </r>
    <r>
      <rPr>
        <sz val="10"/>
        <color rgb="FF000000"/>
        <rFont val="Cambria"/>
        <family val="1"/>
        <scheme val="major"/>
      </rPr>
      <t>made of 12 mm thk black granite supported on 25thk Kadappa base. 75 mm wide granite facia to be provided at the edge of the counter.</t>
    </r>
    <r>
      <rPr>
        <b/>
        <sz val="10"/>
        <color rgb="FF000000"/>
        <rFont val="Cambria"/>
        <family val="1"/>
        <scheme val="major"/>
      </rPr>
      <t xml:space="preserve"> The cost to include of making hole in the counter for fixing wash basin, Cost of  CP fittings, Wash basin are not included. </t>
    </r>
    <r>
      <rPr>
        <b/>
        <sz val="10"/>
        <color rgb="FFFF0000"/>
        <rFont val="Cambria"/>
        <family val="1"/>
        <scheme val="major"/>
      </rPr>
      <t xml:space="preserve"> (Basic Cost of Granite 180/- sq.ft)</t>
    </r>
  </si>
  <si>
    <r>
      <t xml:space="preserve">Providing &amp; Fixing of </t>
    </r>
    <r>
      <rPr>
        <b/>
        <sz val="10"/>
        <color rgb="FF000000"/>
        <rFont val="Cambria"/>
        <family val="1"/>
        <scheme val="major"/>
      </rPr>
      <t xml:space="preserve">size 450mm X 900mm both sides polished divider for Urinal </t>
    </r>
    <r>
      <rPr>
        <sz val="10"/>
        <color rgb="FF000000"/>
        <rFont val="Cambria"/>
        <family val="1"/>
        <scheme val="major"/>
      </rPr>
      <t>made of</t>
    </r>
    <r>
      <rPr>
        <b/>
        <sz val="10"/>
        <color rgb="FF000000"/>
        <rFont val="Cambria"/>
        <family val="1"/>
        <scheme val="major"/>
      </rPr>
      <t xml:space="preserve"> </t>
    </r>
    <r>
      <rPr>
        <sz val="10"/>
        <color rgb="FF000000"/>
        <rFont val="Cambria"/>
        <family val="1"/>
        <scheme val="major"/>
      </rPr>
      <t>12mm thk  Black Granite embedded in the wall. The edges of the granite to be machine polished.</t>
    </r>
  </si>
  <si>
    <r>
      <t xml:space="preserve">Providing &amp; Laying 150mm wide </t>
    </r>
    <r>
      <rPr>
        <b/>
        <sz val="10"/>
        <color rgb="FF000000"/>
        <rFont val="Cambria"/>
        <family val="1"/>
        <scheme val="major"/>
      </rPr>
      <t>Black Granite Threshold</t>
    </r>
    <r>
      <rPr>
        <sz val="10"/>
        <color rgb="FF000000"/>
        <rFont val="Cambria"/>
        <family val="1"/>
        <scheme val="major"/>
      </rPr>
      <t xml:space="preserve"> at</t>
    </r>
    <r>
      <rPr>
        <b/>
        <sz val="10"/>
        <color rgb="FF000000"/>
        <rFont val="Cambria"/>
        <family val="1"/>
        <scheme val="major"/>
      </rPr>
      <t xml:space="preserve"> ATM </t>
    </r>
    <r>
      <rPr>
        <sz val="10"/>
        <color rgb="FF000000"/>
        <rFont val="Cambria"/>
        <family val="1"/>
        <scheme val="major"/>
      </rPr>
      <t>and</t>
    </r>
    <r>
      <rPr>
        <b/>
        <sz val="10"/>
        <color rgb="FF000000"/>
        <rFont val="Cambria"/>
        <family val="1"/>
        <scheme val="major"/>
      </rPr>
      <t xml:space="preserve"> Main Entrance. </t>
    </r>
    <r>
      <rPr>
        <b/>
        <sz val="10"/>
        <color rgb="FFFF0000"/>
        <rFont val="Cambria"/>
        <family val="1"/>
        <scheme val="major"/>
      </rPr>
      <t xml:space="preserve"> (Basic Cost of Granite 180/- sq.ft)</t>
    </r>
  </si>
  <si>
    <r>
      <t xml:space="preserve">Providing &amp; Laying 75 mm wide  </t>
    </r>
    <r>
      <rPr>
        <b/>
        <sz val="10"/>
        <color rgb="FF000000"/>
        <rFont val="Cambria"/>
        <family val="1"/>
        <scheme val="major"/>
      </rPr>
      <t>Black Granite</t>
    </r>
    <r>
      <rPr>
        <sz val="10"/>
        <color rgb="FF000000"/>
        <rFont val="Cambria"/>
        <family val="1"/>
        <scheme val="major"/>
      </rPr>
      <t xml:space="preserve"> </t>
    </r>
    <r>
      <rPr>
        <b/>
        <sz val="10"/>
        <color rgb="FF000000"/>
        <rFont val="Cambria"/>
        <family val="1"/>
        <scheme val="major"/>
      </rPr>
      <t>Threshold</t>
    </r>
    <r>
      <rPr>
        <sz val="10"/>
        <color rgb="FF000000"/>
        <rFont val="Cambria"/>
        <family val="1"/>
        <scheme val="major"/>
      </rPr>
      <t xml:space="preserve"> for Toilets &amp; Pantry.  </t>
    </r>
    <r>
      <rPr>
        <b/>
        <sz val="10"/>
        <color rgb="FFFF0000"/>
        <rFont val="Cambria"/>
        <family val="1"/>
        <scheme val="major"/>
      </rPr>
      <t>(Basic Cost of Granite 180/- sq.ft)</t>
    </r>
  </si>
  <si>
    <r>
      <t xml:space="preserve">Supplying and laying 20 mm thk </t>
    </r>
    <r>
      <rPr>
        <b/>
        <sz val="10"/>
        <color rgb="FF000000"/>
        <rFont val="Cambria"/>
        <family val="1"/>
        <scheme val="major"/>
      </rPr>
      <t>glossy</t>
    </r>
    <r>
      <rPr>
        <sz val="10"/>
        <color rgb="FF000000"/>
        <rFont val="Cambria"/>
        <family val="1"/>
        <scheme val="major"/>
      </rPr>
      <t xml:space="preserve"> c</t>
    </r>
    <r>
      <rPr>
        <b/>
        <sz val="10"/>
        <color rgb="FF000000"/>
        <rFont val="Cambria"/>
        <family val="1"/>
        <scheme val="major"/>
      </rPr>
      <t xml:space="preserve">hequered tiles </t>
    </r>
    <r>
      <rPr>
        <sz val="10"/>
        <color rgb="FF000000"/>
        <rFont val="Cambria"/>
        <family val="1"/>
        <scheme val="major"/>
      </rPr>
      <t xml:space="preserve">heavy duty external grade for paving on a prefinished surface with 1:3 cement </t>
    </r>
    <r>
      <rPr>
        <sz val="10"/>
        <color rgb="FF00B0F0"/>
        <rFont val="Cambria"/>
        <family val="1"/>
        <scheme val="major"/>
      </rPr>
      <t>(use Green Pro certified make approved by bank or CPC team as exception/ Refer make and model sheet,cement section)</t>
    </r>
    <r>
      <rPr>
        <sz val="10"/>
        <color rgb="FF000000"/>
        <rFont val="Cambria"/>
        <family val="1"/>
        <scheme val="major"/>
      </rPr>
      <t xml:space="preserve"> sand mortar over a 50 mm thk cement mortar bedding  (1: 4) / PCC as per the design including colour cement float joints in matching shade. </t>
    </r>
    <r>
      <rPr>
        <b/>
        <sz val="10"/>
        <color rgb="FFFA2E2E"/>
        <rFont val="Cambria"/>
        <family val="1"/>
        <scheme val="major"/>
      </rPr>
      <t>(Basic cost of tiles Rs.35 /- per sq. ft.)</t>
    </r>
  </si>
  <si>
    <r>
      <t xml:space="preserve">Providing and laying inter locking </t>
    </r>
    <r>
      <rPr>
        <b/>
        <sz val="10"/>
        <color rgb="FF000000"/>
        <rFont val="Cambria"/>
        <family val="1"/>
        <scheme val="major"/>
      </rPr>
      <t xml:space="preserve">Paver blocks </t>
    </r>
    <r>
      <rPr>
        <sz val="10"/>
        <color rgb="FF000000"/>
        <rFont val="Cambria"/>
        <family val="1"/>
        <scheme val="major"/>
      </rPr>
      <t>(heavy duty) in two or more shades by excavating the existing surface by @ 150mm to 230mm and providing layer for gravel over the entire area and covering the same with a layer of graded sand limestone, screeding / sinner to the required slope and providing primer locking pave blocks.  The rate is inclusive of PCC (1:2:4) bed at the edges of the pattern as per site conditions.</t>
    </r>
    <r>
      <rPr>
        <sz val="10"/>
        <color rgb="FFFF0000"/>
        <rFont val="Cambria"/>
        <family val="1"/>
        <scheme val="major"/>
      </rPr>
      <t xml:space="preserve"> </t>
    </r>
    <r>
      <rPr>
        <b/>
        <sz val="10"/>
        <color rgb="FFFF0000"/>
        <rFont val="Cambria"/>
        <family val="1"/>
        <scheme val="major"/>
      </rPr>
      <t>(Basic cost of tiles Rs.40 /- per sq. ft.)</t>
    </r>
  </si>
  <si>
    <r>
      <t xml:space="preserve">Providing and laying </t>
    </r>
    <r>
      <rPr>
        <b/>
        <sz val="10"/>
        <color rgb="FF000000"/>
        <rFont val="Cambria"/>
        <family val="1"/>
        <scheme val="major"/>
      </rPr>
      <t>Kotah stone</t>
    </r>
    <r>
      <rPr>
        <sz val="10"/>
        <color rgb="FF000000"/>
        <rFont val="Cambria"/>
        <family val="1"/>
        <scheme val="major"/>
      </rPr>
      <t>, flooring 25mm-30mm thk. Having sizes not less than 55cms x 55 cms in plain/ diamond pattern and bed of 1:6 cm including cement float filling joints with neat cement slurry, curing, polishing and clearing complete in all respect.</t>
    </r>
    <r>
      <rPr>
        <sz val="10"/>
        <color rgb="FFFF0000"/>
        <rFont val="Cambria"/>
        <family val="1"/>
        <scheme val="major"/>
      </rPr>
      <t xml:space="preserve"> </t>
    </r>
    <r>
      <rPr>
        <b/>
        <sz val="10"/>
        <color rgb="FFFF0000"/>
        <rFont val="Cambria"/>
        <family val="1"/>
        <scheme val="major"/>
      </rPr>
      <t>(for strong room flooring)</t>
    </r>
  </si>
  <si>
    <r>
      <t xml:space="preserve">Treads &amp; risers of steps. Providing and laying in required position polished granite slab 18mm thk with machine cut and machine polish in CM 1:3 for treads/ risers of steps. The rate is inclusive of full rounded nosing for treads and 3 no's groove on treads complete in all respect. </t>
    </r>
    <r>
      <rPr>
        <b/>
        <sz val="10"/>
        <color indexed="10"/>
        <rFont val="Cambria"/>
        <family val="1"/>
        <scheme val="major"/>
      </rPr>
      <t>'</t>
    </r>
    <r>
      <rPr>
        <sz val="10"/>
        <color indexed="8"/>
        <rFont val="Cambria"/>
        <family val="1"/>
        <scheme val="major"/>
      </rPr>
      <t xml:space="preserve"> The granite to be fixed with adhesive </t>
    </r>
    <r>
      <rPr>
        <sz val="10"/>
        <color rgb="FF00B0F0"/>
        <rFont val="Cambria"/>
        <family val="1"/>
        <scheme val="major"/>
      </rPr>
      <t xml:space="preserve">(approved Low VOC/No VOC Adhesives to be used by Bank or CPC team as exception / Refer Make and Model sheet, Adhesives) </t>
    </r>
    <r>
      <rPr>
        <sz val="10"/>
        <color indexed="8"/>
        <rFont val="Cambria"/>
        <family val="1"/>
        <scheme val="major"/>
      </rPr>
      <t>in case the same is to be fixed on a plywood surface.</t>
    </r>
    <r>
      <rPr>
        <b/>
        <sz val="10"/>
        <color indexed="10"/>
        <rFont val="Cambria"/>
        <family val="1"/>
        <scheme val="major"/>
      </rPr>
      <t xml:space="preserve"> (Basic cost of Jet black granite Rs. 180/- sq.ft.)</t>
    </r>
  </si>
  <si>
    <r>
      <t xml:space="preserve">Sill &amp; jambs to windows / Doors. Providing and laying in required positions granite, slab 12 mm thk (Single piece), of approved make &amp; colour with machine, cut and machine polish up to 145mm wide ; in cement mortar </t>
    </r>
    <r>
      <rPr>
        <sz val="10"/>
        <color rgb="FF00B0F0"/>
        <rFont val="Cambria"/>
        <family val="1"/>
        <scheme val="major"/>
      </rPr>
      <t>(Green Pro certified make approved by bank or CPC team as exception/ Refer make and model sheet,cement section)</t>
    </r>
    <r>
      <rPr>
        <sz val="10"/>
        <color rgb="FF000000"/>
        <rFont val="Cambria"/>
        <family val="1"/>
        <scheme val="major"/>
      </rPr>
      <t xml:space="preserve"> of 1:3 for sills and jambs of windows .The rate is inclusive of full rounded molding at the edges from inside. </t>
    </r>
    <r>
      <rPr>
        <b/>
        <sz val="10"/>
        <color rgb="FFFA2E2E"/>
        <rFont val="Cambria"/>
        <family val="1"/>
        <scheme val="major"/>
      </rPr>
      <t>(Basic cost of granite Rs. 180/- sq.ft.)</t>
    </r>
  </si>
  <si>
    <r>
      <t>Providing and laying jambs to door at required positions granite slab 12mm thk. Up to 2100mm in length (Double piece) and machine polish up to 145mm wide ; in cement mortar</t>
    </r>
    <r>
      <rPr>
        <sz val="10"/>
        <color rgb="FF00B0F0"/>
        <rFont val="Cambria"/>
        <family val="1"/>
        <scheme val="major"/>
      </rPr>
      <t xml:space="preserve"> (Green Pro certified make approved by bank or CPC team as exception/ Refer make and model sheet,cement section)</t>
    </r>
    <r>
      <rPr>
        <sz val="10"/>
        <color rgb="FF000000"/>
        <rFont val="Cambria"/>
        <family val="1"/>
        <scheme val="major"/>
      </rPr>
      <t xml:space="preserve"> of 1:3 for jambs of door .The rate is inclusive of fillet rounded molding at the edges from inside.</t>
    </r>
    <r>
      <rPr>
        <b/>
        <sz val="10"/>
        <color rgb="FFC00000"/>
        <rFont val="Cambria"/>
        <family val="1"/>
        <scheme val="major"/>
      </rPr>
      <t xml:space="preserve"> </t>
    </r>
    <r>
      <rPr>
        <b/>
        <sz val="10"/>
        <color rgb="FFFA2E2E"/>
        <rFont val="Cambria"/>
        <family val="1"/>
        <scheme val="major"/>
      </rPr>
      <t>(Basic cost of granite Rs. 180/- sq.ft.)</t>
    </r>
  </si>
  <si>
    <r>
      <t xml:space="preserve">Treads &amp; risers of steps. Providing and laying in required position granite slab 12mm thk with machine cut and machine polish in 19 mm BWP Plywood </t>
    </r>
    <r>
      <rPr>
        <sz val="10"/>
        <color rgb="FF00B0F0"/>
        <rFont val="Cambria"/>
        <family val="1"/>
        <scheme val="major"/>
      </rPr>
      <t>(BWP Plywood which are "Free of Added Urea Formaldehyde" (required) approved by Bank or CPC team as exception / Refer Make and Model sheet, BWP Plywood)</t>
    </r>
    <r>
      <rPr>
        <sz val="10"/>
        <color rgb="FF000000"/>
        <rFont val="Cambria"/>
        <family val="1"/>
        <scheme val="major"/>
      </rPr>
      <t xml:space="preserve"> for treads/ risers of steps of internal staircase of branch. The rate is inclusive of full rounded nosing for treads and 3 no's groove on treads</t>
    </r>
    <r>
      <rPr>
        <sz val="10"/>
        <rFont val="Cambria"/>
        <family val="1"/>
        <scheme val="major"/>
      </rPr>
      <t xml:space="preserve"> complete in all respect. </t>
    </r>
    <r>
      <rPr>
        <b/>
        <sz val="10"/>
        <color rgb="FF00B0F0"/>
        <rFont val="Cambria"/>
        <family val="1"/>
        <scheme val="major"/>
      </rPr>
      <t>'</t>
    </r>
    <r>
      <rPr>
        <sz val="10"/>
        <rFont val="Cambria"/>
        <family val="1"/>
        <scheme val="major"/>
      </rPr>
      <t xml:space="preserve"> The granite to be fixed with adhesive</t>
    </r>
    <r>
      <rPr>
        <sz val="10"/>
        <color rgb="FF00B0F0"/>
        <rFont val="Cambria"/>
        <family val="1"/>
        <scheme val="major"/>
      </rPr>
      <t xml:space="preserve"> (approved Low VOC/No VOC Adhesives to be used by Bank or CPC team as exception / Refer Make and Model sheet, Adhesives) </t>
    </r>
    <r>
      <rPr>
        <sz val="10"/>
        <color rgb="FF000000"/>
        <rFont val="Cambria"/>
        <family val="1"/>
        <scheme val="major"/>
      </rPr>
      <t xml:space="preserve">in case the same is to be fixed on a plywood surface. </t>
    </r>
    <r>
      <rPr>
        <b/>
        <sz val="10"/>
        <color rgb="FFFF0000"/>
        <rFont val="Cambria"/>
        <family val="1"/>
        <scheme val="major"/>
      </rPr>
      <t>(Basic cost of granite Rs. 180/- sq.ft.)</t>
    </r>
  </si>
  <si>
    <r>
      <t xml:space="preserve">Providing and constructing handicapped ramp at a slope of 1:12 or as per site conditions with raised floor to be made by filling dubber stone soling and compacted by sand dust &amp; 1:4 cement mortar </t>
    </r>
    <r>
      <rPr>
        <sz val="10"/>
        <color rgb="FF00B0F0"/>
        <rFont val="Cambria"/>
        <family val="1"/>
        <scheme val="major"/>
      </rPr>
      <t xml:space="preserve">( Green Pro certified make approved by bank or CPC team as exception/ Refer make and model sheet, cement) </t>
    </r>
    <r>
      <rPr>
        <sz val="10"/>
        <color indexed="8"/>
        <rFont val="Cambria"/>
        <family val="1"/>
        <scheme val="major"/>
      </rPr>
      <t xml:space="preserve"> to match the required level. The width of ramp should be minimum upto  1200mm</t>
    </r>
  </si>
  <si>
    <r>
      <t xml:space="preserve">Providing and constructing raised floor for staircase and midlanding by filling dubber stone soling and compacted by sand dust ,1:4 cement mortar  </t>
    </r>
    <r>
      <rPr>
        <sz val="10"/>
        <color rgb="FF00B0F0"/>
        <rFont val="Cambria"/>
        <family val="1"/>
        <scheme val="major"/>
      </rPr>
      <t xml:space="preserve">(use Green Pro certified make approved by bank or CPC team as exception/ Refer make and model sheet,cement section) </t>
    </r>
    <r>
      <rPr>
        <sz val="10"/>
        <color indexed="8"/>
        <rFont val="Cambria"/>
        <family val="1"/>
        <scheme val="major"/>
      </rPr>
      <t xml:space="preserve"> to match the required level.</t>
    </r>
  </si>
  <si>
    <r>
      <t xml:space="preserve">Providing &amp; fixing 100mm wide polished </t>
    </r>
    <r>
      <rPr>
        <b/>
        <sz val="10"/>
        <color indexed="8"/>
        <rFont val="Cambria"/>
        <family val="1"/>
        <scheme val="major"/>
      </rPr>
      <t>Black Granite</t>
    </r>
    <r>
      <rPr>
        <sz val="10"/>
        <color indexed="8"/>
        <rFont val="Cambria"/>
        <family val="1"/>
        <scheme val="major"/>
      </rPr>
      <t xml:space="preserve"> Patti of 18mm thk on ramp for maintaining level difference in order to form anti-skid surface.</t>
    </r>
  </si>
  <si>
    <r>
      <t xml:space="preserve">Providing &amp; fixing 12mm thk prepolished </t>
    </r>
    <r>
      <rPr>
        <b/>
        <sz val="10"/>
        <color indexed="8"/>
        <rFont val="Cambria"/>
        <family val="1"/>
        <scheme val="major"/>
      </rPr>
      <t>Black Granite</t>
    </r>
    <r>
      <rPr>
        <sz val="10"/>
        <color indexed="8"/>
        <rFont val="Cambria"/>
        <family val="1"/>
        <scheme val="major"/>
      </rPr>
      <t xml:space="preserve"> flooring on staircase midlanding at Main Entrance as per approved quality laid to required pattern with cement mortar of required thickness. Joints shall be finished with epoxy based grouting compound. Rate shall be inclusive of Cutting of slab, wastage etc. basic rate of granite delivered at site</t>
    </r>
    <r>
      <rPr>
        <b/>
        <sz val="10"/>
        <color rgb="FFC00000"/>
        <rFont val="Cambria"/>
        <family val="1"/>
        <scheme val="major"/>
      </rPr>
      <t xml:space="preserve"> </t>
    </r>
    <r>
      <rPr>
        <b/>
        <sz val="10"/>
        <color rgb="FFFA2E2E"/>
        <rFont val="Cambria"/>
        <family val="1"/>
        <scheme val="major"/>
      </rPr>
      <t>( Basic cost of granite Rs.145/- per sq.ft. )</t>
    </r>
  </si>
  <si>
    <r>
      <t>Supply fixing and installation of heavy duty</t>
    </r>
    <r>
      <rPr>
        <b/>
        <sz val="10"/>
        <color rgb="FF000000"/>
        <rFont val="Cambria"/>
        <family val="1"/>
        <scheme val="major"/>
      </rPr>
      <t xml:space="preserve"> 20/15 mm Concealed stop cocks ( Make Jaguar Continental Series ) </t>
    </r>
    <r>
      <rPr>
        <sz val="10"/>
        <color rgb="FF000000"/>
        <rFont val="Cambria"/>
        <family val="1"/>
        <scheme val="major"/>
      </rPr>
      <t>to be provided only at the entry point of plumbing lines within the toilets / pantry</t>
    </r>
  </si>
  <si>
    <r>
      <t>Supply &amp; fixing of Nahani trap ( Make : Nathani , Seko )</t>
    </r>
    <r>
      <rPr>
        <sz val="10"/>
        <color rgb="FF000000"/>
        <rFont val="Cambria"/>
        <family val="1"/>
        <scheme val="major"/>
      </rPr>
      <t xml:space="preserve"> with Stainless Steel Chili trap mesh on it. </t>
    </r>
  </si>
  <si>
    <r>
      <t xml:space="preserve">Providing and fixing machanical driven industrial grade water meter made up of solid brass and should have multi jet, anti corrosion and sedimentation free features for horizontal flow of approved make </t>
    </r>
    <r>
      <rPr>
        <sz val="10"/>
        <color rgb="FF00B0F0"/>
        <rFont val="Cambria"/>
        <family val="1"/>
        <scheme val="major"/>
      </rPr>
      <t xml:space="preserve">(Make : Kranti , Everest and approved by CPC as expectional basis)
</t>
    </r>
  </si>
  <si>
    <r>
      <t xml:space="preserve">Providing and fixing first quality </t>
    </r>
    <r>
      <rPr>
        <b/>
        <sz val="10"/>
        <color rgb="FF000000"/>
        <rFont val="Cambria"/>
        <family val="1"/>
        <scheme val="major"/>
      </rPr>
      <t xml:space="preserve">European Water closet with attached cisten </t>
    </r>
    <r>
      <rPr>
        <sz val="10"/>
        <color rgb="FF000000"/>
        <rFont val="Cambria"/>
        <family val="1"/>
        <scheme val="major"/>
      </rPr>
      <t xml:space="preserve">of </t>
    </r>
    <r>
      <rPr>
        <u/>
        <sz val="10"/>
        <color rgb="FF00B0F0"/>
        <rFont val="Cambria"/>
        <family val="1"/>
        <scheme val="major"/>
      </rPr>
      <t xml:space="preserve">Dual Flush Cistern </t>
    </r>
    <r>
      <rPr>
        <sz val="10"/>
        <color rgb="FF00B0F0"/>
        <rFont val="Cambria"/>
        <family val="1"/>
        <scheme val="major"/>
      </rPr>
      <t xml:space="preserve">of flow rates of 4/2 LPF approved by bank or CPC team as exception/ Refer make and model sheet, water closet </t>
    </r>
    <r>
      <rPr>
        <sz val="10"/>
        <color rgb="FF000000"/>
        <rFont val="Cambria"/>
        <family val="1"/>
        <scheme val="major"/>
      </rPr>
      <t xml:space="preserve">cost is </t>
    </r>
    <r>
      <rPr>
        <sz val="10"/>
        <color theme="1"/>
        <rFont val="Cambria"/>
        <family val="1"/>
        <scheme val="major"/>
      </rPr>
      <t>including</t>
    </r>
    <r>
      <rPr>
        <sz val="10"/>
        <color rgb="FF000000"/>
        <rFont val="Cambria"/>
        <family val="1"/>
        <scheme val="major"/>
      </rPr>
      <t xml:space="preserve"> </t>
    </r>
    <r>
      <rPr>
        <sz val="10"/>
        <rFont val="Cambria"/>
        <family val="1"/>
        <scheme val="major"/>
      </rPr>
      <t xml:space="preserve">flush tank, </t>
    </r>
    <r>
      <rPr>
        <sz val="10"/>
        <color rgb="FF000000"/>
        <rFont val="Cambria"/>
        <family val="1"/>
        <scheme val="major"/>
      </rPr>
      <t xml:space="preserve">seat cover, connection pipe, chair bracket and All complete as per design and specifications.  </t>
    </r>
  </si>
  <si>
    <r>
      <t xml:space="preserve">Same as above 16(a) wall hung EWC but with dual Flush Valves for Flow of 25 mm  </t>
    </r>
    <r>
      <rPr>
        <sz val="10"/>
        <color rgb="FF00B0F0"/>
        <rFont val="Cambria"/>
        <family val="1"/>
        <scheme val="major"/>
      </rPr>
      <t xml:space="preserve">with flush valve of flow rates of 4/2 LPF approved by bank or CPC team as exception/ Refer make and model sheet. </t>
    </r>
  </si>
  <si>
    <r>
      <t xml:space="preserve"> Providing and fixing of single </t>
    </r>
    <r>
      <rPr>
        <b/>
        <sz val="10"/>
        <color rgb="FFFF0000"/>
        <rFont val="Cambria"/>
        <family val="1"/>
        <scheme val="major"/>
      </rPr>
      <t>Urinal with electronic Flushing system</t>
    </r>
    <r>
      <rPr>
        <sz val="10"/>
        <color rgb="FFFF0000"/>
        <rFont val="Cambria"/>
        <family val="1"/>
        <scheme val="major"/>
      </rPr>
      <t xml:space="preserve"> </t>
    </r>
    <r>
      <rPr>
        <b/>
        <sz val="10"/>
        <color rgb="FFFF0000"/>
        <rFont val="Cambria"/>
        <family val="1"/>
        <scheme val="major"/>
      </rPr>
      <t>(large flat back type)</t>
    </r>
    <r>
      <rPr>
        <b/>
        <sz val="10"/>
        <color rgb="FF00B0F0"/>
        <rFont val="Cambria"/>
        <family val="1"/>
        <scheme val="major"/>
      </rPr>
      <t xml:space="preserve"> </t>
    </r>
    <r>
      <rPr>
        <sz val="10"/>
        <color rgb="FF00B0F0"/>
        <rFont val="Cambria"/>
        <family val="1"/>
        <scheme val="major"/>
      </rPr>
      <t xml:space="preserve">(flow rates of </t>
    </r>
    <r>
      <rPr>
        <u/>
        <sz val="10"/>
        <color rgb="FF00B0F0"/>
        <rFont val="Cambria"/>
        <family val="1"/>
        <scheme val="major"/>
      </rPr>
      <t>max upto 1.5 LPF</t>
    </r>
    <r>
      <rPr>
        <sz val="10"/>
        <color rgb="FF00B0F0"/>
        <rFont val="Cambria"/>
        <family val="1"/>
        <scheme val="major"/>
      </rPr>
      <t xml:space="preserve"> approved by bank or CPC team as exception/ Refer make and model sheet, urinal)</t>
    </r>
    <r>
      <rPr>
        <b/>
        <sz val="10"/>
        <color rgb="FF00B0F0"/>
        <rFont val="Cambria"/>
        <family val="1"/>
        <scheme val="major"/>
      </rPr>
      <t xml:space="preserve">  </t>
    </r>
    <r>
      <rPr>
        <sz val="10"/>
        <color rgb="FF000000"/>
        <rFont val="Cambria"/>
        <family val="1"/>
        <scheme val="major"/>
      </rPr>
      <t>including all connection pipe , necessary brackets, urinal spreader, dome grating All complete as per design and specifications.</t>
    </r>
  </si>
  <si>
    <r>
      <t xml:space="preserve">Providing and fixing of single </t>
    </r>
    <r>
      <rPr>
        <b/>
        <sz val="10"/>
        <color rgb="FFFF0000"/>
        <rFont val="Cambria"/>
        <family val="1"/>
        <scheme val="major"/>
      </rPr>
      <t>Urinal pressmatic Flushing system</t>
    </r>
    <r>
      <rPr>
        <sz val="10"/>
        <color rgb="FFFF0000"/>
        <rFont val="Cambria"/>
        <family val="1"/>
        <scheme val="major"/>
      </rPr>
      <t xml:space="preserve"> </t>
    </r>
    <r>
      <rPr>
        <b/>
        <sz val="10"/>
        <color rgb="FFFF0000"/>
        <rFont val="Cambria"/>
        <family val="1"/>
        <scheme val="major"/>
      </rPr>
      <t xml:space="preserve">(large flat back type) </t>
    </r>
    <r>
      <rPr>
        <sz val="10"/>
        <color rgb="FF00B0F0"/>
        <rFont val="Cambria"/>
        <family val="1"/>
        <scheme val="major"/>
      </rPr>
      <t>(flow rates of max upto 1.5 LPF approved by bank or CPC team as exception/ Refer make and model sheet, urinal)</t>
    </r>
    <r>
      <rPr>
        <sz val="10"/>
        <color rgb="FFFF0000"/>
        <rFont val="Cambria"/>
        <family val="1"/>
        <scheme val="major"/>
      </rPr>
      <t xml:space="preserve"> </t>
    </r>
    <r>
      <rPr>
        <sz val="10"/>
        <color rgb="FF000000"/>
        <rFont val="Cambria"/>
        <family val="1"/>
        <scheme val="major"/>
      </rPr>
      <t>including all  urinal valve with auto closing system (Pressmatic taps), connection pipe , necessary brackets, urinal spreader, dome grating All complete as per design and specifications.</t>
    </r>
  </si>
  <si>
    <r>
      <t xml:space="preserve">Providing and fixing under/ Over counter </t>
    </r>
    <r>
      <rPr>
        <b/>
        <sz val="10"/>
        <color rgb="FF000000"/>
        <rFont val="Cambria"/>
        <family val="1"/>
        <scheme val="major"/>
      </rPr>
      <t xml:space="preserve">Wash Basin </t>
    </r>
    <r>
      <rPr>
        <sz val="10"/>
        <color rgb="FF000000"/>
        <rFont val="Cambria"/>
        <family val="1"/>
        <scheme val="major"/>
      </rPr>
      <t xml:space="preserve">of approved shape </t>
    </r>
    <r>
      <rPr>
        <b/>
        <sz val="10"/>
        <color rgb="FFFF0000"/>
        <rFont val="Cambria"/>
        <family val="1"/>
        <scheme val="major"/>
      </rPr>
      <t>(make model as approved by bank or CPC team as exception )</t>
    </r>
    <r>
      <rPr>
        <sz val="10"/>
        <color rgb="FF000000"/>
        <rFont val="Cambria"/>
        <family val="1"/>
        <scheme val="major"/>
      </rPr>
      <t xml:space="preserve">. including waste coupling, brackets &amp; connection pipe etc. all required to complete the work and make it functional. All complete as per design and specifications. </t>
    </r>
  </si>
  <si>
    <r>
      <t xml:space="preserve">Same as above </t>
    </r>
    <r>
      <rPr>
        <sz val="10"/>
        <color rgb="FF0066CC"/>
        <rFont val="Cambria"/>
        <family val="1"/>
        <scheme val="major"/>
      </rPr>
      <t>15(c)</t>
    </r>
    <r>
      <rPr>
        <sz val="10"/>
        <color rgb="FF000000"/>
        <rFont val="Cambria"/>
        <family val="1"/>
        <scheme val="major"/>
      </rPr>
      <t xml:space="preserve"> but </t>
    </r>
    <r>
      <rPr>
        <b/>
        <sz val="10"/>
        <color rgb="FF000000"/>
        <rFont val="Cambria"/>
        <family val="1"/>
        <scheme val="major"/>
      </rPr>
      <t>half Pedestal Wash Basin</t>
    </r>
  </si>
  <si>
    <r>
      <t>Similar to above but in divider plate</t>
    </r>
    <r>
      <rPr>
        <sz val="10"/>
        <color rgb="FFFF0000"/>
        <rFont val="Cambria"/>
        <family val="1"/>
        <scheme val="major"/>
      </rPr>
      <t xml:space="preserve"> </t>
    </r>
    <r>
      <rPr>
        <b/>
        <sz val="10"/>
        <color rgb="FFFF0000"/>
        <rFont val="Cambria"/>
        <family val="1"/>
        <scheme val="major"/>
      </rPr>
      <t>(make model as approved by bank or CPC team as exception )</t>
    </r>
  </si>
  <si>
    <r>
      <t>Providing and fixing Pantry staintless steel sink of size 18" x 16"</t>
    </r>
    <r>
      <rPr>
        <b/>
        <sz val="10"/>
        <color rgb="FF000000"/>
        <rFont val="Cambria"/>
        <family val="1"/>
        <scheme val="major"/>
      </rPr>
      <t xml:space="preserve"> </t>
    </r>
    <r>
      <rPr>
        <sz val="10"/>
        <color rgb="FF000000"/>
        <rFont val="Cambria"/>
        <family val="1"/>
        <scheme val="major"/>
      </rPr>
      <t xml:space="preserve"> </t>
    </r>
    <r>
      <rPr>
        <b/>
        <sz val="10"/>
        <color rgb="FFFF0000"/>
        <rFont val="Cambria"/>
        <family val="1"/>
        <scheme val="major"/>
      </rPr>
      <t>(make and model as approved by bank or CPC team as exception)</t>
    </r>
    <r>
      <rPr>
        <b/>
        <sz val="10"/>
        <color rgb="FF000000"/>
        <rFont val="Cambria"/>
        <family val="1"/>
        <scheme val="major"/>
      </rPr>
      <t xml:space="preserve">. </t>
    </r>
    <r>
      <rPr>
        <sz val="10"/>
        <color rgb="FF000000"/>
        <rFont val="Cambria"/>
        <family val="1"/>
        <scheme val="major"/>
      </rPr>
      <t xml:space="preserve">cost including waste coupling &amp; connection pipe etc. all required to complete the work and make it functional. All complete as per design and specifications.  </t>
    </r>
  </si>
  <si>
    <r>
      <t xml:space="preserve">Providing and fixing heavy duty pillar cock for pantry manufactured by </t>
    </r>
    <r>
      <rPr>
        <sz val="10"/>
        <color rgb="FF00B0F0"/>
        <rFont val="Cambria"/>
        <family val="1"/>
        <scheme val="major"/>
      </rPr>
      <t xml:space="preserve"> (Pillar Cock with water flow rate or Aerators (flow Restrictors) restricting flow rate upto 3 LPM @ 3 Bar Pressure, approved by bank or CPC team as exception/ Refer make and model sheet, Pillar cock, Aerators) </t>
    </r>
    <r>
      <rPr>
        <sz val="10"/>
        <color rgb="FF000000"/>
        <rFont val="Cambria"/>
        <family val="1"/>
        <scheme val="major"/>
      </rPr>
      <t>all complete as per standard specifications and as directed by the CPC.</t>
    </r>
  </si>
  <si>
    <r>
      <t>Providing and fixing angular stopcock manufactured by</t>
    </r>
    <r>
      <rPr>
        <b/>
        <sz val="10"/>
        <color rgb="FFFF0000"/>
        <rFont val="Cambria"/>
        <family val="1"/>
        <scheme val="major"/>
      </rPr>
      <t xml:space="preserve"> (make &amp; model as approved by bank or CPC team as exception) </t>
    </r>
    <r>
      <rPr>
        <sz val="10"/>
        <color rgb="FF000000"/>
        <rFont val="Cambria"/>
        <family val="1"/>
        <scheme val="major"/>
      </rPr>
      <t>15 mm dia. all complete as per standard specifications and as directed by CPC</t>
    </r>
  </si>
  <si>
    <r>
      <t xml:space="preserve">Providing and fixing heavy duty 15 mm dia C.P. brass short body bibcock (two in one) of approved manufacturer  </t>
    </r>
    <r>
      <rPr>
        <sz val="10"/>
        <color rgb="FF00B0F0"/>
        <rFont val="Cambria"/>
        <family val="1"/>
        <scheme val="major"/>
      </rPr>
      <t>(Bib Cock with water flow rate or Aerators (flow Restrictors) restricting flow rate upto 3 LPM @ 3 Bar Pressure, approved by bank or CPC team as exception/ Refer make and model sheet,two way bib cock)</t>
    </r>
    <r>
      <rPr>
        <sz val="10"/>
        <color rgb="FF000000"/>
        <rFont val="Cambria"/>
        <family val="1"/>
        <scheme val="major"/>
      </rPr>
      <t xml:space="preserve"> all complete as per standard specifications and as directed by the in - Charge.</t>
    </r>
  </si>
  <si>
    <r>
      <t xml:space="preserve">providing and fixing of heavy duty bottle trap. </t>
    </r>
    <r>
      <rPr>
        <b/>
        <sz val="10"/>
        <color rgb="FFFF0000"/>
        <rFont val="Cambria"/>
        <family val="1"/>
        <scheme val="major"/>
      </rPr>
      <t xml:space="preserve">(Make &amp; model as approved by bank or CPC team as exception). </t>
    </r>
  </si>
  <si>
    <r>
      <t>Providing and fixing heavy duty  pillar cock auto closing system (Pressmatic taps) for washbasins manufactured by (</t>
    </r>
    <r>
      <rPr>
        <sz val="10"/>
        <color rgb="FF00B0F0"/>
        <rFont val="Cambria"/>
        <family val="1"/>
        <scheme val="major"/>
      </rPr>
      <t>Pillar Cock with water flow rate or Aerators (flow Restrictors) restricting flow rate upto 3 LPM @ 3 Bar Pressure, approved by bank or CPC team as exception/ Refer make and model sheet, Pillar cock)</t>
    </r>
    <r>
      <rPr>
        <sz val="10"/>
        <color rgb="FF000000"/>
        <rFont val="Cambria"/>
        <family val="1"/>
        <scheme val="major"/>
      </rPr>
      <t xml:space="preserve"> all complete as per standard specifications and as directed by the CPC</t>
    </r>
  </si>
  <si>
    <r>
      <t xml:space="preserve">Providing and fixing heavy duty sensor pillar cock (Automatic taps) for washbasins manufactured by </t>
    </r>
    <r>
      <rPr>
        <sz val="10"/>
        <color rgb="FF00B0F0"/>
        <rFont val="Cambria"/>
        <family val="1"/>
        <scheme val="major"/>
      </rPr>
      <t>(Pillar Cock with water flow rate or Aerators (flow Restrictors) restricting flow rate upto 3 LPM @ 3 Bar Pressure, approved by bank or CPC team as exception/ Refer make and model sheet, Pillar cock)</t>
    </r>
    <r>
      <rPr>
        <sz val="10"/>
        <color rgb="FF000000"/>
        <rFont val="Cambria"/>
        <family val="1"/>
        <scheme val="major"/>
      </rPr>
      <t xml:space="preserve"> all complete as per standard specifications and as directed by the CPC</t>
    </r>
  </si>
  <si>
    <r>
      <t xml:space="preserve">Providing and fixing aerators Shower Flow Aerator (Spray) to lavatory faucets and kitchen faucets with 21mm dia  </t>
    </r>
    <r>
      <rPr>
        <sz val="10"/>
        <color rgb="FF00B0F0"/>
        <rFont val="Cambria"/>
        <family val="1"/>
        <scheme val="major"/>
      </rPr>
      <t>(For Lavatory Faucets - Flow rate restricted to 3 LPM @ 3 Bar Pressure and for Kitchen Faucet -  Flow rate restricted to 3.8 LPM @ 3 Bar Pressure. Make &amp; model as approved by bank or CPC team as exception/ refer make and model sheet, Aerators)</t>
    </r>
  </si>
  <si>
    <r>
      <t xml:space="preserve">Providing and fixing hand type Jet Spray with adjustable nozzle and push type valve and inlet flexible water connection in the toilet manufactured by </t>
    </r>
    <r>
      <rPr>
        <b/>
        <sz val="10"/>
        <color indexed="40"/>
        <rFont val="Cambria"/>
        <family val="1"/>
        <scheme val="major"/>
      </rPr>
      <t>M/s. Jaguar continental series or as approved by bank or CPC team</t>
    </r>
  </si>
  <si>
    <r>
      <t xml:space="preserve">Supplying of disposable </t>
    </r>
    <r>
      <rPr>
        <b/>
        <sz val="10"/>
        <color rgb="FF000000"/>
        <rFont val="Cambria"/>
        <family val="1"/>
        <scheme val="major"/>
      </rPr>
      <t>Soap Dispenser</t>
    </r>
    <r>
      <rPr>
        <sz val="10"/>
        <color rgb="FF000000"/>
        <rFont val="Cambria"/>
        <family val="1"/>
        <scheme val="major"/>
      </rPr>
      <t xml:space="preserve"> of</t>
    </r>
    <r>
      <rPr>
        <sz val="10"/>
        <color rgb="FFFF0000"/>
        <rFont val="Cambria"/>
        <family val="1"/>
        <scheme val="major"/>
      </rPr>
      <t xml:space="preserve"> </t>
    </r>
    <r>
      <rPr>
        <b/>
        <sz val="10"/>
        <color rgb="FFFF0000"/>
        <rFont val="Cambria"/>
        <family val="1"/>
        <scheme val="major"/>
      </rPr>
      <t>make as approved by bank or CPC team</t>
    </r>
  </si>
  <si>
    <r>
      <t xml:space="preserve">Supply &amp; fixing of </t>
    </r>
    <r>
      <rPr>
        <b/>
        <sz val="10"/>
        <color rgb="FF000000"/>
        <rFont val="Cambria"/>
        <family val="1"/>
        <scheme val="major"/>
      </rPr>
      <t>Toilet paper holder</t>
    </r>
    <r>
      <rPr>
        <sz val="10"/>
        <color rgb="FF000000"/>
        <rFont val="Cambria"/>
        <family val="1"/>
        <scheme val="major"/>
      </rPr>
      <t xml:space="preserve"> of make as approved by bank or CPC team</t>
    </r>
  </si>
  <si>
    <r>
      <t xml:space="preserve">Supply &amp; fixing of SS finish </t>
    </r>
    <r>
      <rPr>
        <b/>
        <sz val="10"/>
        <color rgb="FF000000"/>
        <rFont val="Cambria"/>
        <family val="1"/>
        <scheme val="major"/>
      </rPr>
      <t xml:space="preserve">Robe Hooks  </t>
    </r>
    <r>
      <rPr>
        <sz val="10"/>
        <color rgb="FF000000"/>
        <rFont val="Cambria"/>
        <family val="1"/>
        <scheme val="major"/>
      </rPr>
      <t>of</t>
    </r>
    <r>
      <rPr>
        <b/>
        <sz val="10"/>
        <color rgb="FF000000"/>
        <rFont val="Cambria"/>
        <family val="1"/>
        <scheme val="major"/>
      </rPr>
      <t xml:space="preserve"> </t>
    </r>
    <r>
      <rPr>
        <sz val="10"/>
        <color rgb="FF000000"/>
        <rFont val="Cambria"/>
        <family val="1"/>
        <scheme val="major"/>
      </rPr>
      <t>make as approved by bank or CPC team</t>
    </r>
  </si>
  <si>
    <r>
      <t>CP brass</t>
    </r>
    <r>
      <rPr>
        <b/>
        <sz val="10"/>
        <color rgb="FF000000"/>
        <rFont val="Cambria"/>
        <family val="1"/>
        <scheme val="major"/>
      </rPr>
      <t xml:space="preserve"> towel ring </t>
    </r>
    <r>
      <rPr>
        <sz val="10"/>
        <color rgb="FF000000"/>
        <rFont val="Cambria"/>
        <family val="1"/>
        <scheme val="major"/>
      </rPr>
      <t>make as approved by bank or CPC team</t>
    </r>
  </si>
  <si>
    <r>
      <t xml:space="preserve">Providing and fixing CI pipe (heavy duty ) for soil, waste, vent, of approved company with required fittings such as junctions, bends, bowl fixed with GI clamps filling the joints of pipe in cement including making necessary holes in walls, refilling the same with concrete making good the damaged portion with matching plaster, complete with 3 coats of oil paint </t>
    </r>
    <r>
      <rPr>
        <sz val="10"/>
        <color rgb="FF00B0F0"/>
        <rFont val="Cambria"/>
        <family val="1"/>
        <scheme val="major"/>
      </rPr>
      <t>(use of approved Low VOC/No VOC Paints as suggested by Bank or CPC team as exception / Refer Make and Model sheet, Paints)</t>
    </r>
    <r>
      <rPr>
        <sz val="10"/>
        <color rgb="FF000000"/>
        <rFont val="Cambria"/>
        <family val="1"/>
        <scheme val="major"/>
      </rPr>
      <t xml:space="preserve"> of approved shade.  The rate is inclusive of necessary scaffolding.</t>
    </r>
  </si>
  <si>
    <r>
      <t xml:space="preserve">Carrying out </t>
    </r>
    <r>
      <rPr>
        <b/>
        <sz val="10"/>
        <color rgb="FF00B0F0"/>
        <rFont val="Cambria"/>
        <family val="1"/>
        <scheme val="major"/>
      </rPr>
      <t xml:space="preserve">Eco - Friendly Pest control and ant-termite treatment </t>
    </r>
    <r>
      <rPr>
        <sz val="10"/>
        <color rgb="FF000000"/>
        <rFont val="Cambria"/>
        <family val="1"/>
        <scheme val="major"/>
      </rPr>
      <t xml:space="preserve">by appointing specialized agency ( Agency : PCI / Hi-care)*  for the premises with one year guarantee. Mode of measurement shall be on carpet area. A certificate of guarantee to be submitted by the vendor along with hand over document. </t>
    </r>
    <r>
      <rPr>
        <b/>
        <sz val="10"/>
        <color rgb="FFFF0000"/>
        <rFont val="Cambria"/>
        <family val="1"/>
        <scheme val="major"/>
      </rPr>
      <t xml:space="preserve">( * In case PCI / Hi-care do not have reach to particular location vendor to share credentials of pest control vendor with CPC for approvals ) </t>
    </r>
  </si>
  <si>
    <r>
      <t xml:space="preserve">Chasing work in the existing brick/siporex up to 200mm wide and max to 75mm deep, for installation of A.C. copper pipes/drain pipes as required and Making finished surfaces with 1:4 cement mortar </t>
    </r>
    <r>
      <rPr>
        <sz val="10"/>
        <color rgb="FF00B0F0"/>
        <rFont val="Cambria"/>
        <family val="1"/>
        <scheme val="major"/>
      </rPr>
      <t>(use Green Pro certified make approved by bank or CPC team as exception/ Refer make and model sheet,cement section)</t>
    </r>
    <r>
      <rPr>
        <sz val="10"/>
        <color rgb="FF000000"/>
        <rFont val="Cambria"/>
        <family val="1"/>
        <scheme val="major"/>
      </rPr>
      <t>, for portions of wall where chasing is done after laying drainage pipes and refrigerant pipes all complete including making good, closing and finishing of holes/openings in walls.</t>
    </r>
  </si>
  <si>
    <r>
      <t>Trenching work as per width and depth required. Making finished surfaces with 1:4 cement mortar</t>
    </r>
    <r>
      <rPr>
        <sz val="10"/>
        <color rgb="FF00B0F0"/>
        <rFont val="Cambria"/>
        <family val="1"/>
        <scheme val="major"/>
      </rPr>
      <t xml:space="preserve"> (use Green Pro certified make approved by bank or CPC team as exception/ Refer make and model sheet,cement section)</t>
    </r>
    <r>
      <rPr>
        <sz val="10"/>
        <color rgb="FF000000"/>
        <rFont val="Cambria"/>
        <family val="1"/>
        <scheme val="major"/>
      </rPr>
      <t xml:space="preserve"> , portions of floor where trenching is done for laying Raceways for  Electrical, Data and Voice cables all complete.</t>
    </r>
    <r>
      <rPr>
        <b/>
        <sz val="10"/>
        <color rgb="FFFF0000"/>
        <rFont val="Cambria"/>
        <family val="1"/>
        <scheme val="major"/>
      </rPr>
      <t>(Chasing should be avoided in floors, it should be done only if no alternative is availaible).</t>
    </r>
  </si>
  <si>
    <r>
      <t xml:space="preserve">Charges towards the preparation of multiple options of proposed or dropped location/s recommended by regional project team </t>
    </r>
    <r>
      <rPr>
        <b/>
        <sz val="10"/>
        <color rgb="FFFF0000"/>
        <rFont val="Cambria"/>
        <family val="1"/>
        <scheme val="major"/>
      </rPr>
      <t>(Jobs can not be more than 3 )</t>
    </r>
  </si>
  <si>
    <r>
      <t xml:space="preserve">Providing and fixing </t>
    </r>
    <r>
      <rPr>
        <b/>
        <sz val="10"/>
        <color rgb="FF000000"/>
        <rFont val="Cambria"/>
        <family val="1"/>
        <scheme val="major"/>
      </rPr>
      <t>a desktop model of CO2 Monitoring Unit</t>
    </r>
    <r>
      <rPr>
        <sz val="10"/>
        <color rgb="FF000000"/>
        <rFont val="Cambria"/>
        <family val="1"/>
        <scheme val="major"/>
      </rPr>
      <t xml:space="preserve"> having CO2 Detection Range: 400-5000PPM , Sensitivity: 1PPM , AC / DC operated. </t>
    </r>
  </si>
  <si>
    <r>
      <t xml:space="preserve">Providing and applying Plaster of Paris punning to wall of average thickness 12mm to18mm thk to existing wall surfaces to achieve smooth surface in true level and plumb complete as directed. The rate to include cost for making grooves up to 12mm thick if required in horizontal or vertical direction near doors, windows, skirting </t>
    </r>
    <r>
      <rPr>
        <sz val="10"/>
        <color rgb="FF00B0F0"/>
        <rFont val="Cambria"/>
        <family val="1"/>
        <scheme val="major"/>
      </rPr>
      <t>(use Green Pro certified make approved by bank or CPC team as exception/ Refer make and model sheet, Gypsum Plaster)</t>
    </r>
  </si>
  <si>
    <r>
      <t xml:space="preserve">Gypsum board Ceiling - 12.5mm thk. single layer gypsum board fixed on suspended G.I. tubular channels as per manufacturers' specifications, including jointing, finishing with gypsum compound, jointing tape and top coat. The surface shall up be duly sanded and finished. Rate shall include cost of marking as/ reflected ceiling plan and making all the necessary cutouts for lights, grills, diffusers etc. The rate shall also include providing perimeter channel for grills, lights, diffusers as called for in HVAC and Electrical Drawings. The rate shall also include providing for edge/ angle bits at all corners, necessary taping, filling with jointing compound as per manufacturers specifications. The rate shall be exclusive of trap door which shall be paid for separately. </t>
    </r>
    <r>
      <rPr>
        <sz val="10"/>
        <color rgb="FF00B0F0"/>
        <rFont val="Cambria"/>
        <family val="1"/>
        <scheme val="major"/>
      </rPr>
      <t>(Green Pro certified make approved by bank or CPC team as exception/ Refer make and model sheet, Gypsum Ceiling)</t>
    </r>
  </si>
  <si>
    <r>
      <t xml:space="preserve">600mm x 600mm Modular Grid Ceiling (providing and fixing modular ceiling systems  </t>
    </r>
    <r>
      <rPr>
        <sz val="10"/>
        <color rgb="FF00B0F0"/>
        <rFont val="Cambria"/>
        <family val="1"/>
        <scheme val="major"/>
      </rPr>
      <t>(Green Pro certified make approved by bank or CPC team as exception/ Refer make and model sheet, Modular Ceiling)</t>
    </r>
    <r>
      <rPr>
        <sz val="10"/>
        <color indexed="8"/>
        <rFont val="Cambria"/>
        <family val="1"/>
        <scheme val="major"/>
      </rPr>
      <t xml:space="preserve"> with mineral fibre board ceiling tiles as per following specifications, rate to include all fastening accessories with approved finishes. Fire retardant tiles of size 600mm x 600mm x 15mm thick of approved colour and type with acoustical property of </t>
    </r>
    <r>
      <rPr>
        <b/>
        <sz val="10"/>
        <color rgb="FFFF0000"/>
        <rFont val="Cambria"/>
        <family val="1"/>
        <scheme val="major"/>
      </rPr>
      <t>0.7 NRC. (Armstrong / USG Boral)</t>
    </r>
    <r>
      <rPr>
        <sz val="10"/>
        <color indexed="8"/>
        <rFont val="Cambria"/>
        <family val="1"/>
        <scheme val="major"/>
      </rPr>
      <t xml:space="preserve">
Suspension shall be as per manufacturer specific stitched, sillhouette reveal profile grid system with 15mm wide flanges incorporating 6mm central recess colour (all black reveal). Sillhouette main runners and cross tees to have metered ends (bird's mouth or manufacturer specific) and profiled notches to provide cruciform junctions. The perimeter runners should have the shadow edge detail forming a uniform groove (minimum 6mm) between the vertical partition / panelling / wall and the modular false ceiling grid as per detail drawing.</t>
    </r>
  </si>
  <si>
    <r>
      <t xml:space="preserve">Providing rectangular Coves made up of Gypsum board </t>
    </r>
    <r>
      <rPr>
        <sz val="10"/>
        <color rgb="FF00B0F0"/>
        <rFont val="Cambria"/>
        <family val="1"/>
        <scheme val="major"/>
      </rPr>
      <t>(Green Pro certified Gypsum Board and make approved by Bank or CPC team as exception / Refer Make and Model sheet, gypsum board)</t>
    </r>
    <r>
      <rPr>
        <sz val="10"/>
        <color indexed="8"/>
        <rFont val="Cambria"/>
        <family val="1"/>
        <scheme val="major"/>
      </rPr>
      <t xml:space="preserve"> upto a size of 450 mm height and 100 mm facia and including the cost of additional frameworks and overlap , verticals and other necessary requirement   </t>
    </r>
    <r>
      <rPr>
        <b/>
        <sz val="10"/>
        <color rgb="FFDD0806"/>
        <rFont val="Cambria"/>
        <family val="1"/>
        <scheme val="major"/>
      </rPr>
      <t>(Prior approval of Bank required)</t>
    </r>
  </si>
  <si>
    <r>
      <t xml:space="preserve">Providing and fixing trap doors for access to the areas above false ceiling. The trap door shall have an external frame made of 50mm x 50 mm in good quality seasoned wood scantling on which the shutter is hinged. Shutter shall be made of 19mm thk ply and finished with 1.0mm thick laminate externally and enamel paint </t>
    </r>
    <r>
      <rPr>
        <sz val="10"/>
        <color rgb="FF00B0F0"/>
        <rFont val="Cambria"/>
        <family val="1"/>
        <scheme val="major"/>
      </rPr>
      <t xml:space="preserve">(using paints with Low VOC/ No VOC approved by bank or CPC team as exception/ Refer make and model sheet, Paints </t>
    </r>
    <r>
      <rPr>
        <u/>
        <sz val="10"/>
        <color rgb="FF00B0F0"/>
        <rFont val="Cambria"/>
        <family val="1"/>
        <scheme val="major"/>
      </rPr>
      <t>- Applicable only if painted at site</t>
    </r>
    <r>
      <rPr>
        <sz val="10"/>
        <color rgb="FF00B0F0"/>
        <rFont val="Cambria"/>
        <family val="1"/>
        <scheme val="major"/>
      </rPr>
      <t>)</t>
    </r>
    <r>
      <rPr>
        <sz val="10"/>
        <color indexed="8"/>
        <rFont val="Cambria"/>
        <family val="1"/>
        <scheme val="major"/>
      </rPr>
      <t xml:space="preserve"> internally. Concealed heavy duty hinges shall be used to mount the shutters and locking shall be provided with panel locks. The shutter shall be molded in level with the false ceiling forming a groove all around. Sufficient number of hinges and locks shall be provided to avoid sagging of the shutter. Key also shall be supplied for opening the shutter. No extra rate shall be provided for suspenders or frame works around for linking the trap door to gypsum board false ceiling. </t>
    </r>
    <r>
      <rPr>
        <sz val="10"/>
        <color rgb="FF00B0F0"/>
        <rFont val="Cambria"/>
        <family val="1"/>
        <scheme val="major"/>
      </rPr>
      <t>(Green Pro certified make approved by bank or CPC team as exception/ Refer make and model sheet, Gypsum Ceiling)</t>
    </r>
  </si>
  <si>
    <r>
      <t xml:space="preserve">Providing and fixing of full height solid partition made with Aluminum framework of 20 gauge of size 50 mm x 50mm fixed @600mm c/c both ways and covered with 9mm thk </t>
    </r>
    <r>
      <rPr>
        <b/>
        <sz val="10"/>
        <color rgb="FF00B0F0"/>
        <rFont val="Cambria"/>
        <family val="1"/>
        <scheme val="major"/>
      </rPr>
      <t>BWR plywood (Plywood which are "Free of Added Urea Formaldehyde" (required) and Green Pro certified (Mandatory) and make approved by Bank or CPC team as exception / Refer Make and Model sheet, BWR Plywood)</t>
    </r>
    <r>
      <rPr>
        <sz val="10"/>
        <color indexed="8"/>
        <rFont val="Cambria"/>
        <family val="1"/>
        <scheme val="major"/>
      </rPr>
      <t xml:space="preserve"> and finished with 1.0mm thk laminate of approved shade. 75 mm  wide aluminium skirting is to be provided. Cost to include wooden inserts of sal-wood at the door opening for fixing of floor spring pivot etc. </t>
    </r>
    <r>
      <rPr>
        <b/>
        <sz val="10"/>
        <color rgb="FFFF0000"/>
        <rFont val="Cambria"/>
        <family val="1"/>
        <scheme val="major"/>
      </rPr>
      <t>(The measurements will be taken from flooring to bottom of false ceiling) ( Basic cost of laminate up to Rs. 45/- Per sq.ft)</t>
    </r>
  </si>
  <si>
    <r>
      <t xml:space="preserve">Portion of the partition above the ceiling level to be made of Aluminum framework of 20 gauge of size 50 mm x 50mm. And covered from one side with 12.5 mm thick gypsum board of </t>
    </r>
    <r>
      <rPr>
        <sz val="10"/>
        <color rgb="FF00B0F0"/>
        <rFont val="Cambria"/>
        <family val="1"/>
        <scheme val="major"/>
      </rPr>
      <t>( Green Pro certified Gypsum Board and make approved by Bank or CPC team as exception / Refer Make and Model sheet, gypsum board)</t>
    </r>
    <r>
      <rPr>
        <sz val="10"/>
        <color indexed="8"/>
        <rFont val="Cambria"/>
        <family val="1"/>
        <scheme val="major"/>
      </rPr>
      <t xml:space="preserve"> specified Make.(The measurements will be taken from bottom of false ceiling up to slab bottom)</t>
    </r>
  </si>
  <si>
    <r>
      <t>Same as item 1.a-(i) above but partition framework to be covered with one side</t>
    </r>
    <r>
      <rPr>
        <b/>
        <sz val="10"/>
        <color rgb="FF00B0F0"/>
        <rFont val="Cambria"/>
        <family val="1"/>
        <scheme val="major"/>
      </rPr>
      <t xml:space="preserve"> BRW plywood (Plywood which are "Free of Added Urea Formaldehyde" (required) and Green Pro certified (Mandatory) and make approved by Bank or CPC team as exception / Refer Make and Model sheet, BWR Plywood) </t>
    </r>
    <r>
      <rPr>
        <sz val="10"/>
        <color indexed="8"/>
        <rFont val="Cambria"/>
        <family val="1"/>
        <scheme val="major"/>
      </rPr>
      <t>of 9mm thickness finished with 1.0mm thick laminate  and other side with gypsum of 12.5mm thickness finished with 3 coats of luster paint  (Approved Low VOC/No VOC Paints as suggested by Bank or CPC team as exception / Refer Make and Model sheet, paints) of approved shade. 75 mm wide aluminium skirting is to be provided.</t>
    </r>
    <r>
      <rPr>
        <b/>
        <sz val="10"/>
        <color rgb="FFFF0000"/>
        <rFont val="Cambria"/>
        <family val="1"/>
        <scheme val="major"/>
      </rPr>
      <t xml:space="preserve"> (The measurements will be taken from flooring to bottom of false ceiling) ( Basic cost of laminate up to Rs. 45/- Per sq.ft)</t>
    </r>
  </si>
  <si>
    <r>
      <t>Same as item</t>
    </r>
    <r>
      <rPr>
        <sz val="10"/>
        <color indexed="30"/>
        <rFont val="Cambria"/>
        <family val="1"/>
        <scheme val="major"/>
      </rPr>
      <t xml:space="preserve"> 1.a-(i)</t>
    </r>
    <r>
      <rPr>
        <sz val="10"/>
        <color indexed="8"/>
        <rFont val="Cambria"/>
        <family val="1"/>
        <scheme val="major"/>
      </rPr>
      <t xml:space="preserve"> but partition framework to be covered with both side gypsum board </t>
    </r>
    <r>
      <rPr>
        <sz val="10"/>
        <color rgb="FF00B0F0"/>
        <rFont val="Cambria"/>
        <family val="1"/>
        <scheme val="major"/>
      </rPr>
      <t>(Green Pro certified Gypsum Board and make approved by Bank or CPC team as exception / Refer Make and Model sheet, gypsum board)</t>
    </r>
    <r>
      <rPr>
        <b/>
        <sz val="10"/>
        <color rgb="FF00B0F0"/>
        <rFont val="Cambria"/>
        <family val="1"/>
        <scheme val="major"/>
      </rPr>
      <t xml:space="preserve"> </t>
    </r>
    <r>
      <rPr>
        <sz val="10"/>
        <color indexed="8"/>
        <rFont val="Cambria"/>
        <family val="1"/>
        <scheme val="major"/>
      </rPr>
      <t xml:space="preserve">of 12.5mm thickness with 3 coats of luster paint  </t>
    </r>
    <r>
      <rPr>
        <sz val="10"/>
        <color rgb="FF00B0F0"/>
        <rFont val="Cambria"/>
        <family val="1"/>
        <scheme val="major"/>
      </rPr>
      <t xml:space="preserve">(Approved Low VOC/No VOC Paints as suggested by Bank or CPC team as exception / Refer Make and Model sheet, paints) </t>
    </r>
    <r>
      <rPr>
        <sz val="10"/>
        <color indexed="8"/>
        <rFont val="Cambria"/>
        <family val="1"/>
        <scheme val="major"/>
      </rPr>
      <t>of approved shade</t>
    </r>
  </si>
  <si>
    <r>
      <t xml:space="preserve">Providing and fixing of full height solid partition made with Aluminum framework of 20 gauge of size 50 mm x 38mm fixed @600mm c/c both ways and covered with 12 mm thk </t>
    </r>
    <r>
      <rPr>
        <b/>
        <sz val="10"/>
        <color rgb="FF00B0F0"/>
        <rFont val="Cambria"/>
        <family val="1"/>
        <scheme val="major"/>
      </rPr>
      <t>Fire rated plywood  (Plywood which are "Free of Added Urea Formaldehyde" (required) and Green Pro certified (Mandatory) and make approved by Bank or CPC team as exception / Refer Make and Model sheet, Fire rated Plywood)</t>
    </r>
    <r>
      <rPr>
        <sz val="10"/>
        <color indexed="8"/>
        <rFont val="Cambria"/>
        <family val="1"/>
        <scheme val="major"/>
      </rPr>
      <t xml:space="preserve">  and finished with 1.0mm thk laminate of approved shade. 75 mm  wide aluminium skirting is to be provided. Cost to include inserts of stainless steel at the door opening for fixing of floor spring pivot etc. </t>
    </r>
    <r>
      <rPr>
        <b/>
        <sz val="10"/>
        <color rgb="FFFF0000"/>
        <rFont val="Cambria"/>
        <family val="1"/>
        <scheme val="major"/>
      </rPr>
      <t>Rate shall be inclusive of Glass Wool Rate shall include filling all cutouts using Acrylic Firestop Sealant Hilti CP 606.</t>
    </r>
  </si>
  <si>
    <r>
      <t xml:space="preserve">Glazing profile (size: 26mm x 32mm) single glazed fixed partition for 12 mm toughened glass Complete systems (Entrance Partition &amp; BM Cabin)
Sap Code : EAPS- 1032 - WCP With Cover - 12mm - Non safety Profile for 12mm Glass Aluminum  S.S Finish 3MTR W.C.P End Cap 
H Profile 12mm glass to glass 180 deg Stock Length 3000mm with 3M Adhesive </t>
    </r>
    <r>
      <rPr>
        <sz val="10"/>
        <color rgb="FF00B0F0"/>
        <rFont val="Cambria"/>
        <family val="1"/>
        <scheme val="major"/>
      </rPr>
      <t xml:space="preserve"> (approved Low VOC/No VOC Adhesives to be used by Bank or CPC team as exception / Refer Make and Model sheet, Adhesives) </t>
    </r>
    <r>
      <rPr>
        <sz val="10"/>
        <color indexed="8"/>
        <rFont val="Cambria"/>
        <family val="1"/>
        <scheme val="major"/>
      </rPr>
      <t>Finish EV 101 
Glass 12 mm Tuff Clear Crystal Edge Polished with cut out and Holes
Silicon Seal Clear - Dow / Wacker 
S.S Screw for Fixing Metal / Wooden 38mm x 6mm CSK Philip Head with Plastic Anchor Grip</t>
    </r>
  </si>
  <si>
    <r>
      <t xml:space="preserve">Providing &amp; fixing of Semi glazed partitions solid upto 4'0" ht The solid portion of the  partitions is made by using the Al. frame work of size 50mm x 50mm fixed @600mm c/c bothways covered with  9mm thick BWR plywood (Plywood which are "Free of Added Urea Formaldehyde" (required) and Green Pro certified (optional) and make approved by Bank or CPC team as exception / Refer Make and Model sheet, BWR Plywood) and finished with 1.0mm thick laminate of approved shade.
Glazing profile (size: 26mm x 32mm) single glazed fixed partition for 12 mm toughened glass Complete systems (Entrance Partition &amp; BM Cabin)
Sap Code : EAPS- 1032 - WCP With Cover - 12mm - Non safety Profile for 12mm Glass Aluminum  S.S Finish 3MTR W.C.P End Cap 
H Profile 12mm glass to glass 180 deg Stock Length 3000mm with 3M Adhesive </t>
    </r>
    <r>
      <rPr>
        <sz val="10"/>
        <color rgb="FF00B0F0"/>
        <rFont val="Cambria"/>
        <family val="1"/>
        <scheme val="major"/>
      </rPr>
      <t xml:space="preserve">(approved Low VOC/No VOC Adhesives to be used by Bank or CPC team as exception / Refer Make and Model sheet, Adhesives) </t>
    </r>
    <r>
      <rPr>
        <sz val="10"/>
        <color indexed="8"/>
        <rFont val="Cambria"/>
        <family val="1"/>
        <scheme val="major"/>
      </rPr>
      <t>Finish EV 101 
Glass 12 mm Tuff Clear Crystal Edge Polished with cut out and Holes
Silicon Seal Clear - Dow / Wacker 
S.S Screw for Fixing Metal / Wooden 38mm x 6mm CSK Philip Head with Plastic Anchor Grip</t>
    </r>
  </si>
  <si>
    <r>
      <t>Same as item 1.a-(i) but low height solid partition up to 1200 mm height. The partition framework to be covered with 12mm thick</t>
    </r>
    <r>
      <rPr>
        <b/>
        <sz val="10"/>
        <color rgb="FF00B0F0"/>
        <rFont val="Cambria"/>
        <family val="1"/>
        <scheme val="major"/>
      </rPr>
      <t xml:space="preserve"> BWR plywood ( Plywood which are "Free of Added Urea Formaldehyde" (required) and Green Pro certified (Mandatory) and make approved by Bank or CPC team as exception / Refer Make and Model sheet, BWR Plywood)</t>
    </r>
    <r>
      <rPr>
        <sz val="10"/>
        <color indexed="8"/>
        <rFont val="Cambria"/>
        <family val="1"/>
        <scheme val="major"/>
      </rPr>
      <t xml:space="preserve"> and finished with 1.0mm thick laminate. Wooden trim of size 75mm x 12mm made of Teak wood to be provided at the edge of the partition finished with approved shade of laminate and 75 mm  wide aluminium skirting is to be provided. </t>
    </r>
  </si>
  <si>
    <r>
      <t>Same as item 1.c-(i) above but low height solid partition to have 12mm thick clear float glass</t>
    </r>
    <r>
      <rPr>
        <sz val="10"/>
        <color rgb="FF00B0F0"/>
        <rFont val="Cambria"/>
        <family val="1"/>
        <scheme val="major"/>
      </rPr>
      <t xml:space="preserve">  (Green Pro certified Glass and make approved by Bank  or CPC team as exception / Refer Make and Model sheet, Glass) </t>
    </r>
    <r>
      <rPr>
        <sz val="10"/>
        <rFont val="Cambria"/>
        <family val="1"/>
        <scheme val="major"/>
      </rPr>
      <t>of</t>
    </r>
    <r>
      <rPr>
        <sz val="10"/>
        <color indexed="8"/>
        <rFont val="Cambria"/>
        <family val="1"/>
        <scheme val="major"/>
      </rPr>
      <t xml:space="preserve"> 300mm high fixed by way of ss brackets . The glass edges to be machine Polished and rounded at the corner.</t>
    </r>
  </si>
  <si>
    <r>
      <t xml:space="preserve">P/f paneling of 12mm thick </t>
    </r>
    <r>
      <rPr>
        <b/>
        <sz val="10"/>
        <rFont val="Cambria"/>
        <family val="1"/>
        <scheme val="major"/>
      </rPr>
      <t>BWP plywood</t>
    </r>
    <r>
      <rPr>
        <sz val="10"/>
        <rFont val="Cambria"/>
        <family val="1"/>
        <scheme val="major"/>
      </rPr>
      <t xml:space="preserve"> </t>
    </r>
    <r>
      <rPr>
        <sz val="10"/>
        <color rgb="FF00B0F0"/>
        <rFont val="Cambria"/>
        <family val="1"/>
        <scheme val="major"/>
      </rPr>
      <t xml:space="preserve">(BWP Plywood which are "Free of Added Urea Formaldehyde" (required) make approved by Bank or CPC team as exception / Refer Make and Model sheet, BWP Plywood) </t>
    </r>
    <r>
      <rPr>
        <sz val="10"/>
        <color indexed="8"/>
        <rFont val="Cambria"/>
        <family val="1"/>
        <scheme val="major"/>
      </rPr>
      <t>fixed on leveled wall and finished with 1.00mm thk. laminate of approved Make and shade , on all exposed surfaces on all exposed surfaces as per details, cost should also include molding made out of 25 mm x 12 mm teak wood of at the top and side edge of the paneling finished with 2 mm thk PVC edge banding tap and 75 mm  wide aluminium skirting is to be provided.</t>
    </r>
  </si>
  <si>
    <r>
      <t xml:space="preserve">P/F paneling with Aluminium frame work of 20 gauge of size 50 mm x 38mm with 600mm c/c covered by  12mm thick </t>
    </r>
    <r>
      <rPr>
        <b/>
        <sz val="10"/>
        <color indexed="8"/>
        <rFont val="Cambria"/>
        <family val="1"/>
        <scheme val="major"/>
      </rPr>
      <t xml:space="preserve">BWP plywood </t>
    </r>
    <r>
      <rPr>
        <sz val="10"/>
        <color rgb="FF00B0F0"/>
        <rFont val="Cambria"/>
        <family val="1"/>
        <scheme val="major"/>
      </rPr>
      <t xml:space="preserve">(BWP Plywood which are "Free of Added Urea Formaldehyde" (required) make approved by Bank or CPC team as exception / Refer Make and Model sheet, BWP Plywood) </t>
    </r>
    <r>
      <rPr>
        <b/>
        <sz val="10"/>
        <color indexed="8"/>
        <rFont val="Cambria"/>
        <family val="1"/>
        <scheme val="major"/>
      </rPr>
      <t xml:space="preserve"> </t>
    </r>
    <r>
      <rPr>
        <sz val="10"/>
        <color indexed="8"/>
        <rFont val="Cambria"/>
        <family val="1"/>
        <scheme val="major"/>
      </rPr>
      <t>fixed on  frame and finished with 1.00mm thk laminate having 25 mm x 12 mm teak wood of at the top and side edge of the paneling finished with 2 mm thk PVC edge banding tap and 75 mm  wide aluminium skirting is to be provided.</t>
    </r>
  </si>
  <si>
    <r>
      <t xml:space="preserve">same as item </t>
    </r>
    <r>
      <rPr>
        <sz val="10"/>
        <color rgb="FF0066CC"/>
        <rFont val="Cambria"/>
        <family val="1"/>
        <scheme val="major"/>
      </rPr>
      <t>2.a-(ii)</t>
    </r>
    <r>
      <rPr>
        <sz val="10"/>
        <color rgb="FF000000"/>
        <rFont val="Cambria"/>
        <family val="1"/>
        <scheme val="major"/>
      </rPr>
      <t xml:space="preserve"> above covered with 12.5mm gypsum board </t>
    </r>
    <r>
      <rPr>
        <sz val="10"/>
        <color rgb="FF00B0F0"/>
        <rFont val="Cambria"/>
        <family val="1"/>
        <scheme val="major"/>
      </rPr>
      <t xml:space="preserve"> (Green Pro certified Gypsum Board and make approved by Bank or CPC team as exception / Refer Make and Model sheet, Gypsum Board)</t>
    </r>
    <r>
      <rPr>
        <sz val="10"/>
        <color rgb="FF000000"/>
        <rFont val="Cambria"/>
        <family val="1"/>
        <scheme val="major"/>
      </rPr>
      <t xml:space="preserve"> and finished with 3 coats of approved shade of luster paint. </t>
    </r>
    <r>
      <rPr>
        <sz val="10"/>
        <color rgb="FF00B0F0"/>
        <rFont val="Cambria"/>
        <family val="1"/>
        <scheme val="major"/>
      </rPr>
      <t xml:space="preserve">(Approved Low VOC/No VOC Paints as suggested by Bank or CPC team as exception / Refer Make and Model sheet, Paints) </t>
    </r>
  </si>
  <si>
    <r>
      <t>Same as above</t>
    </r>
    <r>
      <rPr>
        <sz val="10"/>
        <color rgb="FF2F75B5"/>
        <rFont val="Cambria"/>
        <family val="1"/>
        <scheme val="major"/>
      </rPr>
      <t xml:space="preserve"> 2.a-(i)</t>
    </r>
    <r>
      <rPr>
        <sz val="10"/>
        <color rgb="FF000000"/>
        <rFont val="Cambria"/>
        <family val="1"/>
        <scheme val="major"/>
      </rPr>
      <t xml:space="preserve">  but with 12 mm thick bison board and finished with 1 mm thk laminate of approved shade.</t>
    </r>
  </si>
  <si>
    <r>
      <t>Same as above</t>
    </r>
    <r>
      <rPr>
        <sz val="10"/>
        <color rgb="FF2F75B5"/>
        <rFont val="Cambria"/>
        <family val="1"/>
        <scheme val="major"/>
      </rPr>
      <t xml:space="preserve"> 2.a-(ii)</t>
    </r>
    <r>
      <rPr>
        <sz val="10"/>
        <color rgb="FF000000"/>
        <rFont val="Cambria"/>
        <family val="1"/>
        <scheme val="major"/>
      </rPr>
      <t xml:space="preserve">  but with 12 mm thick bison board and finished with 1 mm thk laminate of approved shade.</t>
    </r>
  </si>
  <si>
    <r>
      <t xml:space="preserve">same as item </t>
    </r>
    <r>
      <rPr>
        <sz val="10"/>
        <color rgb="FF2F75B5"/>
        <rFont val="Cambria"/>
        <family val="1"/>
        <scheme val="major"/>
      </rPr>
      <t xml:space="preserve">2.a-(i) </t>
    </r>
    <r>
      <rPr>
        <sz val="10"/>
        <color indexed="8"/>
        <rFont val="Cambria"/>
        <family val="1"/>
        <scheme val="major"/>
      </rPr>
      <t xml:space="preserve"> above but with 12mm thick bison board  finished with 3 coats of approved shade of luster paint. </t>
    </r>
    <r>
      <rPr>
        <sz val="10"/>
        <color rgb="FF00B0F0"/>
        <rFont val="Cambria"/>
        <family val="1"/>
        <scheme val="major"/>
      </rPr>
      <t xml:space="preserve">(Approved Low VOC/No VOC Paints as suggested by Bank or CPC team as exception / Refer Make and Model sheet, Paints) </t>
    </r>
  </si>
  <si>
    <r>
      <t xml:space="preserve">same as item  </t>
    </r>
    <r>
      <rPr>
        <sz val="10"/>
        <color rgb="FF2F75B5"/>
        <rFont val="Cambria"/>
        <family val="1"/>
        <scheme val="major"/>
      </rPr>
      <t xml:space="preserve">2.a-(ii) </t>
    </r>
    <r>
      <rPr>
        <sz val="10"/>
        <color indexed="8"/>
        <rFont val="Cambria"/>
        <family val="1"/>
        <scheme val="major"/>
      </rPr>
      <t>above but with 12mm thick bison board  finished with 3 coats of approved shade of luster paint.</t>
    </r>
    <r>
      <rPr>
        <sz val="10"/>
        <color rgb="FF00B0F0"/>
        <rFont val="Cambria"/>
        <family val="1"/>
        <scheme val="major"/>
      </rPr>
      <t xml:space="preserve">(Approved Low VOC/No VOC Paints as suggested by Bank or CPC team as exception / Refer Make and Model sheet, Paints) </t>
    </r>
  </si>
  <si>
    <r>
      <t xml:space="preserve">Providing and fixing 6mm thk back painted glass (extra clear glass)  </t>
    </r>
    <r>
      <rPr>
        <sz val="10"/>
        <color rgb="FF00B0F0"/>
        <rFont val="Cambria"/>
        <family val="1"/>
        <scheme val="major"/>
      </rPr>
      <t xml:space="preserve">(Green Pro certified Glass and make approved by Bank  or CPC team as exception / Refer Make and Model sheet, Glass) </t>
    </r>
    <r>
      <rPr>
        <sz val="10"/>
        <color indexed="8"/>
        <rFont val="Cambria"/>
        <family val="1"/>
        <scheme val="major"/>
      </rPr>
      <t xml:space="preserve"> as per approved shade on 6mm thk MDF (exterior grade only) backing for partitions/walls as per design and detail drawing. The glass should be glued to the MDF backing using 3M double tape. cost is including 8mm width aluminium hat section in to the grooves between ply paneling / back painted glass </t>
    </r>
  </si>
  <si>
    <r>
      <t xml:space="preserve">P/f wooden boxing for covering AC Piping, windows with Aluminium frame work of 20 gauge of size 25 mm x 25 mm with 600mm c/c internal framework and covered with by 12mm thick BWP plywood </t>
    </r>
    <r>
      <rPr>
        <sz val="10"/>
        <color rgb="FF00B0F0"/>
        <rFont val="Cambria"/>
        <family val="1"/>
        <scheme val="major"/>
      </rPr>
      <t xml:space="preserve">(use BWP Plywood which are "Free of Added Urea Formaldehyde" (required) make approved by Bank or CPC team as exception / Refer Make and Model sheet, BWP Plywood) </t>
    </r>
    <r>
      <rPr>
        <sz val="10"/>
        <color indexed="8"/>
        <rFont val="Cambria"/>
        <family val="1"/>
        <scheme val="major"/>
      </rPr>
      <t xml:space="preserve"> finished with 1.0mm thk laminate of </t>
    </r>
    <r>
      <rPr>
        <b/>
        <sz val="10"/>
        <color rgb="FF000000"/>
        <rFont val="Cambria"/>
        <family val="1"/>
        <scheme val="major"/>
      </rPr>
      <t>approved shade</t>
    </r>
    <r>
      <rPr>
        <b/>
        <sz val="10"/>
        <color rgb="FFDD0806"/>
        <rFont val="Cambria"/>
        <family val="1"/>
        <scheme val="major"/>
      </rPr>
      <t xml:space="preserve"> </t>
    </r>
    <r>
      <rPr>
        <sz val="10"/>
        <color rgb="FF000000"/>
        <rFont val="Cambria"/>
        <family val="1"/>
        <scheme val="major"/>
      </rPr>
      <t>on all exposed surfaces including boxing top.</t>
    </r>
    <r>
      <rPr>
        <b/>
        <sz val="10"/>
        <color rgb="FFDD0806"/>
        <rFont val="Cambria"/>
        <family val="1"/>
        <scheme val="major"/>
      </rPr>
      <t>(surface area will be measured for the purpose of billing)</t>
    </r>
  </si>
  <si>
    <r>
      <t xml:space="preserve">P/f wooden boxing for covering AC Piping, windows with Aluminium frame work of 20 gauge of size 25 mm x 25 mm with 600mm c/c internal framework and covered with by 12mm thick BWP plywood </t>
    </r>
    <r>
      <rPr>
        <sz val="10"/>
        <color rgb="FF00B0F0"/>
        <rFont val="Cambria"/>
        <family val="1"/>
        <scheme val="major"/>
      </rPr>
      <t xml:space="preserve">(use BWP Plywood which are "Free of Added Urea Formaldehyde" (required) make approved by Bank or CPC team as exception / Refer Make and Model sheet, BWP Plywood) </t>
    </r>
    <r>
      <rPr>
        <sz val="10"/>
        <color indexed="8"/>
        <rFont val="Cambria"/>
        <family val="1"/>
        <scheme val="major"/>
      </rPr>
      <t xml:space="preserve"> finished with 3 coats of paints </t>
    </r>
    <r>
      <rPr>
        <sz val="10"/>
        <color rgb="FF00B0F0"/>
        <rFont val="Cambria"/>
        <family val="1"/>
        <scheme val="major"/>
      </rPr>
      <t>(use of approved Low VOC/No VOC Paints as suggested by Bank or CPC team as exception / Refer Make and Model sheet, Paints)</t>
    </r>
    <r>
      <rPr>
        <sz val="10"/>
        <color indexed="8"/>
        <rFont val="Cambria"/>
        <family val="1"/>
        <scheme val="major"/>
      </rPr>
      <t xml:space="preserve"> of </t>
    </r>
    <r>
      <rPr>
        <b/>
        <sz val="10"/>
        <color rgb="FF000000"/>
        <rFont val="Cambria"/>
        <family val="1"/>
        <scheme val="major"/>
      </rPr>
      <t>approved shade</t>
    </r>
    <r>
      <rPr>
        <b/>
        <sz val="10"/>
        <color rgb="FFDD0806"/>
        <rFont val="Cambria"/>
        <family val="1"/>
        <scheme val="major"/>
      </rPr>
      <t xml:space="preserve"> </t>
    </r>
    <r>
      <rPr>
        <sz val="10"/>
        <color rgb="FF000000"/>
        <rFont val="Cambria"/>
        <family val="1"/>
        <scheme val="major"/>
      </rPr>
      <t>on all exposed surfaces including boxing top.</t>
    </r>
    <r>
      <rPr>
        <b/>
        <sz val="10"/>
        <color rgb="FFDD0806"/>
        <rFont val="Cambria"/>
        <family val="1"/>
        <scheme val="major"/>
      </rPr>
      <t>(surface area will be measured for the purpose of billing)</t>
    </r>
  </si>
  <si>
    <r>
      <t>Same as item no.</t>
    </r>
    <r>
      <rPr>
        <sz val="10"/>
        <color rgb="FF0066CC"/>
        <rFont val="Cambria"/>
        <family val="1"/>
        <scheme val="major"/>
      </rPr>
      <t>4.a-(i)</t>
    </r>
    <r>
      <rPr>
        <sz val="10"/>
        <color rgb="FF000000"/>
        <rFont val="Cambria"/>
        <family val="1"/>
        <scheme val="major"/>
      </rPr>
      <t xml:space="preserve"> above but size of the door shall be 900mm x 2100mm</t>
    </r>
  </si>
  <si>
    <r>
      <t>Same as item no.</t>
    </r>
    <r>
      <rPr>
        <sz val="10"/>
        <color rgb="FF0066CC"/>
        <rFont val="Cambria"/>
        <family val="1"/>
        <scheme val="major"/>
      </rPr>
      <t>4.a-(ii)</t>
    </r>
    <r>
      <rPr>
        <sz val="10"/>
        <color rgb="FF000000"/>
        <rFont val="Cambria"/>
        <family val="1"/>
        <scheme val="major"/>
      </rPr>
      <t xml:space="preserve"> above but size of the door shall be 900mm x 2400mm</t>
    </r>
  </si>
  <si>
    <r>
      <t xml:space="preserve">Providing &amp; fixing Solid Flush Door of 38mm thickness in laminate finish on both sides With Vision Panel of size 300mm x 300mm made of  6mm thk glass </t>
    </r>
    <r>
      <rPr>
        <sz val="10"/>
        <color rgb="FF00B0F0"/>
        <rFont val="Cambria"/>
        <family val="1"/>
        <scheme val="major"/>
      </rPr>
      <t xml:space="preserve"> (Green Pro certified Glass and make approved by Bank  or CPC team as exception / Refer Make and Model sheet, Glass)   </t>
    </r>
    <r>
      <rPr>
        <sz val="10"/>
        <color indexed="8"/>
        <rFont val="Cambria"/>
        <family val="1"/>
        <scheme val="major"/>
      </rPr>
      <t>for Server, Teller, store  and Pantry. Door to be mounted  on hinges and heavy duty door closer to be provided including Handles &amp; necessary hardware fittings ( All hardware Make :  Enox/Ozone ). the sizes of the doors to be considered as under:</t>
    </r>
  </si>
  <si>
    <r>
      <t xml:space="preserve">same as item </t>
    </r>
    <r>
      <rPr>
        <sz val="10"/>
        <color rgb="FF0066CC"/>
        <rFont val="Cambria"/>
        <family val="1"/>
        <scheme val="major"/>
      </rPr>
      <t xml:space="preserve">4.c-(i) </t>
    </r>
    <r>
      <rPr>
        <sz val="10"/>
        <color rgb="FF000000"/>
        <rFont val="Cambria"/>
        <family val="1"/>
        <scheme val="major"/>
      </rPr>
      <t>but with out vision panel for toilets and wash rooms. The size of the door to be 825mm x 2100mm</t>
    </r>
  </si>
  <si>
    <r>
      <t>Providing and fixing including necessary civil work door frames made out of salwood section of size 100mm x 75mm including providing 3 nos. anchor hold fasts, applying black jaipan paint</t>
    </r>
    <r>
      <rPr>
        <sz val="10"/>
        <color rgb="FF00B0F0"/>
        <rFont val="Cambria"/>
        <family val="1"/>
        <scheme val="major"/>
      </rPr>
      <t xml:space="preserve"> (Approved Low VOC/No VOC Paints as suggested by Bank or CPC team as exception / Refer Make and Model sheet, paints)</t>
    </r>
    <r>
      <rPr>
        <sz val="10"/>
        <color indexed="8"/>
        <rFont val="Cambria"/>
        <family val="1"/>
        <scheme val="major"/>
      </rPr>
      <t xml:space="preserve"> on the surface of the frame touching the edge of the wall. The frames to be finished with 1.0 mm thick laminate or paint </t>
    </r>
    <r>
      <rPr>
        <sz val="10"/>
        <color rgb="FF00B0F0"/>
        <rFont val="Cambria"/>
        <family val="1"/>
        <scheme val="major"/>
      </rPr>
      <t xml:space="preserve">(Approved Low VOC/No VOC Paints as suggested by Bank or CPC team as exception / Refer Make and Model sheet, Paints)  </t>
    </r>
    <r>
      <rPr>
        <sz val="10"/>
        <color indexed="8"/>
        <rFont val="Cambria"/>
        <family val="1"/>
        <scheme val="major"/>
      </rPr>
      <t>of approved shade.</t>
    </r>
  </si>
  <si>
    <r>
      <t>i. Server room frame: as per door size mentioned in item no.</t>
    </r>
    <r>
      <rPr>
        <sz val="10"/>
        <color rgb="FF0066CC"/>
        <rFont val="Cambria"/>
        <family val="1"/>
        <scheme val="major"/>
      </rPr>
      <t>4.c-(a)</t>
    </r>
    <r>
      <rPr>
        <sz val="10"/>
        <color rgb="FF000000"/>
        <rFont val="Cambria"/>
        <family val="1"/>
        <scheme val="major"/>
      </rPr>
      <t xml:space="preserve"> above</t>
    </r>
  </si>
  <si>
    <r>
      <t>ii. Server room frame: as per door size mentioned in item no.</t>
    </r>
    <r>
      <rPr>
        <sz val="10"/>
        <color rgb="FF0066CC"/>
        <rFont val="Cambria"/>
        <family val="1"/>
        <scheme val="major"/>
      </rPr>
      <t>4.c-(b)</t>
    </r>
    <r>
      <rPr>
        <sz val="10"/>
        <color rgb="FF000000"/>
        <rFont val="Cambria"/>
        <family val="1"/>
        <scheme val="major"/>
      </rPr>
      <t xml:space="preserve"> above</t>
    </r>
  </si>
  <si>
    <r>
      <t xml:space="preserve">iii. Teller room door/ Store room door :  as per door size mentioned in item no. </t>
    </r>
    <r>
      <rPr>
        <sz val="10"/>
        <color rgb="FF0066CC"/>
        <rFont val="Cambria"/>
        <family val="1"/>
        <scheme val="major"/>
      </rPr>
      <t>4.c-(c)</t>
    </r>
    <r>
      <rPr>
        <sz val="10"/>
        <color rgb="FF000000"/>
        <rFont val="Cambria"/>
        <family val="1"/>
        <scheme val="major"/>
      </rPr>
      <t xml:space="preserve"> above</t>
    </r>
  </si>
  <si>
    <r>
      <t xml:space="preserve">iv. Teller room door/ Store room door :  as per door size mentioned in item no. </t>
    </r>
    <r>
      <rPr>
        <sz val="10"/>
        <color rgb="FF0066CC"/>
        <rFont val="Cambria"/>
        <family val="1"/>
        <scheme val="major"/>
      </rPr>
      <t>4.c-(d)</t>
    </r>
    <r>
      <rPr>
        <sz val="10"/>
        <color rgb="FF000000"/>
        <rFont val="Cambria"/>
        <family val="1"/>
        <scheme val="major"/>
      </rPr>
      <t xml:space="preserve"> above</t>
    </r>
  </si>
  <si>
    <r>
      <t xml:space="preserve">iv. Pantry door :  as per door size mentioned in item no. </t>
    </r>
    <r>
      <rPr>
        <sz val="10"/>
        <color rgb="FF0066CC"/>
        <rFont val="Cambria"/>
        <family val="1"/>
        <scheme val="major"/>
      </rPr>
      <t>4.c-(e)</t>
    </r>
    <r>
      <rPr>
        <sz val="10"/>
        <color rgb="FF000000"/>
        <rFont val="Cambria"/>
        <family val="1"/>
        <scheme val="major"/>
      </rPr>
      <t xml:space="preserve"> above</t>
    </r>
  </si>
  <si>
    <r>
      <t xml:space="preserve">iv. Pantry door :  as per door size mentioned in item no. </t>
    </r>
    <r>
      <rPr>
        <sz val="10"/>
        <color rgb="FF0066CC"/>
        <rFont val="Cambria"/>
        <family val="1"/>
        <scheme val="major"/>
      </rPr>
      <t>4.c-(f)</t>
    </r>
    <r>
      <rPr>
        <sz val="10"/>
        <color rgb="FF000000"/>
        <rFont val="Cambria"/>
        <family val="1"/>
        <scheme val="major"/>
      </rPr>
      <t xml:space="preserve"> above</t>
    </r>
  </si>
  <si>
    <r>
      <t xml:space="preserve">NOTE : First drawer at each workstation must have shelves  for segregating currency notes pens/staplers / stamps etc.)Drawer at each workstation to divided in 2 equal parts by a horizontal partition and the front partition among these to be divided into 3 equal partitions by vertical partitions.(As per 5S requirement)
</t>
    </r>
    <r>
      <rPr>
        <b/>
        <sz val="10"/>
        <color rgb="FF00B0F0"/>
        <rFont val="Cambria"/>
        <family val="1"/>
        <scheme val="major"/>
      </rPr>
      <t>Modular furniture makes should have BIFMA / Green Guard / Green Pro Certification  and approved by bank or CPC team as exception (Refer make and model sheet)</t>
    </r>
  </si>
  <si>
    <r>
      <t>Providing and fixing in place, branch manager's table of size 1575mm x 675mm(worktop size)comprising of 25mm thick table top made of medium density particle board with side credenza of size 400mm deep and 900mm long having sliding shutters with locks ( Make : Ebco ) and a 3 drawer pedestal of size 400mm x 500 mm x700mm consisting of 2nos. drawer of 150mm deep and 300mm deep filing drawer having common lock ( Make : Ebco ) including modesty apron to be made out of 19mm thick</t>
    </r>
    <r>
      <rPr>
        <b/>
        <sz val="10"/>
        <color rgb="FF00B0F0"/>
        <rFont val="Cambria"/>
        <family val="1"/>
        <scheme val="major"/>
      </rPr>
      <t xml:space="preserve"> BWR plywood (use Plywood which are "Free of Added Urea Formaldehyde" (required) and Green Pro certified (Mandatory) and make approved by Bank or CPC team as exception / Refer Make and Model sheet, BWR Plywood) /high Density particle board.</t>
    </r>
    <r>
      <rPr>
        <sz val="10"/>
        <color indexed="8"/>
        <rFont val="Cambria"/>
        <family val="1"/>
        <scheme val="major"/>
      </rPr>
      <t xml:space="preserve"> The table top to have post form edge. All complete including key board drawer, M.S. Powder coated Cable tray to place electrical sockets on it, CPU trolley and necessary hardware .( Make : Ebco) all the external surfaces to be finished with 1.0mm thick laminate and internal surfaces to be finished with 0.8 mm thick laminate of approved shade. all complete as directed.( All furniture hardware should be Ebco Make )
</t>
    </r>
  </si>
  <si>
    <r>
      <t xml:space="preserve">Providing and fixing in place, Personal manager's table of size 1350 x 675mm.(worktop size)comprising of 25mm thick table top made of medium density particle board with side credenza of size 400mm deep and 900mm long having sliding shutters with locks ( Make : Ebco )and a 3 drawer pedestal of size 400mm x 500 mm x700mm consisting of 2nos. drawer of 150mm deep and 300mm deep filing drawer having common lock ( Make : Ebco ) including modesty apron to be made out of 19mm thick </t>
    </r>
    <r>
      <rPr>
        <b/>
        <sz val="10"/>
        <color rgb="FF00B0F0"/>
        <rFont val="Cambria"/>
        <family val="1"/>
        <scheme val="major"/>
      </rPr>
      <t>BWR plywood (use Plywood which are "Free of Added Urea Formaldehyde" (required) and Green Pro certified (Mandatory) and make approved by Bank or CPC team as exception / Refer Make and Model sheet, BWR Plywood) /high particle board.</t>
    </r>
    <r>
      <rPr>
        <sz val="10"/>
        <color indexed="8"/>
        <rFont val="Cambria"/>
        <family val="1"/>
        <scheme val="major"/>
      </rPr>
      <t>. The table top to have post form edge.  All complete including key board drawer, M.S. Powder coated Cable tray to place electrical sockets on it, CPU trolley and necessary hardware. all the external surfaces to be finished with 1.0mm thick laminate and internal surfaces to be finished with 0.8 mm thick laminate of approved shade. all complete as directed.( All furniture hardware should be Ebco Make )</t>
    </r>
  </si>
  <si>
    <r>
      <t>Same as item</t>
    </r>
    <r>
      <rPr>
        <sz val="10"/>
        <color rgb="FF0066CC"/>
        <rFont val="Cambria"/>
        <family val="1"/>
        <scheme val="major"/>
      </rPr>
      <t xml:space="preserve"> 5.c-(i)</t>
    </r>
    <r>
      <rPr>
        <sz val="10"/>
        <color rgb="FF000000"/>
        <rFont val="Cambria"/>
        <family val="1"/>
        <scheme val="major"/>
      </rPr>
      <t xml:space="preserve"> above but of size 1425mm x 1425mm.</t>
    </r>
  </si>
  <si>
    <r>
      <t xml:space="preserve">Same as item </t>
    </r>
    <r>
      <rPr>
        <sz val="10"/>
        <color rgb="FF0066CC"/>
        <rFont val="Cambria"/>
        <family val="1"/>
        <scheme val="major"/>
      </rPr>
      <t xml:space="preserve">5.f-(i) </t>
    </r>
    <r>
      <rPr>
        <sz val="10"/>
        <color rgb="FF000000"/>
        <rFont val="Cambria"/>
        <family val="1"/>
        <scheme val="major"/>
      </rPr>
      <t>above but without glass partition.</t>
    </r>
  </si>
  <si>
    <r>
      <t xml:space="preserve">Providing and fixing meeting room table made out of 12mm thick glass </t>
    </r>
    <r>
      <rPr>
        <sz val="10"/>
        <color rgb="FF00B0F0"/>
        <rFont val="Cambria"/>
        <family val="1"/>
        <scheme val="major"/>
      </rPr>
      <t xml:space="preserve"> (use Green Pro certified Glass and make approved by Bank  or CPC team as exception / Refer Make and Model sheet, Glass)  </t>
    </r>
    <r>
      <rPr>
        <sz val="10"/>
        <color rgb="FF000000"/>
        <rFont val="Cambria"/>
        <family val="1"/>
        <scheme val="major"/>
      </rPr>
      <t xml:space="preserve">table top of size up to 900mm dia. Glass edges to have machine cut. The base of the table to be made   of  Powder coated MS base finished with approved shade of PU paint </t>
    </r>
    <r>
      <rPr>
        <sz val="10"/>
        <color rgb="FF00B0F0"/>
        <rFont val="Cambria"/>
        <family val="1"/>
        <scheme val="major"/>
      </rPr>
      <t>(use of approved Low VOC/No VOC Paints as suggested by Bank or CPC team as exception / Refer Make and Model sheet, Paints)</t>
    </r>
    <r>
      <rPr>
        <sz val="10"/>
        <color rgb="FF000000"/>
        <rFont val="Cambria"/>
        <family val="1"/>
        <scheme val="major"/>
      </rPr>
      <t xml:space="preserve"> and finished . Glass to be fixed to the base with PVC vacuum holders.</t>
    </r>
  </si>
  <si>
    <r>
      <t xml:space="preserve">Full height storage units </t>
    </r>
    <r>
      <rPr>
        <b/>
        <sz val="10"/>
        <color rgb="FF00B0F0"/>
        <rFont val="Cambria"/>
        <family val="1"/>
        <scheme val="major"/>
      </rPr>
      <t>(use of BIFMA/Green Guard/ GPSC certified Storage Units)</t>
    </r>
  </si>
  <si>
    <r>
      <t>Low height storage units</t>
    </r>
    <r>
      <rPr>
        <sz val="10"/>
        <color rgb="FF00B0F0"/>
        <rFont val="Cambria"/>
        <family val="1"/>
        <scheme val="major"/>
      </rPr>
      <t xml:space="preserve"> </t>
    </r>
    <r>
      <rPr>
        <b/>
        <sz val="10"/>
        <color rgb="FF00B0F0"/>
        <rFont val="Cambria"/>
        <family val="1"/>
        <scheme val="major"/>
      </rPr>
      <t>(BIFMA/Green Guard/ GPSC certified Storage Units)</t>
    </r>
  </si>
  <si>
    <r>
      <t xml:space="preserve">same as item </t>
    </r>
    <r>
      <rPr>
        <sz val="10"/>
        <color rgb="FF0066CC"/>
        <rFont val="Cambria"/>
        <family val="1"/>
        <scheme val="major"/>
      </rPr>
      <t>6.b-(i)</t>
    </r>
    <r>
      <rPr>
        <sz val="10"/>
        <color rgb="FF000000"/>
        <rFont val="Cambria"/>
        <family val="1"/>
        <scheme val="major"/>
      </rPr>
      <t xml:space="preserve"> above but shutters of the storage to be made sliding with locking arrangement. (Specifically for BM Cabin)</t>
    </r>
  </si>
  <si>
    <r>
      <t xml:space="preserve">Same as item </t>
    </r>
    <r>
      <rPr>
        <sz val="10"/>
        <color rgb="FF0066CC"/>
        <rFont val="Cambria"/>
        <family val="1"/>
        <scheme val="major"/>
      </rPr>
      <t xml:space="preserve">6.b-(i) </t>
    </r>
    <r>
      <rPr>
        <sz val="10"/>
        <color rgb="FF000000"/>
        <rFont val="Cambria"/>
        <family val="1"/>
        <scheme val="major"/>
      </rPr>
      <t>above but overhead storage of approx. height 750mm.</t>
    </r>
  </si>
  <si>
    <r>
      <t xml:space="preserve">Same as item </t>
    </r>
    <r>
      <rPr>
        <sz val="10"/>
        <color rgb="FF0066CC"/>
        <rFont val="Cambria"/>
        <family val="1"/>
        <scheme val="major"/>
      </rPr>
      <t>7(a)</t>
    </r>
    <r>
      <rPr>
        <sz val="10"/>
        <color rgb="FF000000"/>
        <rFont val="Cambria"/>
        <family val="1"/>
        <scheme val="major"/>
      </rPr>
      <t xml:space="preserve"> but shutters without ventilation grille for built in niches .</t>
    </r>
  </si>
  <si>
    <r>
      <t xml:space="preserve">Providing and fixing DB shutters/ Electrical cabinate in 19 mm thick </t>
    </r>
    <r>
      <rPr>
        <b/>
        <sz val="10"/>
        <color rgb="FF000000"/>
        <rFont val="Cambria"/>
        <family val="1"/>
        <scheme val="major"/>
      </rPr>
      <t xml:space="preserve">FR Grade Plywood </t>
    </r>
    <r>
      <rPr>
        <sz val="10"/>
        <color rgb="FF00B0F0"/>
        <rFont val="Cambria"/>
        <family val="1"/>
        <scheme val="major"/>
      </rPr>
      <t>(use FR Plywood which are "Free of Added Urea Formaldehyde" (required) and make approved by Bank or CPC team as exception / Refer Make and Model sheet, FR Plywood)</t>
    </r>
    <r>
      <rPr>
        <b/>
        <sz val="10"/>
        <color rgb="FF000000"/>
        <rFont val="Cambria"/>
        <family val="1"/>
        <scheme val="major"/>
      </rPr>
      <t xml:space="preserve">  </t>
    </r>
    <r>
      <rPr>
        <sz val="10"/>
        <color rgb="FF000000"/>
        <rFont val="Cambria"/>
        <family val="1"/>
        <scheme val="major"/>
      </rPr>
      <t>of approved make only to be finished with 1.0mm thick laminate externally &amp; Internally should have of aluminum perforated grille at bottom and all hardware, tower bolts, locks etc. to be included.</t>
    </r>
  </si>
  <si>
    <r>
      <t xml:space="preserve">Same as item </t>
    </r>
    <r>
      <rPr>
        <sz val="10"/>
        <color rgb="FF0066CC"/>
        <rFont val="Cambria"/>
        <family val="1"/>
        <scheme val="major"/>
      </rPr>
      <t>9.a-(i)</t>
    </r>
    <r>
      <rPr>
        <sz val="10"/>
        <color rgb="FF000000"/>
        <rFont val="Cambria"/>
        <family val="1"/>
        <scheme val="major"/>
      </rPr>
      <t xml:space="preserve"> above but providing only ss pipe of dia 50 mm on one side of the wall with necessary brackets at required intervals.</t>
    </r>
  </si>
  <si>
    <r>
      <t xml:space="preserve">Same as item </t>
    </r>
    <r>
      <rPr>
        <sz val="10"/>
        <color rgb="FF0066CC"/>
        <rFont val="Cambria"/>
        <family val="1"/>
        <scheme val="major"/>
      </rPr>
      <t xml:space="preserve">9.b-(i) </t>
    </r>
    <r>
      <rPr>
        <sz val="10"/>
        <color rgb="FF000000"/>
        <rFont val="Cambria"/>
        <family val="1"/>
        <scheme val="major"/>
      </rPr>
      <t>but providing only MS pipe of dia 50mm on one side of the wall with necessary brackets at required intervals.</t>
    </r>
  </si>
  <si>
    <r>
      <t xml:space="preserve">Loose Furniture </t>
    </r>
    <r>
      <rPr>
        <b/>
        <sz val="10"/>
        <color rgb="FF00B0F0"/>
        <rFont val="Cambria"/>
        <family val="1"/>
        <scheme val="major"/>
      </rPr>
      <t>(use of BIFMA/Green Guard/ GPSC certified Sofa Units)</t>
    </r>
  </si>
  <si>
    <r>
      <t xml:space="preserve">Corner Tables of size 450 mm x450mm made of glass top </t>
    </r>
    <r>
      <rPr>
        <sz val="10"/>
        <color rgb="FF00B0F0"/>
        <rFont val="Cambria"/>
        <family val="1"/>
        <scheme val="major"/>
      </rPr>
      <t xml:space="preserve"> (use Green Pro certified Glass and make approved by Bank  or CPC team as exception / Refer Make and Model sheet, Glass) </t>
    </r>
    <r>
      <rPr>
        <sz val="10"/>
        <color rgb="FF000000"/>
        <rFont val="Cambria"/>
        <family val="1"/>
        <scheme val="major"/>
      </rPr>
      <t xml:space="preserve">and Powder coated MS base finished with approved shade of paint </t>
    </r>
    <r>
      <rPr>
        <sz val="10"/>
        <color rgb="FF00B0F0"/>
        <rFont val="Cambria"/>
        <family val="1"/>
        <scheme val="major"/>
      </rPr>
      <t>(use of approved Low VOC/No VOC Paints as suggested by Bank or CPC team as exception / Refer Make and Model sheet, Paints)</t>
    </r>
    <r>
      <rPr>
        <sz val="10"/>
        <color rgb="FF000000"/>
        <rFont val="Cambria"/>
        <family val="1"/>
        <scheme val="major"/>
      </rPr>
      <t xml:space="preserve">  and finished . ( Make: Amardeep Design or approved by CPC )</t>
    </r>
  </si>
  <si>
    <r>
      <t>Centre Table of size 600mm x 1200mm made of glass top</t>
    </r>
    <r>
      <rPr>
        <sz val="10"/>
        <color rgb="FF00B0F0"/>
        <rFont val="Cambria"/>
        <family val="1"/>
        <scheme val="major"/>
      </rPr>
      <t xml:space="preserve"> (use Green Pro certified Glass and make approved by Bank  or CPC team as exception / Refer Make and Model sheet, Glass) </t>
    </r>
    <r>
      <rPr>
        <sz val="10"/>
        <rFont val="Cambria"/>
        <family val="1"/>
        <scheme val="major"/>
      </rPr>
      <t>a</t>
    </r>
    <r>
      <rPr>
        <sz val="10"/>
        <color rgb="FF000000"/>
        <rFont val="Cambria"/>
        <family val="1"/>
        <scheme val="major"/>
      </rPr>
      <t>nd Powder coated MS base finished with approved shade of paint</t>
    </r>
    <r>
      <rPr>
        <sz val="10"/>
        <color rgb="FF00B0F0"/>
        <rFont val="Cambria"/>
        <family val="1"/>
        <scheme val="major"/>
      </rPr>
      <t xml:space="preserve"> (use of approved Low VOC/No VOC Paints as suggested by Bank or CPC team as exception / Refer Make and Model sheet, Paints)</t>
    </r>
    <r>
      <rPr>
        <sz val="10"/>
        <color rgb="FF000000"/>
        <rFont val="Cambria"/>
        <family val="1"/>
        <scheme val="major"/>
      </rPr>
      <t xml:space="preserve">  and finished . ( Make: Amardeep Design or approved by CPC )</t>
    </r>
  </si>
  <si>
    <r>
      <t xml:space="preserve">Supplying &amp; fixing in position Aluminium extruder sections of 16 gauge of approved Makes two track sliding windows with outer frame made from section overall size 62mm x 45mm, with shutters of sections made of 19mm x 40mm with 6mm plain sheet glass </t>
    </r>
    <r>
      <rPr>
        <sz val="10"/>
        <color rgb="FF00B0F0"/>
        <rFont val="Cambria"/>
        <family val="1"/>
        <scheme val="major"/>
      </rPr>
      <t xml:space="preserve"> (use Green Pro certified Glass and make approved by Bank  or CPC team as exception / Refer Make and Model sheet, Glass) </t>
    </r>
    <r>
      <rPr>
        <sz val="10"/>
        <color rgb="FF000000"/>
        <rFont val="Cambria"/>
        <family val="1"/>
        <scheme val="major"/>
      </rPr>
      <t>of approved Make with new neoprene gasket, shutters to be provided with nylon encased S.S. rollers, necesarry locks, and handles etc. The A1 section should be, treated with powder coating of approved colour/ shade. Complete in all respect.</t>
    </r>
  </si>
  <si>
    <r>
      <t xml:space="preserve">Providing and fixing 12thk. Soft board comprising of 12mm thk. back Ply </t>
    </r>
    <r>
      <rPr>
        <sz val="10"/>
        <color rgb="FF00B0F0"/>
        <rFont val="Cambria"/>
        <family val="1"/>
        <scheme val="major"/>
      </rPr>
      <t>(use FR Plywood which are "Free of Added Urea Formaldehyde" (required) and make approved by Bank or CPC team as exception / Refer Make and Model sheet, FR Plywood</t>
    </r>
    <r>
      <rPr>
        <sz val="10"/>
        <color rgb="FF000000"/>
        <rFont val="Cambria"/>
        <family val="1"/>
        <scheme val="major"/>
      </rPr>
      <t>) fixed on wall with 12mm thk pinup board (Soft  board) covered with fabric of approved shade</t>
    </r>
    <r>
      <rPr>
        <sz val="10"/>
        <color rgb="FFFA2E2E"/>
        <rFont val="Cambria"/>
        <family val="1"/>
        <scheme val="major"/>
      </rPr>
      <t xml:space="preserve"> </t>
    </r>
    <r>
      <rPr>
        <b/>
        <sz val="10"/>
        <color rgb="FFFA2E2E"/>
        <rFont val="Cambria"/>
        <family val="1"/>
        <scheme val="major"/>
      </rPr>
      <t>(Basic cost Rest. 110/- per running meter.)</t>
    </r>
  </si>
  <si>
    <r>
      <t xml:space="preserve">Providing and fixing of magnetic white board of </t>
    </r>
    <r>
      <rPr>
        <b/>
        <sz val="10"/>
        <color rgb="FF000000"/>
        <rFont val="Cambria"/>
        <family val="1"/>
        <scheme val="major"/>
      </rPr>
      <t>3'-0" X 4'-0" size</t>
    </r>
    <r>
      <rPr>
        <sz val="10"/>
        <color rgb="FF000000"/>
        <rFont val="Cambria"/>
        <family val="1"/>
        <scheme val="major"/>
      </rPr>
      <t xml:space="preserve"> for Branch Manager &amp; Meeting Room including accessories like markers, dusters , tray etc.</t>
    </r>
  </si>
  <si>
    <r>
      <t xml:space="preserve">Similar to above but </t>
    </r>
    <r>
      <rPr>
        <b/>
        <sz val="10"/>
        <color rgb="FF000000"/>
        <rFont val="Cambria"/>
        <family val="1"/>
        <scheme val="major"/>
      </rPr>
      <t>6'-0" x4'-0" size</t>
    </r>
  </si>
  <si>
    <r>
      <t>Providing and fixing flawless 6 mm thk. mirror of approved quality . The mirror shall be fixed on 12mm thk  marine plywood</t>
    </r>
    <r>
      <rPr>
        <sz val="10"/>
        <color rgb="FF00B0F0"/>
        <rFont val="Cambria"/>
        <family val="1"/>
        <scheme val="major"/>
      </rPr>
      <t xml:space="preserve"> (use FR Plywood which are "Free of Added Urea Formaldehyde" (required) and make approved by Bank or CPC team as exception / Refer Make and Model sheet, Plywood)</t>
    </r>
    <r>
      <rPr>
        <sz val="10"/>
        <color rgb="FF000000"/>
        <rFont val="Cambria"/>
        <family val="1"/>
        <scheme val="major"/>
      </rPr>
      <t xml:space="preserve"> backing with stainless steel mirror screws.</t>
    </r>
  </si>
  <si>
    <r>
      <t xml:space="preserve">providing and fixing 75 mm ht approved aluminium extruded profile skirting (readymade section) made out of 18 gauge aluminium, powder coated with shade as approved by architect with a thickness of 50 microns. Skirting to include all nesessary fixing details all complete as per detail drawing. Rate to include 12mm thk marine plywood backing </t>
    </r>
    <r>
      <rPr>
        <sz val="10"/>
        <color rgb="FF00B0F0"/>
        <rFont val="Cambria"/>
        <family val="1"/>
        <scheme val="major"/>
      </rPr>
      <t>(use FR Plywood which are "Free of Added Urea Formaldehyde" (required) and make approved by Bank or CPC team as exception / Refer Make and Model sheet, Plywood)</t>
    </r>
    <r>
      <rPr>
        <sz val="10"/>
        <color rgb="FF000000"/>
        <rFont val="Cambria"/>
        <family val="1"/>
        <scheme val="major"/>
      </rPr>
      <t xml:space="preserve"> for solid partition/ wall. Rate to be inclusive of providing 12mm groove between the skirting and the partition skinning.</t>
    </r>
  </si>
  <si>
    <r>
      <t>Providing and fixing 300 mm wide and 10 mm thick glass</t>
    </r>
    <r>
      <rPr>
        <sz val="10"/>
        <color rgb="FF00B0F0"/>
        <rFont val="Cambria"/>
        <family val="1"/>
        <scheme val="major"/>
      </rPr>
      <t xml:space="preserve">  (use Green Pro certified Glass and make approved by Bank  or CPC team as exception / Refer Make and Model sheet, Glass) </t>
    </r>
    <r>
      <rPr>
        <sz val="10"/>
        <color rgb="FF000000"/>
        <rFont val="Cambria"/>
        <family val="1"/>
        <scheme val="major"/>
      </rPr>
      <t xml:space="preserve">shelves for momentos in Br. manager's cabin fixed with ss brackets. Size of each shelve. </t>
    </r>
  </si>
  <si>
    <r>
      <t xml:space="preserve">Providing and fixing 19mm thk ply shelf for DVR in Server Room. </t>
    </r>
    <r>
      <rPr>
        <b/>
        <sz val="10"/>
        <color rgb="FF000000"/>
        <rFont val="Cambria"/>
        <family val="1"/>
        <scheme val="major"/>
      </rPr>
      <t>Size (1'-6" X 9")</t>
    </r>
  </si>
  <si>
    <r>
      <t xml:space="preserve">Similar to above but shelf of </t>
    </r>
    <r>
      <rPr>
        <b/>
        <sz val="10"/>
        <color rgb="FF000000"/>
        <rFont val="Cambria"/>
        <family val="1"/>
        <scheme val="major"/>
      </rPr>
      <t>size(2'-0" X 9")</t>
    </r>
    <r>
      <rPr>
        <sz val="10"/>
        <color rgb="FF000000"/>
        <rFont val="Cambria"/>
        <family val="1"/>
        <scheme val="major"/>
      </rPr>
      <t xml:space="preserve"> for Strong Room below vanity mirror</t>
    </r>
  </si>
  <si>
    <r>
      <t xml:space="preserve">Providing and fixing in place 150mm deep pelmet made out of 12.5 mm thick gypsum board </t>
    </r>
    <r>
      <rPr>
        <sz val="10"/>
        <color rgb="FF00B0F0"/>
        <rFont val="Cambria"/>
        <family val="1"/>
        <scheme val="major"/>
      </rPr>
      <t xml:space="preserve"> (use Green Pro certified Gypsum Board and make approved by Bank or CPC team as exception / Refer Make and Model sheet, Gypsum Board) </t>
    </r>
    <r>
      <rPr>
        <sz val="10"/>
        <color rgb="FF000000"/>
        <rFont val="Cambria"/>
        <family val="1"/>
        <scheme val="major"/>
      </rPr>
      <t>and finished with luster paint</t>
    </r>
    <r>
      <rPr>
        <sz val="10"/>
        <color rgb="FF00B0F0"/>
        <rFont val="Cambria"/>
        <family val="1"/>
        <scheme val="major"/>
      </rPr>
      <t xml:space="preserve"> (use of approved Low VOC/No VOC Paints as suggested by Bank or CPC team as exception / Refer Make and Model sheet, Paints) </t>
    </r>
    <r>
      <rPr>
        <sz val="10"/>
        <color rgb="FF000000"/>
        <rFont val="Cambria"/>
        <family val="1"/>
        <scheme val="major"/>
      </rPr>
      <t>. The pelmet to be provided at the junction of window and false ceiling only  as per site conditions. The pelmet to be concealed inside the false ceiling such as to receive the vertical blinds.</t>
    </r>
  </si>
  <si>
    <r>
      <t xml:space="preserve">Ladder of </t>
    </r>
    <r>
      <rPr>
        <b/>
        <sz val="10"/>
        <color indexed="8"/>
        <rFont val="Cambria"/>
        <family val="1"/>
        <scheme val="major"/>
      </rPr>
      <t>height 8 feet</t>
    </r>
    <r>
      <rPr>
        <sz val="10"/>
        <color indexed="8"/>
        <rFont val="Cambria"/>
        <family val="1"/>
        <scheme val="major"/>
      </rPr>
      <t xml:space="preserve"> (C section and steps on both sides)</t>
    </r>
  </si>
  <si>
    <r>
      <t xml:space="preserve">Ladder of </t>
    </r>
    <r>
      <rPr>
        <b/>
        <sz val="10"/>
        <color indexed="8"/>
        <rFont val="Cambria"/>
        <family val="1"/>
        <scheme val="major"/>
      </rPr>
      <t>height 10 feet</t>
    </r>
    <r>
      <rPr>
        <sz val="10"/>
        <color indexed="8"/>
        <rFont val="Cambria"/>
        <family val="1"/>
        <scheme val="major"/>
      </rPr>
      <t xml:space="preserve"> (C section and steps on both sides)</t>
    </r>
  </si>
  <si>
    <r>
      <t xml:space="preserve">Ladder of </t>
    </r>
    <r>
      <rPr>
        <b/>
        <sz val="10"/>
        <color indexed="8"/>
        <rFont val="Cambria"/>
        <family val="1"/>
        <scheme val="major"/>
      </rPr>
      <t xml:space="preserve">height 12 feet </t>
    </r>
    <r>
      <rPr>
        <sz val="10"/>
        <color indexed="8"/>
        <rFont val="Cambria"/>
        <family val="1"/>
        <scheme val="major"/>
      </rPr>
      <t>(C section and steps on both sides)</t>
    </r>
  </si>
  <si>
    <r>
      <t xml:space="preserve">Providing Heavy Traffic Entrance Mattin </t>
    </r>
    <r>
      <rPr>
        <b/>
        <sz val="10"/>
        <color indexed="8"/>
        <rFont val="Cambria"/>
        <family val="1"/>
        <scheme val="major"/>
      </rPr>
      <t>3M Nomad Terra 8150</t>
    </r>
    <r>
      <rPr>
        <sz val="10"/>
        <color indexed="8"/>
        <rFont val="Cambria"/>
        <family val="1"/>
        <scheme val="major"/>
      </rPr>
      <t xml:space="preserve"> Floor Mat size upto 8'0" x 3'0"
</t>
    </r>
  </si>
  <si>
    <r>
      <t xml:space="preserve">Providing and placing 6 mm transparant acrylic glass for table top to avoid lnk / stamp marking on white laminated tops. </t>
    </r>
    <r>
      <rPr>
        <b/>
        <sz val="10"/>
        <color rgb="FFFF0000"/>
        <rFont val="Cambria"/>
        <family val="1"/>
        <scheme val="major"/>
      </rPr>
      <t>(Basis rate of acrylic is 300 Rs./ Sq.ft)</t>
    </r>
  </si>
  <si>
    <r>
      <t xml:space="preserve">Supply &amp; Fixing single leaf Metal Fire Doors of Size : 1200mm X 2400mm with a vision panel 310mm X 310mm &amp; without panic bar of 60 minutes Rated Insulated Fire Door Tested in accordance to BS: 476 Part – 20 and IS: 3809: 1979, CNP – 2150 </t>
    </r>
    <r>
      <rPr>
        <b/>
        <sz val="10"/>
        <color indexed="8"/>
        <rFont val="Cambria"/>
        <family val="1"/>
        <scheme val="major"/>
      </rPr>
      <t>Door Frame</t>
    </r>
    <r>
      <rPr>
        <sz val="10"/>
        <color indexed="8"/>
        <rFont val="Cambria"/>
        <family val="1"/>
        <scheme val="major"/>
      </rPr>
      <t xml:space="preserve">: Providing of Door Frame of section 120mm X 70mm with fire intumescent seal strip of size 10mm X 4mm for fire and smoke sealing mounted in the grooves of the frame and coated with fire retardant intumescent Primer coating. </t>
    </r>
    <r>
      <rPr>
        <b/>
        <sz val="10"/>
        <color indexed="8"/>
        <rFont val="Cambria"/>
        <family val="1"/>
        <scheme val="major"/>
      </rPr>
      <t>Hinges:</t>
    </r>
    <r>
      <rPr>
        <sz val="10"/>
        <color indexed="8"/>
        <rFont val="Cambria"/>
        <family val="1"/>
        <scheme val="major"/>
      </rPr>
      <t xml:space="preserve"> Providing of ball bearing hinges with S.S. Screws - 4 nos per shutter.</t>
    </r>
    <r>
      <rPr>
        <b/>
        <sz val="10"/>
        <color indexed="8"/>
        <rFont val="Cambria"/>
        <family val="1"/>
        <scheme val="major"/>
      </rPr>
      <t xml:space="preserve"> Handle:  </t>
    </r>
    <r>
      <rPr>
        <sz val="10"/>
        <color indexed="8"/>
        <rFont val="Cambria"/>
        <family val="1"/>
        <scheme val="major"/>
      </rPr>
      <t xml:space="preserve">Fire rated handles in SS finish to be included in cost. </t>
    </r>
  </si>
  <si>
    <r>
      <t xml:space="preserve">Providing and applying desired paint luster finish to walls,  of approved shade.. The surface of wall to be painted shall be prepared and applied with two coats of primer, two coats of putty and touch up putty if required to achieve smooth finish. The surface shall be painted with three coats of luster paint </t>
    </r>
    <r>
      <rPr>
        <sz val="10"/>
        <color rgb="FF00B0F0"/>
        <rFont val="Cambria"/>
        <family val="1"/>
        <scheme val="major"/>
      </rPr>
      <t xml:space="preserve">(use of approved Low VOC/No VOC Paints as suggested by Bank or CPC team as exception / Refer Make and Model sheet, Paints) </t>
    </r>
    <r>
      <rPr>
        <sz val="10"/>
        <color rgb="FFFF0000"/>
        <rFont val="Cambria"/>
        <family val="1"/>
        <scheme val="major"/>
      </rPr>
      <t>of Dulux - akzonobel / Asian.</t>
    </r>
  </si>
  <si>
    <r>
      <t xml:space="preserve">Same as item (a) but applying acrylic emulsion paint </t>
    </r>
    <r>
      <rPr>
        <sz val="10"/>
        <color rgb="FF00B0F0"/>
        <rFont val="Cambria"/>
        <family val="1"/>
        <scheme val="major"/>
      </rPr>
      <t xml:space="preserve">(use of approved Low VOC/No VOC Paints as suggested by Bank or CPC team as exception / Refer Make and Model sheet, Paints)  </t>
    </r>
    <r>
      <rPr>
        <sz val="10"/>
        <color rgb="FF000000"/>
        <rFont val="Cambria"/>
        <family val="1"/>
        <scheme val="major"/>
      </rPr>
      <t xml:space="preserve"> on the ceiling</t>
    </r>
  </si>
  <si>
    <r>
      <t xml:space="preserve">Same as item (a) above but applying synthetic enamel paint </t>
    </r>
    <r>
      <rPr>
        <sz val="10"/>
        <color rgb="FF00B0F0"/>
        <rFont val="Cambria"/>
        <family val="1"/>
        <scheme val="major"/>
      </rPr>
      <t xml:space="preserve">(use of approved Low VOC/No VOC Paints as suggested by Bank or CPC team as exception / Refer Make and Model sheet, Paints) </t>
    </r>
    <r>
      <rPr>
        <sz val="10"/>
        <color rgb="FF000000"/>
        <rFont val="Cambria"/>
        <family val="1"/>
        <scheme val="major"/>
      </rPr>
      <t>to MS grilles, collapsible gates, rolling shutters etc.</t>
    </r>
  </si>
  <si>
    <r>
      <t xml:space="preserve">The surface of wall or ceiling to be painted shall be prepared as per the manufacturers specification. Cracks if any visible on the surface to be treated by opening up the cracks, filling the same using polymer based waterproofing compound. The surface shall be applied with a priming coat of white cement or approved primer. The primed surface shall be painted with the desired paint </t>
    </r>
    <r>
      <rPr>
        <sz val="10"/>
        <color rgb="FF00B0F0"/>
        <rFont val="Cambria"/>
        <family val="1"/>
        <scheme val="major"/>
      </rPr>
      <t xml:space="preserve">(use of approved Low VOC/No VOC Paints as suggested by Bank or CPC team as exception / Refer Make and Model sheet, Paints) </t>
    </r>
    <r>
      <rPr>
        <sz val="10"/>
        <color rgb="FF000000"/>
        <rFont val="Cambria"/>
        <family val="1"/>
        <scheme val="major"/>
      </rPr>
      <t xml:space="preserve"> with two or more coats as per specifications of the manufacturer.</t>
    </r>
  </si>
  <si>
    <r>
      <t xml:space="preserve">Textured superfine paint shall be applied after preparing the surface to get the antique finish. The paint shall be applied using texture roller to give a uniform roller texture finish with two coats different colours of acrylic emulsion paint </t>
    </r>
    <r>
      <rPr>
        <sz val="10"/>
        <color rgb="FF00B0F0"/>
        <rFont val="Cambria"/>
        <family val="1"/>
        <scheme val="major"/>
      </rPr>
      <t>(use of approved Low VOC/No VOC Paints as suggested by Bank or CPC team as exception / Refer Make and Model sheet, Paints)</t>
    </r>
    <r>
      <rPr>
        <sz val="10"/>
        <color rgb="FF000000"/>
        <rFont val="Cambria"/>
        <family val="1"/>
        <scheme val="major"/>
      </rPr>
      <t xml:space="preserve"> . The texture paint used shall be of spectrum make.</t>
    </r>
  </si>
  <si>
    <r>
      <t>Same as item (a) above but applying duco paint</t>
    </r>
    <r>
      <rPr>
        <sz val="10"/>
        <color rgb="FF00B0F0"/>
        <rFont val="Cambria"/>
        <family val="1"/>
        <scheme val="major"/>
      </rPr>
      <t xml:space="preserve"> (use of approved Low VOC/No VOC Paints as suggested by Bank or CPC team as exception / Refer Make and Model sheet, Paints)  </t>
    </r>
    <r>
      <rPr>
        <sz val="10"/>
        <color rgb="FF000000"/>
        <rFont val="Cambria"/>
        <family val="1"/>
        <scheme val="major"/>
      </rPr>
      <t>to existing locker room only  etc.</t>
    </r>
  </si>
  <si>
    <r>
      <t xml:space="preserve">Providing and applying three coats of fire rated paint of approved make, with </t>
    </r>
    <r>
      <rPr>
        <b/>
        <sz val="10"/>
        <color rgb="FF00B0F0"/>
        <rFont val="Cambria"/>
        <family val="1"/>
        <scheme val="major"/>
      </rPr>
      <t>low voc - leed certified</t>
    </r>
    <r>
      <rPr>
        <sz val="10"/>
        <color rgb="FF000000"/>
        <rFont val="Cambria"/>
        <family val="1"/>
        <scheme val="major"/>
      </rPr>
      <t>, wherever required to internal walls/ceiling surfaces  after thoroughly sand papering surfaces to remove dust, dirt etc. and repairing dents, cracks, holes with pop to achieve level surface and finishing with two coats of primer, putty and three coats of paint including cost of material, labour etc. all complete as directed by the engineer in charge. Rate to include application at all heights and levels, surfaces and textures. approval required of engineer in charge after each coat.</t>
    </r>
  </si>
  <si>
    <r>
      <t xml:space="preserve">Providing and fixing of MS </t>
    </r>
    <r>
      <rPr>
        <b/>
        <sz val="10"/>
        <color rgb="FF000000"/>
        <rFont val="Cambria"/>
        <family val="1"/>
        <scheme val="major"/>
      </rPr>
      <t>Box type window grille</t>
    </r>
    <r>
      <rPr>
        <sz val="10"/>
        <color rgb="FF000000"/>
        <rFont val="Cambria"/>
        <family val="1"/>
        <scheme val="major"/>
      </rPr>
      <t xml:space="preserve"> made out of 10mm X 10 mm MS square section with the depth fof 300 mm in standard pattern as per design. The grille to be finished with red oxide and 2 coats of enamel paint </t>
    </r>
    <r>
      <rPr>
        <sz val="10"/>
        <color rgb="FF00B0F0"/>
        <rFont val="Cambria"/>
        <family val="1"/>
        <scheme val="major"/>
      </rPr>
      <t xml:space="preserve">(use of approved Low VOC/No VOC Paints as suggested by Bank or CPC team as exception / Refer Make and Model sheet, Paints)  </t>
    </r>
    <r>
      <rPr>
        <sz val="10"/>
        <color rgb="FF000000"/>
        <rFont val="Cambria"/>
        <family val="1"/>
        <scheme val="major"/>
      </rPr>
      <t>of approved shade (Black)</t>
    </r>
  </si>
  <si>
    <r>
      <t xml:space="preserve">Providing, Fixing and fabrication of MS structure for staircase, under/overdeck strengthing of slab, columns, and MS Brackets. Cost includes cost of all types of MS members requires to build structure, Additional supports, fabrication, bolting, grouting and other neccesary structure elements. MS structure should treated with anti corrotion treament before final finishing. Cost is inclusive of anti corrontion and 2 coats of enamal paint </t>
    </r>
    <r>
      <rPr>
        <sz val="10"/>
        <color rgb="FF00B0F0"/>
        <rFont val="Cambria"/>
        <family val="1"/>
        <scheme val="major"/>
      </rPr>
      <t>(use of approved Low VOC/No VOC Paints as suggested by Bank or CPC team as exception / Refer Make and Model sheet, Paints)</t>
    </r>
    <r>
      <rPr>
        <sz val="10"/>
        <color rgb="FF000000"/>
        <rFont val="Cambria"/>
        <family val="1"/>
        <scheme val="major"/>
      </rPr>
      <t xml:space="preserve"> , Structure certificate etc. ( This item is applicable for MS Brackets of signages, MS Staircase, MS Strengthing work)</t>
    </r>
  </si>
  <si>
    <r>
      <t>P/f. ROLLING SHUTTER</t>
    </r>
    <r>
      <rPr>
        <b/>
        <sz val="10"/>
        <color rgb="FF000000"/>
        <rFont val="Cambria"/>
        <family val="1"/>
        <scheme val="major"/>
      </rPr>
      <t xml:space="preserve"> </t>
    </r>
    <r>
      <rPr>
        <sz val="10"/>
        <color rgb="FF000000"/>
        <rFont val="Cambria"/>
        <family val="1"/>
        <scheme val="major"/>
      </rPr>
      <t>in 18 gauge GI 2" wide flat interlocking slats, with bottom lock rail, necessary handles and locking arrangement, guides on sides including providing vision panel of size 450mm x length  at 1500mm from the floor finish level. Shutters to be coated with 2 coats of anti-rust paint and 3 coats of 1st quality enamel paint (</t>
    </r>
    <r>
      <rPr>
        <sz val="10"/>
        <color rgb="FF00B0F0"/>
        <rFont val="Cambria"/>
        <family val="1"/>
        <scheme val="major"/>
      </rPr>
      <t>use of approved Low VOC/No VOC Paints as suggested by Bank or CPC team as exception / Refer Make and Model sheet, Paints)</t>
    </r>
    <r>
      <rPr>
        <sz val="10"/>
        <color rgb="FF000000"/>
        <rFont val="Cambria"/>
        <family val="1"/>
        <scheme val="major"/>
      </rPr>
      <t xml:space="preserve">  in </t>
    </r>
    <r>
      <rPr>
        <b/>
        <sz val="10"/>
        <color rgb="FFDD0806"/>
        <rFont val="Cambria"/>
        <family val="1"/>
        <scheme val="major"/>
      </rPr>
      <t>Blue colour as per HDFC logo</t>
    </r>
    <r>
      <rPr>
        <sz val="10"/>
        <color rgb="FF000000"/>
        <rFont val="Cambria"/>
        <family val="1"/>
        <scheme val="major"/>
      </rPr>
      <t>. Rate to include top cover box .</t>
    </r>
  </si>
  <si>
    <r>
      <t xml:space="preserve">Providing and erecting in position </t>
    </r>
    <r>
      <rPr>
        <b/>
        <sz val="10"/>
        <color rgb="FF000000"/>
        <rFont val="Cambria"/>
        <family val="1"/>
        <scheme val="major"/>
      </rPr>
      <t>MS Collapsible grill gate</t>
    </r>
    <r>
      <rPr>
        <sz val="10"/>
        <color rgb="FF000000"/>
        <rFont val="Cambria"/>
        <family val="1"/>
        <scheme val="major"/>
      </rPr>
      <t xml:space="preserve"> with heavy duty standard sections, channel, flats, top and bottom guides, pivots, rollers, stoppers, handles with proper locking arrangement &amp; necessary accessories. The gate shall be finished with 1 coat of red oxide and two coats of enamel paint </t>
    </r>
    <r>
      <rPr>
        <sz val="10"/>
        <color rgb="FF00B0F0"/>
        <rFont val="Cambria"/>
        <family val="1"/>
        <scheme val="major"/>
      </rPr>
      <t>(use of approved Low VOC/No VOC Paints as suggested by Bank or CPC team as exception / Refer Make and Model sheet, Paints)</t>
    </r>
    <r>
      <rPr>
        <sz val="10"/>
        <color rgb="FF000000"/>
        <rFont val="Cambria"/>
        <family val="1"/>
        <scheme val="major"/>
      </rPr>
      <t xml:space="preserve">  of approved shade.</t>
    </r>
  </si>
  <si>
    <r>
      <t xml:space="preserve">Similar to above 4(a) but for </t>
    </r>
    <r>
      <rPr>
        <b/>
        <sz val="10"/>
        <color rgb="FF000000"/>
        <rFont val="Cambria"/>
        <family val="1"/>
        <scheme val="major"/>
      </rPr>
      <t>Collapsible MS Shutter</t>
    </r>
  </si>
  <si>
    <r>
      <t xml:space="preserve">Provide and installation of Mild steel Vsat monkey cage of size 8 ft x 8 ft x 8 ft and fixed at bottom with MS angle frame of  size 40/40/5 and also having intermediate supports MS flats of size 25/25/5 and frame covered with MS mesh size of 10 Gauge 4'' x 4'' the cage having access gate Size 6 ft x 3 ft strength by angle with proper locking arrangement, Cage shall be finished with 1 coat of anti-rusting paint and two coats of enamel paint </t>
    </r>
    <r>
      <rPr>
        <sz val="10"/>
        <color rgb="FF00B0F0"/>
        <rFont val="Cambria"/>
        <family val="1"/>
        <scheme val="major"/>
      </rPr>
      <t xml:space="preserve">(use of approved Low VOC/No VOC Paints as suggested by Bank or CPC team as exception / Refer Make and Model sheet, Paints) </t>
    </r>
    <r>
      <rPr>
        <sz val="10"/>
        <color rgb="FF000000"/>
        <rFont val="Cambria"/>
        <family val="1"/>
        <scheme val="major"/>
      </rPr>
      <t xml:space="preserve"> of approved shade. </t>
    </r>
  </si>
  <si>
    <r>
      <t>TYPE I</t>
    </r>
    <r>
      <rPr>
        <sz val="10"/>
        <color indexed="8"/>
        <rFont val="Cambria"/>
        <family val="1"/>
        <scheme val="major"/>
      </rPr>
      <t xml:space="preserve"> PANEL - Main LT Panel </t>
    </r>
    <r>
      <rPr>
        <b/>
        <i/>
        <sz val="10"/>
        <color indexed="10"/>
        <rFont val="Cambria"/>
        <family val="1"/>
        <scheme val="major"/>
      </rPr>
      <t>(For upto 1000 sq. ft)</t>
    </r>
  </si>
  <si>
    <r>
      <t xml:space="preserve">TYPE I </t>
    </r>
    <r>
      <rPr>
        <sz val="10"/>
        <color indexed="8"/>
        <rFont val="Cambria"/>
        <family val="1"/>
        <scheme val="major"/>
      </rPr>
      <t xml:space="preserve">PANEL - Main LT Panel </t>
    </r>
    <r>
      <rPr>
        <b/>
        <i/>
        <sz val="10"/>
        <color indexed="10"/>
        <rFont val="Cambria"/>
        <family val="1"/>
        <scheme val="major"/>
      </rPr>
      <t>(For 1000-1500 sq. ft)</t>
    </r>
  </si>
  <si>
    <r>
      <t xml:space="preserve">TYPE I </t>
    </r>
    <r>
      <rPr>
        <sz val="10"/>
        <color indexed="8"/>
        <rFont val="Cambria"/>
        <family val="1"/>
        <scheme val="major"/>
      </rPr>
      <t xml:space="preserve">PANEL - Main LT Panel </t>
    </r>
    <r>
      <rPr>
        <b/>
        <i/>
        <sz val="10"/>
        <color indexed="10"/>
        <rFont val="Cambria"/>
        <family val="1"/>
        <scheme val="major"/>
      </rPr>
      <t>(For 1500-2500 sq. ft)</t>
    </r>
  </si>
  <si>
    <r>
      <t>TYPE II</t>
    </r>
    <r>
      <rPr>
        <sz val="10"/>
        <color indexed="8"/>
        <rFont val="Cambria"/>
        <family val="1"/>
        <scheme val="major"/>
      </rPr>
      <t xml:space="preserve"> PANEL - Main LT Panel </t>
    </r>
    <r>
      <rPr>
        <b/>
        <i/>
        <sz val="10"/>
        <color indexed="10"/>
        <rFont val="Cambria"/>
        <family val="1"/>
        <scheme val="major"/>
      </rPr>
      <t>(For 2500-4500 sq. ft)</t>
    </r>
  </si>
  <si>
    <r>
      <rPr>
        <b/>
        <sz val="10"/>
        <color indexed="8"/>
        <rFont val="Cambria"/>
        <family val="1"/>
        <scheme val="major"/>
      </rPr>
      <t>Supply &amp; Installation of Master Switch</t>
    </r>
    <r>
      <rPr>
        <sz val="10"/>
        <color indexed="8"/>
        <rFont val="Cambria"/>
        <family val="1"/>
        <scheme val="major"/>
      </rPr>
      <t xml:space="preserve"> with Key comprising of Start and Stop Push Button with key control for Start and Stop complete in powder coated MS box near the entrance of the bank. By Switching off this master switch the entire electrical equipment (Except Critical Bus) in the branch will get switched off. This switch can be operated while closing the branch. We have excluded following load from Master switch : entire UPS Load, Signage, Server room and ATM room AC's, CCTV, emergency lights and any other critical loads if any as per the seperate critical bus mentioned in panels specification as above.</t>
    </r>
  </si>
  <si>
    <r>
      <t xml:space="preserve">20-30KVA Phase correction DB </t>
    </r>
    <r>
      <rPr>
        <b/>
        <sz val="10"/>
        <color rgb="FFFF0000"/>
        <rFont val="Cambria"/>
        <family val="1"/>
        <scheme val="major"/>
      </rPr>
      <t>(For upto 1000 sq. ft)</t>
    </r>
  </si>
  <si>
    <r>
      <t xml:space="preserve">30-40 KVA Phase correction DB </t>
    </r>
    <r>
      <rPr>
        <b/>
        <sz val="10"/>
        <color rgb="FFFF0000"/>
        <rFont val="Cambria"/>
        <family val="1"/>
        <scheme val="major"/>
      </rPr>
      <t>(For 1000-1500 sq. ft)</t>
    </r>
  </si>
  <si>
    <r>
      <t xml:space="preserve">40-50 KVA Phase correction DB </t>
    </r>
    <r>
      <rPr>
        <b/>
        <sz val="10"/>
        <color rgb="FFFF0000"/>
        <rFont val="Cambria"/>
        <family val="1"/>
        <scheme val="major"/>
      </rPr>
      <t>(For 1500-2500 sq. ft)</t>
    </r>
  </si>
  <si>
    <r>
      <t xml:space="preserve">50-60 KVA Phase correction DB </t>
    </r>
    <r>
      <rPr>
        <b/>
        <sz val="10"/>
        <color rgb="FFFF0000"/>
        <rFont val="Cambria"/>
        <family val="1"/>
        <scheme val="major"/>
      </rPr>
      <t>(For 2500-4500 sq. ft)</t>
    </r>
  </si>
  <si>
    <r>
      <t xml:space="preserve">Emergency DB </t>
    </r>
    <r>
      <rPr>
        <b/>
        <sz val="10"/>
        <color indexed="10"/>
        <rFont val="Cambria"/>
        <family val="1"/>
        <scheme val="major"/>
      </rPr>
      <t>(If required/Optional)</t>
    </r>
  </si>
  <si>
    <r>
      <t xml:space="preserve">TPN, 6 Way </t>
    </r>
    <r>
      <rPr>
        <b/>
        <sz val="10"/>
        <color indexed="10"/>
        <rFont val="Cambria"/>
        <family val="1"/>
        <scheme val="major"/>
      </rPr>
      <t>(for 1500 to 2500 sq. ft area)</t>
    </r>
  </si>
  <si>
    <r>
      <t xml:space="preserve">TPN, 8 Way </t>
    </r>
    <r>
      <rPr>
        <b/>
        <sz val="10"/>
        <color indexed="10"/>
        <rFont val="Cambria"/>
        <family val="1"/>
        <scheme val="major"/>
      </rPr>
      <t>(above 2500 Sq. ft area)</t>
    </r>
  </si>
  <si>
    <r>
      <rPr>
        <b/>
        <sz val="10"/>
        <color indexed="8"/>
        <rFont val="Cambria"/>
        <family val="1"/>
        <scheme val="major"/>
      </rPr>
      <t>Plate Earthing: -</t>
    </r>
    <r>
      <rPr>
        <sz val="10"/>
        <color indexed="8"/>
        <rFont val="Cambria"/>
        <family val="1"/>
        <scheme val="major"/>
      </rPr>
      <t xml:space="preserve"> Supply, Installation testing and commissioning of permanent earth stations with 600 mm x 600 mm x 3.15 mm copper earth plate &amp; (G.I. pipe for watering) buried in specially prepared, 3 meters. deep earth pits with alternate layers of charcoal &amp; salt, complete with reducer, funnel, wire mesh &amp; test link and brick masonry chamber with hinged type cast iron cover etc. </t>
    </r>
  </si>
  <si>
    <r>
      <rPr>
        <b/>
        <sz val="10"/>
        <color indexed="8"/>
        <rFont val="Cambria"/>
        <family val="1"/>
        <scheme val="major"/>
      </rPr>
      <t xml:space="preserve">Pipe Earthing: - </t>
    </r>
    <r>
      <rPr>
        <sz val="10"/>
        <color indexed="8"/>
        <rFont val="Cambria"/>
        <family val="1"/>
        <scheme val="major"/>
      </rPr>
      <t xml:space="preserve">Supply, Installation testing and commissioning  GI pipe earthing station including excavation, back filling, 50 mm diameter GI pipe of 3 m long, construction of inspection chamber, chamber cover (C.I), disconnecting link etc. as per specifications. </t>
    </r>
  </si>
  <si>
    <r>
      <rPr>
        <b/>
        <sz val="10"/>
        <color indexed="8"/>
        <rFont val="Cambria"/>
        <family val="1"/>
        <scheme val="major"/>
      </rPr>
      <t>Chemical Earthing: -</t>
    </r>
    <r>
      <rPr>
        <sz val="10"/>
        <color indexed="8"/>
        <rFont val="Cambria"/>
        <family val="1"/>
        <scheme val="major"/>
      </rPr>
      <t xml:space="preserve"> Maintenance free Electrical Grounding system comprising of low carbon high tensile solid electrode of sufficient length (Not less than 2.5 Mtrs) with carbon based, combination of highly conductive material  to achieve earth resistance less than 2 ohm. as confirming to IS : 3043-1987, Clause 9.2.8 and 9.3 : 
The material, selected for Earthing Electrode, and material used should be such that it resists the corrosion complete with CI cover (suitable for vehicular movement) and required masonry work.</t>
    </r>
  </si>
  <si>
    <r>
      <rPr>
        <b/>
        <sz val="10"/>
        <color indexed="8"/>
        <rFont val="Cambria"/>
        <family val="1"/>
        <scheme val="major"/>
      </rPr>
      <t xml:space="preserve">Primary Point : </t>
    </r>
    <r>
      <rPr>
        <sz val="10"/>
        <color indexed="8"/>
        <rFont val="Cambria"/>
        <family val="1"/>
        <scheme val="major"/>
      </rPr>
      <t>One Light Pt. controlled by one 6 Amps Switch (Point wiring including switches approx. 10 meters. Length)</t>
    </r>
  </si>
  <si>
    <r>
      <rPr>
        <b/>
        <sz val="10"/>
        <rFont val="Cambria"/>
        <family val="1"/>
        <scheme val="major"/>
      </rPr>
      <t>Secondary light point:</t>
    </r>
    <r>
      <rPr>
        <sz val="10"/>
        <rFont val="Cambria"/>
        <family val="1"/>
        <scheme val="major"/>
      </rPr>
      <t xml:space="preserve"> looped from primary light point.   ( comprising of 3 nos. 1.5 sq.mm PVC ins. Copper cond. Wire in 20mm. Rigid PVC conduit pipe without switches)</t>
    </r>
  </si>
  <si>
    <r>
      <rPr>
        <b/>
        <sz val="10"/>
        <rFont val="Cambria"/>
        <family val="1"/>
        <scheme val="major"/>
      </rPr>
      <t xml:space="preserve">Exhaust Fan Outlet points </t>
    </r>
    <r>
      <rPr>
        <sz val="10"/>
        <rFont val="Cambria"/>
        <family val="1"/>
        <scheme val="major"/>
      </rPr>
      <t>:- Providing of 6 amps 3Pin socket near the exhaust Fan and switch with the light switch board, G.I / M.S Box for housing the above, complete with earthing with 1.5 sq.mm. PVC insulated copper conductor/wire.</t>
    </r>
  </si>
  <si>
    <r>
      <rPr>
        <b/>
        <sz val="10"/>
        <rFont val="Cambria"/>
        <family val="1"/>
        <scheme val="major"/>
      </rPr>
      <t>6/16 amps Power Plug Outlets</t>
    </r>
    <r>
      <rPr>
        <sz val="10"/>
        <rFont val="Cambria"/>
        <family val="1"/>
        <scheme val="major"/>
      </rPr>
      <t xml:space="preserve"> :- Providing of 16 amps Modular type Socket and switch(multicountry type), Box for housing the above, Modular sheet, earthing the third pin  with 2.5 sq.mm mm PVC Insulated Copper Conductor Wire, complete in all respects as required (Cost of wire /pipe/raceways is NOT to be included in this cost)</t>
    </r>
  </si>
  <si>
    <r>
      <rPr>
        <b/>
        <sz val="10"/>
        <rFont val="Cambria"/>
        <family val="1"/>
        <scheme val="major"/>
      </rPr>
      <t>Split A/c outdoor Box</t>
    </r>
    <r>
      <rPr>
        <sz val="10"/>
        <rFont val="Cambria"/>
        <family val="1"/>
        <scheme val="major"/>
      </rPr>
      <t xml:space="preserve"> :- Providing and fixing of 20 Amps Industrial Socket outlet with top controlled by 20 A 10ka SP MCB all housed in M.S Box duly painted with IP 65, earthing the 3rd Pin with 2.5 sq.mm PVC Insulated copper conductor/wire. (excluding the cost of wires / cables)</t>
    </r>
  </si>
  <si>
    <r>
      <rPr>
        <b/>
        <sz val="10"/>
        <rFont val="Cambria"/>
        <family val="1"/>
        <scheme val="major"/>
      </rPr>
      <t>Circuit Wiring (Light &amp; Raw power points)</t>
    </r>
    <r>
      <rPr>
        <sz val="10"/>
        <rFont val="Cambria"/>
        <family val="1"/>
        <scheme val="major"/>
      </rPr>
      <t>: Supply and laying of following sets of wires of PVC insulated , PVC sheathed copper flexible wires in laid  PVC conduits Including civil work and required accessories spacers, clamps and hardware etc.(Cost of pipe/raceways is NOT to be included)</t>
    </r>
  </si>
  <si>
    <r>
      <rPr>
        <b/>
        <sz val="10"/>
        <rFont val="Cambria"/>
        <family val="1"/>
        <scheme val="major"/>
      </rPr>
      <t>AC Wiring:</t>
    </r>
    <r>
      <rPr>
        <sz val="10"/>
        <rFont val="Cambria"/>
        <family val="1"/>
        <scheme val="major"/>
      </rPr>
      <t xml:space="preserve"> Supply and laying of following cables with fixed length mentioned cable should be PVC insulated , PVC sheathed copper flexible wires in laid  PVC conduits Including civil work and required accessories spacers, clamps and hardware etc.(Cost of pipe/raceways is NOT to be included)</t>
    </r>
  </si>
  <si>
    <r>
      <rPr>
        <b/>
        <sz val="10"/>
        <color indexed="8"/>
        <rFont val="Cambria"/>
        <family val="1"/>
        <scheme val="major"/>
      </rPr>
      <t>Computer / RAW Power Point Wiring:</t>
    </r>
    <r>
      <rPr>
        <sz val="10"/>
        <color indexed="8"/>
        <rFont val="Cambria"/>
        <family val="1"/>
        <scheme val="major"/>
      </rPr>
      <t xml:space="preserve"> Supply &amp; Installation of 3 core 2.5 sq.mm copper flexible PVC insulated sheathed wire 650V grade with ISI mark  for connecting power points on work station in laid PVC conduits/raceways. One circuit wire should contains 2-3 UPS / Raw power points as least. (white colour- UPS and black colour:- RAW).  (Cost of pipe/raceway is NOT to be included)</t>
    </r>
  </si>
  <si>
    <r>
      <t>Supply &amp; Installation of 225 mm single phase exhaust fans</t>
    </r>
    <r>
      <rPr>
        <sz val="10"/>
        <color rgb="FF00B0F0"/>
        <rFont val="Cambria"/>
        <family val="1"/>
        <scheme val="major"/>
      </rPr>
      <t xml:space="preserve"> ( BEE Star rated Fans as suggested by Bank or CPC team as exception / Refer Make and Model sheet,fans) </t>
    </r>
    <r>
      <rPr>
        <sz val="10"/>
        <color indexed="8"/>
        <rFont val="Cambria"/>
        <family val="1"/>
        <scheme val="major"/>
      </rPr>
      <t>with mounting frame and safety grill etc. complete. Make:- Usha, Crompton, Bajaj, Khaitan.</t>
    </r>
  </si>
  <si>
    <r>
      <t xml:space="preserve">Supply &amp; Installation of ceiling fan  </t>
    </r>
    <r>
      <rPr>
        <sz val="10"/>
        <color rgb="FF00B0F0"/>
        <rFont val="Cambria"/>
        <family val="1"/>
        <scheme val="major"/>
      </rPr>
      <t xml:space="preserve">(BEE Star rated Fans as suggested by Bank or CPC team as exception / Refer Make and Model sheet,fans) </t>
    </r>
    <r>
      <rPr>
        <sz val="10"/>
        <color indexed="8"/>
        <rFont val="Cambria"/>
        <family val="1"/>
        <scheme val="major"/>
      </rPr>
      <t xml:space="preserve"> 1400 mm sweep with all hanging accessories, electronics regulator, blades etc. complete. Make:- Usha, Crompton, Bajaj, Khaitan.</t>
    </r>
  </si>
  <si>
    <r>
      <t xml:space="preserve">Supply, Installation, testing, commissioning of sprinkler point complete with MS pipe, flexible pipe, valve and sprinkler complete with all accessories for the smooth operation of the system. (average costing for 1 sprinkler point for the premises of minimum 25 points) </t>
    </r>
    <r>
      <rPr>
        <b/>
        <sz val="10"/>
        <color indexed="10"/>
        <rFont val="Cambria"/>
        <family val="1"/>
        <scheme val="major"/>
      </rPr>
      <t xml:space="preserve"> (Optional for non-branch premises only where the other part of premises includes sprinkler system: like Mall etc )</t>
    </r>
  </si>
  <si>
    <r>
      <t xml:space="preserve">Supply and installation of 1.5 KW one box /DB timer solution for switching ON/OFF signage boards in auto as per set timing. This box includes Timer, power contactor, SP MCB, Auto / Manual switch, terminal out, internal wiring including Box/DB etc. there should be 3 output from box to connect main signage and lollypop signages. </t>
    </r>
    <r>
      <rPr>
        <b/>
        <sz val="10"/>
        <color indexed="10"/>
        <rFont val="Cambria"/>
        <family val="1"/>
        <scheme val="major"/>
      </rPr>
      <t>(Make: L&amp;T, Siemens, Legrand, Schneider)</t>
    </r>
  </si>
  <si>
    <r>
      <t xml:space="preserve">ADDITIONAL WORK </t>
    </r>
    <r>
      <rPr>
        <b/>
        <sz val="10"/>
        <color rgb="FFFF0000"/>
        <rFont val="Cambria"/>
        <family val="1"/>
        <scheme val="major"/>
      </rPr>
      <t>(As per site  requirement and prior to PM confirmation )</t>
    </r>
  </si>
  <si>
    <r>
      <t>HDFC BANK ICHALKARANJI</t>
    </r>
    <r>
      <rPr>
        <b/>
        <sz val="10"/>
        <color rgb="FFFF0000"/>
        <rFont val="Cambria"/>
        <family val="1"/>
        <scheme val="major"/>
      </rPr>
      <t xml:space="preserve"> (SECOND FLOOR)</t>
    </r>
    <r>
      <rPr>
        <b/>
        <sz val="10"/>
        <rFont val="Cambria"/>
        <family val="1"/>
        <scheme val="major"/>
      </rPr>
      <t xml:space="preserve"> - MEASUREMENT SHEET </t>
    </r>
  </si>
  <si>
    <r>
      <t xml:space="preserve">Sill &amp; jambs to windows / Doors. Providing and laying in required positions granite, slab 12 mm thk </t>
    </r>
    <r>
      <rPr>
        <b/>
        <sz val="10"/>
        <color rgb="FFFF0000"/>
        <rFont val="Cambria"/>
        <family val="1"/>
        <scheme val="major"/>
      </rPr>
      <t>(Single piece)</t>
    </r>
  </si>
  <si>
    <r>
      <t>Supply fixing and installation of</t>
    </r>
    <r>
      <rPr>
        <b/>
        <sz val="10"/>
        <color rgb="FFFF0000"/>
        <rFont val="Cambria"/>
        <family val="1"/>
        <scheme val="major"/>
      </rPr>
      <t xml:space="preserve"> Concealed stop cocks</t>
    </r>
  </si>
  <si>
    <r>
      <t xml:space="preserve">Internal Plumbing work for </t>
    </r>
    <r>
      <rPr>
        <b/>
        <sz val="10"/>
        <color rgb="FFFF0000"/>
        <rFont val="Cambria"/>
        <family val="1"/>
        <scheme val="major"/>
      </rPr>
      <t>Pantry.</t>
    </r>
    <r>
      <rPr>
        <b/>
        <sz val="10"/>
        <rFont val="Cambria"/>
        <family val="1"/>
        <scheme val="major"/>
      </rPr>
      <t xml:space="preserve"> Water supply and drainage points for sink.</t>
    </r>
  </si>
  <si>
    <r>
      <t xml:space="preserve">Supply &amp; fixing of </t>
    </r>
    <r>
      <rPr>
        <b/>
        <sz val="10"/>
        <color rgb="FFFF0000"/>
        <rFont val="Cambria"/>
        <family val="1"/>
        <scheme val="major"/>
      </rPr>
      <t>Nahani trap</t>
    </r>
  </si>
  <si>
    <r>
      <t xml:space="preserve">Providing and fixing </t>
    </r>
    <r>
      <rPr>
        <b/>
        <sz val="10"/>
        <color rgb="FFFF0000"/>
        <rFont val="Cambria"/>
        <family val="1"/>
        <scheme val="major"/>
      </rPr>
      <t>machanical driven industrial grade water meter</t>
    </r>
  </si>
  <si>
    <r>
      <t xml:space="preserve">Providing and fixing of single </t>
    </r>
    <r>
      <rPr>
        <b/>
        <sz val="10"/>
        <rFont val="Cambria"/>
        <family val="1"/>
        <scheme val="major"/>
      </rPr>
      <t>Urinal pressmatic Flushing system</t>
    </r>
  </si>
  <si>
    <r>
      <t xml:space="preserve">Providing and fixing under/ Over counter </t>
    </r>
    <r>
      <rPr>
        <b/>
        <sz val="10"/>
        <rFont val="Cambria"/>
        <family val="1"/>
        <scheme val="major"/>
      </rPr>
      <t>Wash Basin</t>
    </r>
  </si>
  <si>
    <r>
      <t xml:space="preserve">Providing and fixing </t>
    </r>
    <r>
      <rPr>
        <b/>
        <sz val="10"/>
        <rFont val="Cambria"/>
        <family val="1"/>
        <scheme val="major"/>
      </rPr>
      <t xml:space="preserve">Pantry staintless steel sink </t>
    </r>
  </si>
  <si>
    <r>
      <t xml:space="preserve">Supplying of disposable </t>
    </r>
    <r>
      <rPr>
        <b/>
        <sz val="10"/>
        <color rgb="FFFF0000"/>
        <rFont val="Cambria"/>
        <family val="1"/>
        <scheme val="major"/>
      </rPr>
      <t>Soap Dispenser</t>
    </r>
    <r>
      <rPr>
        <b/>
        <sz val="10"/>
        <rFont val="Cambria"/>
        <family val="1"/>
        <scheme val="major"/>
      </rPr>
      <t xml:space="preserve"> </t>
    </r>
  </si>
  <si>
    <r>
      <t xml:space="preserve">Supply &amp; fixing of </t>
    </r>
    <r>
      <rPr>
        <b/>
        <sz val="10"/>
        <color rgb="FFFF0000"/>
        <rFont val="Cambria"/>
        <family val="1"/>
        <scheme val="major"/>
      </rPr>
      <t>Toilet paper holder</t>
    </r>
    <r>
      <rPr>
        <b/>
        <sz val="10"/>
        <rFont val="Cambria"/>
        <family val="1"/>
        <scheme val="major"/>
      </rPr>
      <t xml:space="preserve"> </t>
    </r>
  </si>
  <si>
    <r>
      <t xml:space="preserve">Supply &amp; fixing of SS finish </t>
    </r>
    <r>
      <rPr>
        <b/>
        <sz val="10"/>
        <color rgb="FFFF0000"/>
        <rFont val="Cambria"/>
        <family val="1"/>
        <scheme val="major"/>
      </rPr>
      <t>Robe Hooks</t>
    </r>
    <r>
      <rPr>
        <b/>
        <sz val="10"/>
        <rFont val="Cambria"/>
        <family val="1"/>
        <scheme val="major"/>
      </rPr>
      <t xml:space="preserve"> </t>
    </r>
  </si>
  <si>
    <r>
      <rPr>
        <b/>
        <sz val="10"/>
        <color rgb="FFFF0000"/>
        <rFont val="Cambria"/>
        <family val="1"/>
        <scheme val="major"/>
      </rPr>
      <t>CP brass towel ring</t>
    </r>
    <r>
      <rPr>
        <b/>
        <sz val="10"/>
        <rFont val="Cambria"/>
        <family val="1"/>
        <scheme val="major"/>
      </rPr>
      <t xml:space="preserve"> manufactured by Jaugar or as approved by bank or CPC team</t>
    </r>
  </si>
  <si>
    <r>
      <t xml:space="preserve">Carrying out </t>
    </r>
    <r>
      <rPr>
        <b/>
        <sz val="10"/>
        <color rgb="FF00B0F0"/>
        <rFont val="Cambria"/>
        <family val="1"/>
        <scheme val="major"/>
      </rPr>
      <t xml:space="preserve">Ecofriendly Pest control and ant-termite </t>
    </r>
  </si>
  <si>
    <t xml:space="preserve">Providing rectangular Coves made up of Gypsum board </t>
  </si>
  <si>
    <r>
      <t>Same as above but of</t>
    </r>
    <r>
      <rPr>
        <b/>
        <sz val="10"/>
        <color indexed="10"/>
        <rFont val="Cambria"/>
        <family val="1"/>
        <scheme val="major"/>
      </rPr>
      <t xml:space="preserve"> size 1050 mm x 2400 mm , Floor Spring BTS 65 EN 1 - 4</t>
    </r>
  </si>
  <si>
    <r>
      <t>Same as above</t>
    </r>
    <r>
      <rPr>
        <b/>
        <sz val="10"/>
        <color rgb="FF000000"/>
        <rFont val="Cambria"/>
        <family val="1"/>
        <scheme val="major"/>
      </rPr>
      <t xml:space="preserve"> but size of the door shall be 900mm x 2100mm</t>
    </r>
  </si>
  <si>
    <r>
      <t xml:space="preserve">Providing and fixing architraves made out of rubber wood sections over door frames and finished with approved shade of duco paint finished. </t>
    </r>
    <r>
      <rPr>
        <b/>
        <sz val="10"/>
        <color rgb="FF00B0F0"/>
        <rFont val="Cambria"/>
        <family val="1"/>
        <scheme val="major"/>
      </rPr>
      <t>(Approved Low VOC/No VOC Paints as suggested by Bank or CPC team as exception / Refer Make and Model sheet, paints)</t>
    </r>
  </si>
  <si>
    <r>
      <t xml:space="preserve">Conference Room Table [24rft] - </t>
    </r>
    <r>
      <rPr>
        <b/>
        <sz val="10"/>
        <color rgb="FFFF0000"/>
        <rFont val="Cambria"/>
        <family val="1"/>
        <scheme val="major"/>
      </rPr>
      <t>Additional Item</t>
    </r>
  </si>
  <si>
    <r>
      <t xml:space="preserve">Reprography Unit of Size :-725(H) x 750mm D
</t>
    </r>
    <r>
      <rPr>
        <b/>
        <sz val="10"/>
        <rFont val="Cambria"/>
        <family val="1"/>
        <scheme val="major"/>
      </rPr>
      <t xml:space="preserve">
</t>
    </r>
  </si>
  <si>
    <r>
      <t xml:space="preserve">Same as item </t>
    </r>
    <r>
      <rPr>
        <b/>
        <sz val="10"/>
        <color indexed="30"/>
        <rFont val="Cambria"/>
        <family val="1"/>
        <scheme val="major"/>
      </rPr>
      <t xml:space="preserve">6.b-(i) </t>
    </r>
    <r>
      <rPr>
        <b/>
        <sz val="10"/>
        <color indexed="8"/>
        <rFont val="Cambria"/>
        <family val="1"/>
        <scheme val="major"/>
      </rPr>
      <t>above but overhead storage of approx. height 750mm.</t>
    </r>
  </si>
  <si>
    <r>
      <t xml:space="preserve">Same as item </t>
    </r>
    <r>
      <rPr>
        <b/>
        <sz val="10"/>
        <color indexed="30"/>
        <rFont val="Cambria"/>
        <family val="1"/>
        <scheme val="major"/>
      </rPr>
      <t>9.a-(i)</t>
    </r>
    <r>
      <rPr>
        <b/>
        <sz val="10"/>
        <color indexed="8"/>
        <rFont val="Cambria"/>
        <family val="1"/>
        <scheme val="major"/>
      </rPr>
      <t xml:space="preserve"> above but providing only ss pipe of dia 50 mm on one side of the wall with necessary brackets at required intervals.</t>
    </r>
  </si>
  <si>
    <r>
      <t>Providing and fixing 300 mm wide and 10 mm thick glass</t>
    </r>
    <r>
      <rPr>
        <b/>
        <sz val="10"/>
        <color rgb="FF00B0F0"/>
        <rFont val="Cambria"/>
        <family val="1"/>
        <scheme val="major"/>
      </rPr>
      <t xml:space="preserve">  (use Green Pro certified Glass and make approved by Bank  or CPC team as exception / Refer Make and Model sheet, Glass) </t>
    </r>
    <r>
      <rPr>
        <b/>
        <sz val="10"/>
        <color rgb="FF000000"/>
        <rFont val="Cambria"/>
        <family val="1"/>
        <scheme val="major"/>
      </rPr>
      <t xml:space="preserve">shelves for momentos in Br. manager's cabin fixed with ss brackets. Size of each shelve. </t>
    </r>
  </si>
  <si>
    <r>
      <t xml:space="preserve">Providing Heavy Traffic Entrance Mattin </t>
    </r>
    <r>
      <rPr>
        <b/>
        <sz val="10"/>
        <color indexed="8"/>
        <rFont val="Cambria"/>
        <family val="1"/>
        <scheme val="major"/>
      </rPr>
      <t>3M Nomad Terra 8150 Floor Mat</t>
    </r>
  </si>
  <si>
    <r>
      <t>Same as item (a) above but applying synthetic enamel paint to MS grilles, collapsible gates, rolling shutters etc</t>
    </r>
    <r>
      <rPr>
        <b/>
        <sz val="10"/>
        <color rgb="FF00B0F0"/>
        <rFont val="Cambria"/>
        <family val="1"/>
        <scheme val="major"/>
      </rPr>
      <t xml:space="preserve">. </t>
    </r>
  </si>
  <si>
    <t>Remark</t>
  </si>
  <si>
    <t>Not on site</t>
  </si>
  <si>
    <t>40 mccb 1</t>
  </si>
  <si>
    <t>Photos and CAD FILE with marking</t>
  </si>
  <si>
    <t xml:space="preserve">Photos </t>
  </si>
  <si>
    <t>Photo</t>
  </si>
  <si>
    <t>Need to check</t>
  </si>
  <si>
    <t>Photos required</t>
  </si>
  <si>
    <t>Less door</t>
  </si>
  <si>
    <t>Need to check for dedication in 800 x 800</t>
  </si>
  <si>
    <t>Deduction - Washroom &amp; Server</t>
  </si>
  <si>
    <t>Double Patti 3"</t>
  </si>
  <si>
    <t>Internal concealed plumbing  Ladies Toilet (1 Wash Basin + 1 EWC)</t>
  </si>
  <si>
    <t>Internal concealed plumbing . 
Gents Toilet (2 no Urinal + 1 nos. wash basin + 1 no EWC)</t>
  </si>
  <si>
    <t>Jacquard</t>
  </si>
  <si>
    <t>Kranti</t>
  </si>
  <si>
    <t>Cera</t>
  </si>
  <si>
    <t>Certificate</t>
  </si>
  <si>
    <t>Pending</t>
  </si>
  <si>
    <t xml:space="preserve">Photo required </t>
  </si>
  <si>
    <t>Lift Lobby Area</t>
  </si>
  <si>
    <t>Armstrong</t>
  </si>
  <si>
    <t xml:space="preserve">Pending around cassette </t>
  </si>
  <si>
    <t>1070*2115</t>
  </si>
  <si>
    <t>1070*2060</t>
  </si>
  <si>
    <t xml:space="preserve">Invoice </t>
  </si>
  <si>
    <t>One glass pending</t>
  </si>
  <si>
    <t>740*2080</t>
  </si>
  <si>
    <t>960*2180</t>
  </si>
  <si>
    <t xml:space="preserve">Certificate </t>
  </si>
  <si>
    <t>1500*750</t>
  </si>
  <si>
    <t>Without pedstel</t>
  </si>
  <si>
    <t>1050 x 600</t>
  </si>
  <si>
    <t xml:space="preserve">Without plywood </t>
  </si>
  <si>
    <t xml:space="preserve">Conference room - column </t>
  </si>
  <si>
    <t xml:space="preserve">Conference room - glazed </t>
  </si>
  <si>
    <t xml:space="preserve">Conference room - window </t>
  </si>
  <si>
    <t xml:space="preserve">Nayasa </t>
  </si>
  <si>
    <t xml:space="preserve">Lift Lobby </t>
  </si>
  <si>
    <t xml:space="preserve">Ceiling </t>
  </si>
  <si>
    <t>Photos and CAD File with marking</t>
  </si>
  <si>
    <t>Jaugar</t>
  </si>
  <si>
    <t>Invoice</t>
  </si>
  <si>
    <t>Less Patta</t>
  </si>
  <si>
    <t>TYPE I PANEL - Main LT Panel (For 1500-2500 sq. ft)</t>
  </si>
  <si>
    <t>UPS DB (100 Amp 4P -1 Nos  63 AMP 2P x 3 nos) - Legrand</t>
  </si>
  <si>
    <t>40 Amps MCB to Change to 63</t>
  </si>
  <si>
    <t>Legrand</t>
  </si>
  <si>
    <t>Panel to Near Meter Room</t>
  </si>
  <si>
    <t>Cassatte AC 1</t>
  </si>
  <si>
    <t>Cassatte AC 2</t>
  </si>
  <si>
    <t>Cassatte AC 3</t>
  </si>
  <si>
    <t>Cassatte AC 4</t>
  </si>
  <si>
    <t>Cassatte AC 5</t>
  </si>
  <si>
    <t xml:space="preserve">UPS IN/ UPS DB/ UPS </t>
  </si>
  <si>
    <t>PD To Panel</t>
  </si>
  <si>
    <t>LD To Panel</t>
  </si>
  <si>
    <t>UPS DB To 1st Floor UPS DB</t>
  </si>
  <si>
    <t>UPS DB To UPS</t>
  </si>
  <si>
    <t>Serevr To RM 1</t>
  </si>
  <si>
    <t>Serevr To RM 2</t>
  </si>
  <si>
    <t>Serevr To RM 3</t>
  </si>
  <si>
    <t>Serevr To RM 4</t>
  </si>
  <si>
    <t>Serevr To Main Entrance</t>
  </si>
  <si>
    <t>Serevr To Pantry</t>
  </si>
  <si>
    <t>Serevr To Server</t>
  </si>
  <si>
    <t>SD 1 To SD 2</t>
  </si>
  <si>
    <t>SD 2 To SD 3</t>
  </si>
  <si>
    <t>SD 3 To SD 4</t>
  </si>
  <si>
    <t>SD 4 To SD 5</t>
  </si>
  <si>
    <t>SD 5 To SD 6</t>
  </si>
  <si>
    <t>SD 6 To SD 7</t>
  </si>
  <si>
    <t>SD 7 To SD 8</t>
  </si>
  <si>
    <t>SD 8 To SD 9</t>
  </si>
  <si>
    <t>SD 9 To SD 10</t>
  </si>
  <si>
    <t>SD 10 To SD 11</t>
  </si>
  <si>
    <t>SD 11 To SD 12</t>
  </si>
  <si>
    <t>SD 12 To SD 13</t>
  </si>
  <si>
    <t>SD 13 To SD 14</t>
  </si>
  <si>
    <t>HD</t>
  </si>
  <si>
    <t>Hotter 1</t>
  </si>
  <si>
    <t>Hotter 2</t>
  </si>
  <si>
    <t>Panel to 1 SD</t>
  </si>
  <si>
    <t>CH Cabin Panic</t>
  </si>
  <si>
    <t>Main Entrance MC</t>
  </si>
  <si>
    <t>Patry Entrance MC</t>
  </si>
  <si>
    <t>Hotter</t>
  </si>
  <si>
    <t>Serevr Room Door Keypad</t>
  </si>
  <si>
    <t>4 Pending</t>
  </si>
  <si>
    <t>V Guard</t>
  </si>
  <si>
    <t>Crompton</t>
  </si>
  <si>
    <t>On Site</t>
  </si>
  <si>
    <t>Measurement are till 2nd floor core cut only</t>
  </si>
  <si>
    <t>RI</t>
  </si>
  <si>
    <t xml:space="preserve">RI </t>
  </si>
  <si>
    <t>SD 15 To  SD 16</t>
  </si>
  <si>
    <t>SD 14 To  SD 15</t>
  </si>
  <si>
    <t>HDMI Cable 1</t>
  </si>
  <si>
    <t xml:space="preserve">HDMI Cable 2 </t>
  </si>
  <si>
    <t>(Size 1 x 1.5 Ft)</t>
  </si>
  <si>
    <t>Measurement are till 2nd floor core cut only Pannel</t>
  </si>
  <si>
    <t>As per Work Order</t>
  </si>
  <si>
    <t>As per CWI</t>
  </si>
  <si>
    <t>Variance: CWI vs WO</t>
  </si>
  <si>
    <t>Qty</t>
  </si>
  <si>
    <t>Unit</t>
  </si>
  <si>
    <t>Rate</t>
  </si>
  <si>
    <t>Amount</t>
  </si>
  <si>
    <t xml:space="preserve"> Qty</t>
  </si>
  <si>
    <t>Round off</t>
  </si>
  <si>
    <t>Excess</t>
  </si>
  <si>
    <t>Savings</t>
  </si>
  <si>
    <t>Total</t>
  </si>
  <si>
    <t>Remarks</t>
  </si>
  <si>
    <t xml:space="preserve">PART ‘1’  POWER DISTRIBUTION PANEL </t>
  </si>
  <si>
    <t>PART ‘2’  CAPACITOR PANEL</t>
  </si>
  <si>
    <t>PART ‘3’ PHASE CORRECTION CIRCUIT</t>
  </si>
  <si>
    <t>PART ‘4’  DISTRIBUTION BOARDS</t>
  </si>
  <si>
    <t>PART ‘5’  CABLES &amp; TERMINATIONS</t>
  </si>
  <si>
    <t>PART ‘6’  CABLING FOR CCTV AND PAS</t>
  </si>
  <si>
    <t>PART ‘7’  EARTHING  WORK</t>
  </si>
  <si>
    <t xml:space="preserve">PART '8’  SERVO BYPASS SWITCH </t>
  </si>
  <si>
    <t>PART ‘9’  LIGHTING &amp; POWER POINT WIRING</t>
  </si>
  <si>
    <t>PART ‘10’  POWER SOCKET &amp; SWITCHES</t>
  </si>
  <si>
    <t>PART ‘11'  SUBMAINS CIRCUIT WIRING</t>
  </si>
  <si>
    <t>PART ‘12’  LIGHT FITTINGS,EXHAUST FANS ETC.</t>
  </si>
  <si>
    <t>PART ‘13’  RACEWAYS ,CONDUITS, CASSING-CAPPING</t>
  </si>
  <si>
    <t>PART ‘14’  FIRE FIGHTING WORKS</t>
  </si>
  <si>
    <t>PART ‘15’  MISCELLANEOUS WORK</t>
  </si>
  <si>
    <t>FINAL BILL SUMMARY</t>
  </si>
  <si>
    <t>AS per WO</t>
  </si>
  <si>
    <t>Saving</t>
  </si>
  <si>
    <t>Civil &amp; related works</t>
  </si>
  <si>
    <t>POP and false ceiling work</t>
  </si>
  <si>
    <t>Carpentry and Interior work</t>
  </si>
  <si>
    <t>Painting works</t>
  </si>
  <si>
    <t>Rolling Shutter and MS Work</t>
  </si>
  <si>
    <t>Electrification and Allied Work</t>
  </si>
  <si>
    <t>Additional Work</t>
  </si>
  <si>
    <t>A</t>
  </si>
  <si>
    <t>TOTAL</t>
  </si>
  <si>
    <t>TAXES</t>
  </si>
  <si>
    <t>TAXES:</t>
  </si>
  <si>
    <t>a)</t>
  </si>
  <si>
    <t>CGST  @ 9%</t>
  </si>
  <si>
    <t>b)</t>
  </si>
  <si>
    <t>SGST @ 9%</t>
  </si>
  <si>
    <t>c)</t>
  </si>
  <si>
    <t>B</t>
  </si>
  <si>
    <t>(A + B)</t>
  </si>
  <si>
    <t>Grand Total (incl. taxes)</t>
  </si>
  <si>
    <r>
      <t>Taxes as applicable</t>
    </r>
    <r>
      <rPr>
        <b/>
        <sz val="10"/>
        <rFont val="Cambria"/>
        <family val="1"/>
        <scheme val="major"/>
      </rPr>
      <t xml:space="preserve"> (pl indicate applicable taxes)</t>
    </r>
  </si>
  <si>
    <t>LED Tube 40 W - Philips</t>
  </si>
  <si>
    <t>Less Balcony</t>
  </si>
  <si>
    <t>U.Code</t>
  </si>
  <si>
    <t>Sr.No</t>
  </si>
  <si>
    <t>Earlier Qty</t>
  </si>
  <si>
    <t>Eariler Amount</t>
  </si>
  <si>
    <t>Revised Qty as per CWI</t>
  </si>
  <si>
    <t>Final Amount</t>
  </si>
  <si>
    <t>same as item 4.c-(i) but with out vision panel for toilets and wash rooms. The size of the door to be 825mm x 2100mm</t>
  </si>
  <si>
    <r>
      <t>Providing and fixing in place, branch manager's table of size 1575mm x 675mm(worktop size)comprising of 25mm thick table top made of medium density particle board with side credenza of size 400mm deep and 900mm long having sliding shutters with locks ( Make : Ebco ) and a 3 drawer pedestal of size 400mm x 500 mm x700mm consisting of 2nos. drawer of 150mm deep and 300mm deep filing drawer having common lock ( Make : Ebco ) including modesty apron to be made out of 19mm thick</t>
    </r>
    <r>
      <rPr>
        <b/>
        <sz val="11"/>
        <color rgb="FF00B0F0"/>
        <rFont val="Cambria"/>
        <family val="1"/>
      </rPr>
      <t xml:space="preserve"> BWR plywood (use Plywood which are "Free of Added Urea Formaldehyde" (required) and Green Pro certified (Mandatory) and make approved by Bank or CPC team as exception / Refer Make and Model sheet, BWR Plywood) /high Density particle board.</t>
    </r>
    <r>
      <rPr>
        <sz val="11"/>
        <color indexed="8"/>
        <rFont val="Cambria"/>
        <family val="1"/>
      </rPr>
      <t xml:space="preserve"> The table top to have post form edge. All complete including key board drawer, M.S. Powder coated Cable tray to place electrical sockets on it, CPU trolley and necessary hardware .( Make : Ebco) all the external surfaces to be finished with 1.0mm thick laminate and internal surfaces to be finished with 0.8 mm thick laminate of approved shade. all complete as directed.( All furniture hardware should be Ebco Make )
</t>
    </r>
  </si>
  <si>
    <t>A 25% debit has been imposed due to the non-provision of the keyboard tray and 3-drawer pedestal as per the approved specifications and the quantity has been rounded off accordingly</t>
  </si>
  <si>
    <t>III_5.b.iii</t>
  </si>
  <si>
    <t>A debit of ₹900 has been imposed due to the non-provision of the keyboard tray as per the approved specifications, and the quantity has been rounded off accordingly</t>
  </si>
  <si>
    <t>III_5.d.i</t>
  </si>
  <si>
    <t>III_5.e.i</t>
  </si>
  <si>
    <t>III_5.f.i</t>
  </si>
  <si>
    <t>VI_1.1.2</t>
  </si>
  <si>
    <r>
      <t xml:space="preserve">TYPE I </t>
    </r>
    <r>
      <rPr>
        <sz val="11"/>
        <color indexed="8"/>
        <rFont val="Cambria"/>
        <family val="1"/>
      </rPr>
      <t xml:space="preserve">PANEL - Main LT Panel </t>
    </r>
    <r>
      <rPr>
        <b/>
        <i/>
        <sz val="11"/>
        <color indexed="10"/>
        <rFont val="Cambria"/>
        <family val="1"/>
      </rPr>
      <t>(For 1500-2500 sq. ft)</t>
    </r>
  </si>
  <si>
    <t>A 6% debit has been imposed due to the non-provision of 1 No. 32A TPN MCB and 1 No. 80A TP MCCB (Incomer) as per the approved specification.</t>
  </si>
  <si>
    <t xml:space="preserve">Quantity measured on best effort basis from photographs and layouts. PM confirmation required for whether items were executed on site and Qty not Present in WO. </t>
  </si>
  <si>
    <t>Quantiy has exceeded WO Quantity, PM Approval is required for excess quantity</t>
  </si>
  <si>
    <t>Quantity executed on site and verified during audit but not present in work order</t>
  </si>
  <si>
    <t>Quantity measured on best effort basis from photographs and layouts. PM confirmation required for Quantiy has exceeded WO Quantity</t>
  </si>
  <si>
    <t>Quantity not measureable during audit, PM confirmation required if these items should be added to the bill  and Qty not Present in the WO</t>
  </si>
  <si>
    <t>Address</t>
  </si>
  <si>
    <t>Contractor</t>
  </si>
  <si>
    <t>Area</t>
  </si>
  <si>
    <t>LOC, Code</t>
  </si>
  <si>
    <t>HDFC Bank Ltd. Upper Ground Floor &amp; first floor ,12/215,Bungalow Road, Ichalkarnji,Tal- Hatkanagale,Dist -Kolhapur - 416115.</t>
  </si>
  <si>
    <t>0736</t>
  </si>
  <si>
    <t>M/s. Teamswift Projects Pvt Ltd</t>
  </si>
  <si>
    <t>CPC/014849/25-26</t>
  </si>
  <si>
    <t>PO No</t>
  </si>
  <si>
    <t>Summary For Ichalkarnji, Kolhapur</t>
  </si>
  <si>
    <t>Description</t>
  </si>
  <si>
    <t>Qty Claimed</t>
  </si>
  <si>
    <t>Photos and Documents Requird</t>
  </si>
  <si>
    <t>Photos required &amp; Existing Layout with Marking and CAD File</t>
  </si>
  <si>
    <t xml:space="preserve">Photos required </t>
  </si>
  <si>
    <t>Windows and Door</t>
  </si>
  <si>
    <t>Photos required &amp; Existing Layout</t>
  </si>
  <si>
    <t>Brickbat work</t>
  </si>
  <si>
    <t>MS H Type Frame</t>
  </si>
  <si>
    <t>Wooden Fire Rated Door</t>
  </si>
  <si>
    <t>Certficate Required</t>
  </si>
  <si>
    <t>All Inovices (Including Painting Plumbing, Eletrical,Carpentry, Waterproofing, Cement, Blockwork, Tuffen glass, Modular)</t>
  </si>
  <si>
    <t xml:space="preserve">As mentioned, all required invoices </t>
  </si>
  <si>
    <t>Glazed Glass Invoice</t>
  </si>
  <si>
    <t>IGBC</t>
  </si>
  <si>
    <t xml:space="preserve"> Required Product Certficate that has been used in the branch</t>
  </si>
  <si>
    <t>CAR and WC</t>
  </si>
  <si>
    <t>Policies</t>
  </si>
  <si>
    <t xml:space="preserve">Construction of Masonry Walls </t>
  </si>
  <si>
    <t>Waterproofing Photos</t>
  </si>
  <si>
    <t xml:space="preserve">PCC Work </t>
  </si>
  <si>
    <t>Photos required Staircase Area As well</t>
  </si>
  <si>
    <t>C02 Monitoring</t>
  </si>
  <si>
    <t>POP  Punning - Graphic Wall</t>
  </si>
  <si>
    <t>600mm x 600mm Modular Grid Ceiling : Around AC in Pantry</t>
  </si>
  <si>
    <t xml:space="preserve">Washroom Antilobby Door Glass fixed Photos </t>
  </si>
  <si>
    <t xml:space="preserve">For 3 Phase UPS 40 Amp MCB to 63 AMP MCB Change </t>
  </si>
  <si>
    <t>Geo Tag Photos required</t>
  </si>
  <si>
    <t xml:space="preserve">TPN, 8 Way (above 2500 Sq. ft area)   40 Amp MCB to 63 AMP MCB Change </t>
  </si>
  <si>
    <t xml:space="preserve"> TPN, 8 Way (above 2500 Sq. ft area) -40 Amp MCB to 63 AMP MCB Change </t>
  </si>
  <si>
    <t xml:space="preserve">6 amps Light Plug Outlets :- Conference Room </t>
  </si>
  <si>
    <t>2,280 Sqft</t>
  </si>
  <si>
    <t>As per CWI (Qty)</t>
  </si>
  <si>
    <t>Do-do as 2(a) above but 100mm thk  siporex / AAC / Aerocon / light weight block wall (Green Pro certified make approved by bank or CPC team as exception/ Refer make and model sheet,aerocon blocks)</t>
  </si>
  <si>
    <t>Do-do as 2(a) above but 150mm thk  siporex / AAC / Aerocon / light weight block wall (Green Pro certified make approved by bank or CPC team as exception/ Refer make and model sheet,aerocon blocks)</t>
  </si>
  <si>
    <t>R.C.C work :Providing &amp; casting in-situ reinforced cement concrete 225 mm thick for wall/columns/ as per details/ drawings/ design( The rate to include cost of re-baring/Hilti/drilling and joining with existing beam or lintel including  shuttering, steel , concrete, inserts, cutout for ventilator, hacking, curing, bonding chemical / slurry all complete, design and certification from structural consultant. Grade of concrete to be considered shall be M25 &amp; steel to be considered as 12mm dia tor steel @150mm c/c both way in two layers staggered by 75mm in both directions. The thickness of walls to be 225 mm without plaster. 300mm x300mm RCC column to be provided near the strong room door for mounting strong room door.</t>
  </si>
  <si>
    <t>Do-do as 3(a) above but Ready mix concrete (Green Pro certified make approved by bank or CPC team as exception/ Refer make and model sheet,RMC)</t>
  </si>
  <si>
    <t>Do-do as 3(c) above but Ready mix concrete (Green Pro certified make approved by bank or CPC team as exception/ Refer make and model sheet,RMC)</t>
  </si>
  <si>
    <t>Do-do as 3(f) above but Ready mix concrete (Green Pro certified make approved by bank or CPC team as exception/ Refer make and model sheet,RMC)</t>
  </si>
  <si>
    <t>Do-do as 3(g) above but Ready mix concrete (Green Pro certified make approved by bank or CPC team as exception/ Refer make and model sheet,RMC)</t>
  </si>
  <si>
    <t>P/A 1:4 cement plaster(Green Pro certified make approved by bank or CPC team as exception/ Refer make and model sheet,cement)  with waterproofing compound to brick/RCC work including scaffolding in single coat of minimum 12 mm thick finished to receive Plaster of Paris levelling coat.</t>
  </si>
  <si>
    <t>External Plaster in 1:3  with waterproofing compound to brick/RCC work  up to 25mm thk including  cost of scaffolding up to 20'.( Prior approval of Bank required) (Green Pro certified make approved by bank or CPC team as exception/ Refer make and model sheet,cement)</t>
  </si>
  <si>
    <t>P/E Plain cement concrete (Green Pro certified make approved by bank or CPC team as exception/ Refer make and model sheet,cement section)  of grade M -10 ( 1:3:6 ) including shuttering for levelling course for flooring within the Bank Premise. The thickness may vary from 75mm to 125 mm as per requirement. (As per site condition - Prior approval of Bank required)</t>
  </si>
  <si>
    <t>Do-do as 7(a) above but Ready mix concrete (Green Pro certified make approved by bank or CPC team as exception/ Refer make and model sheet,RMC)</t>
  </si>
  <si>
    <t>Do-do as 7(b) above but Ready mix concrete (Green Pro certified make approved by bank or CPC team as exception/ Refer make and model sheet,RMC)</t>
  </si>
  <si>
    <t>Similar to above but for exterior works (As per site condition - Prior approval of Bank required)</t>
  </si>
  <si>
    <t>Do-do as 7(e) above but Ready mix concrete (Green Pro certified make approved by bank or CPC team as exception/ Refer make and model sheet,RMC)</t>
  </si>
  <si>
    <t>Providing and laying cement concrete flooring 40 - 50 mm thick , C.M. 1:3 laid to proper level and slope cost should including compaction as directed and curing complete in all respect. (As per site condition - Prior approval of Bank required)(Green Pro certified make approved by bank or CPC team as exception/ Refer make and model sheet,cement section)</t>
  </si>
  <si>
    <t>Providing and fixing of Solid Dry Wall Panel  75mm thick of size 2400/2700/3000mm in length and 600mm width certified by Green Building council having a unique tongue and groove jointing system. The panels are made of two  fibre reinforced cement sheets enclosing a light weight aerated concrete core composed of cement, fly ash and other binders. Density is 720~780kg/cum, panel has Axial load carrying capacity min 83 KN/m  with 2.5 times factor safety as per test method of ASTM -E-72:98 . These panels need to meet Uniformly distributed load (Bending load 80 -95kg/sqm &amp; modulus of rupture 40-58kg/sqcm)  as per test method  ASTM-E-72:98 &amp; IS 2380 Part 4. Thermal Conductivity typical K value - 0.17 ~0.21 W/m K, having a fire rating of 120 minutes as per BS 476 part 20-22 and sound transmission coefficient 36~40 as per IS 9901 (part 1) 1981
The wall panels to be installed with G.I Floor Channel : 14 x 75 x 25 mm size of 1 mm thick at bottom and  38 X75X 38 mm size with 1mm thickness at top. Tongue and Groove joints will be joined with elastomeric cementitious highly polymerized jointing compound as per manufacturer’s recommendation. Non-woven Self-adhesive glass fiber / fiber mesh tape in sufficient width to be applied to reinforce the exposed skin of jointing system. Jointing compound to be applied on joint finally to make good . Rate by the vendor to include scaffolding, lifting charges and jointing material, wastages etc. as a complete item of work excluding finishing etc. The installation will be done as per  specification, drawing and as directed by EIC/consultant. All work to be done by certified installer with proper supervision following WMS and as per instruction of Engineering in charge.  (Ideal for Server room , Solid Partition, Store rooms ) Approved Brands : HIL Limited , Visaka (Vnext) , Everest Panel)
(Green Pro certified make approved by bank or CPC team as exception/ Refer make and model sheet, Aerocon Panel)</t>
  </si>
  <si>
    <t>Do-do as 8(a) above but 100mm thk (Green Pro certified make approved by bank or CPC team as exception/ Refer make and model sheet, Aerocon Panel)</t>
  </si>
  <si>
    <t>Proving and Laying 600mm x 600mm anti-skid and Anti-dust Vitrified floor tiles for Toilet floors with a 75 mm thk cement mortar (Green Pro certified make approved by bank or CPC team as exception/ Refer make and model sheet,cement section)  bedding  (1: 4) as per the design including colour cement in joint to matching shade. The joints shall be kept as thin as possible should not exceeding 1 mm.  (Basic cost of tile upto Rs. 60 /-Sq. ft). ( For server room, store, pantry, toilets ) (Green Pro certified make approved by bank or CPC team as exception/ Refer make and model sheet, vitrified floor tiles) Somany : Delmon Beige - (600 x 600)</t>
  </si>
  <si>
    <t>Proving and Laying of 300 mm x 300mm Ceramic floor tiles (use Green Pro certified make approved by bank or CPC team as exception/ Refer make and model sheet,ceramic tiles) (1st quality) of approved make over a 75 mm thk cement mortar  (use Green Pro certified make approved by bank or CPC team as exception/ Refer make and model sheet,cement section) bedding  (1: 4) as per the pattern given including colour cement joints in matching shade. Rate to include curing, acid wash, etc. complete. The joints shall be kept as thin as possible not exceeding 1 mm. (Basic cost of tile Rs. 35/- Sq. ft)</t>
  </si>
  <si>
    <t>Supplying and laying 12 mm thk machine cut &amp; machine polished Granite flooring , on a prefinished surface with 1:3 cement sand mortar (Green Pro certified make approved by bank or CPC team as exception/ Refer make and model sheet,cement section) .(Basic cost of granite Rs 180 /sq.ft).  Rate shall be inclusive of machine polishing edges in case of protruding edges &amp; groove if ordered. . Measurement for payment shall be as per laid area .</t>
  </si>
  <si>
    <t>Vitrified Tiles in wooden finish  (in HNW areas with prior approval)</t>
  </si>
  <si>
    <t>Same as item 9.a-(i) but vitrified tiles in wooden finish. (Green Pro certified make approved by bank or CPC team as exception/ Refer make and model sheet,vitrified floor tiles) (Basic cost of tile Rs.85/- per sq ft.)</t>
  </si>
  <si>
    <t>Carpet Flooring  (in HNW areas with prior approval)</t>
  </si>
  <si>
    <t>Providing and laying carpet of 20 ounce loop pile in polypropylene in carpet tile  (Green Pro certified make approved by bank or CPC team as exception/ Refer make and model sheet,vitrified floor tiles)form without underlay. Cost also included surface preparation required for laying of it and carpet protection. ( Basic cost of tile Rs.160 /- per sq ft.)</t>
  </si>
  <si>
    <t>Proving and Laying Ceramic glaze Wall Tiles  (Green Pro certified make approved by bank or CPC team as exception/ Refer make and model sheet,cement section) ( Colour : White ) of size 450mm x 300mm (1st quality) of somany make or approved make over a cement mortar bedding (1:4) (use Green Pro certified make approved by bank or CPC team as exception/ Refer make and model sheet,cement section) as per the pattern given including filling joint with colour cement in matching shade. (Basic cost of tiles Rs. 50/- Sq.ft).</t>
  </si>
  <si>
    <t>Proving and Laying wall dado Vitrified glaze tiles of size  600 mm X 600 mm (1st quality) of approved make over a cement mortar  (Green Pro certified make approved by bank or CPC team as exception/ Refer make and model sheet,cement section) bedding (1:4) as per the pattern given including filling joint with colour cement in matching shade. (Basic cost of tiles upto  Rs. 65/- Sq.ft). (Green Pro certified make approved by bank or CPC team as exception/ Refer make and model sheet, wall tiles) Somany : Delmon Beige - (600 x 600)</t>
  </si>
  <si>
    <t>Providing &amp; fixing 600mm deep pantry counter made out of 12mm thk black granite supported by 25mm thk Kadappa to be fixed horizontally and vertically. The cost to be included of the platform to have 75mm wide granite fascia horizontally with molded edges as per design. 100mm high granite band over dado level to be provided. 75mm thk platform at floor level inside the counter should be provided finished with 75mm high granite skirting from outside The cost to include of making hole in the counter for fixing sink, End verticals to be fixed made of Kadappa and covered with granite to be provided as per the design. (Basic Cost of Granite 180/- sq.ft). Cost of Storage, CP fittings, SS sink are not included.</t>
  </si>
  <si>
    <t>Providing &amp; Fixing Dining Counter with S.S Angle Bracket in approved Black Granite finish at ht. 750 mm from Finished Floor Level.(Depth of Counter 600 mm)  (Basic Cost of Granite 180/- sq.ft)</t>
  </si>
  <si>
    <t>Providing &amp; fixing wash basin counter in Toilets of 600 mm Deep made of 12 mm thk black granite supported on 25thk Kadappa base. 75 mm wide granite facia to be provided at the edge of the counter. The cost to include of making hole in the counter for fixing wash basin, Cost of  CP fittings, Wash basin are not included.  (Basic Cost of Granite 180/- sq.ft)</t>
  </si>
  <si>
    <t>Providing &amp; Fixing of size 450mm X 900mm both sides polished divider for Urinal made of 12mm thk  Black Granite embedded in the wall. The edges of the granite to be machine polished.</t>
  </si>
  <si>
    <t>Providing &amp; Laying 150mm wide Black Granite Threshold at ATM and Main Entrance.  (Basic Cost of Granite 180/- sq.ft)</t>
  </si>
  <si>
    <t>Providing &amp; Laying 75 mm wide  Black Granite Threshold for Toilets &amp; Pantry.  (Basic Cost of Granite 180/- sq.ft)</t>
  </si>
  <si>
    <t>Supplying and laying 20 mm thk glossy chequered tiles heavy duty external grade for paving on a prefinished surface with 1:3 cement (use Green Pro certified make approved by bank or CPC team as exception/ Refer make and model sheet,cement section) sand mortar over a 50 mm thk cement mortar bedding  (1: 4) / PCC as per the design including colour cement float joints in matching shade. (Basic cost of tiles Rs.35 /- per sq. ft.)</t>
  </si>
  <si>
    <t>Providing and laying inter locking Paver blocks (heavy duty) in two or more shades by excavating the existing surface by @ 150mm to 230mm and providing layer for gravel over the entire area and covering the same with a layer of graded sand limestone, screeding / sinner to the required slope and providing primer locking pave blocks.  The rate is inclusive of PCC (1:2:4) bed at the edges of the pattern as per site conditions. (Basic cost of tiles Rs.40 /- per sq. ft.)</t>
  </si>
  <si>
    <t>Providing and laying Kotah stone, flooring 25mm-30mm thk. Having sizes not less than 55cms x 55 cms in plain/ diamond pattern and bed of 1:6 cm including cement float filling joints with neat cement slurry, curing, polishing and clearing complete in all respect. (for strong room flooring)</t>
  </si>
  <si>
    <t>Treads &amp; risers of steps. Providing and laying in required position polished granite slab 18mm thk with machine cut and machine polish in CM 1:3 for treads/ risers of steps. The rate is inclusive of full rounded nosing for treads and 3 no's groove on treads complete in all respect. ' The granite to be fixed with adhesive (approved Low VOC/No VOC Adhesives to be used by Bank or CPC team as exception / Refer Make and Model sheet, Adhesives) in case the same is to be fixed on a plywood surface. (Basic cost of Jet black granite Rs. 180/- sq.ft.)</t>
  </si>
  <si>
    <t>Sill &amp; jambs to windows / Doors. Providing and laying in required positions granite, slab 12 mm thk (Single piece), of approved make &amp; colour with machine, cut and machine polish up to 145mm wide ; in cement mortar (Green Pro certified make approved by bank or CPC team as exception/ Refer make and model sheet,cement section) of 1:3 for sills and jambs of windows .The rate is inclusive of full rounded molding at the edges from inside. (Basic cost of granite Rs. 180/- sq.ft.)</t>
  </si>
  <si>
    <t>Providing and laying jambs to door at required positions granite slab 12mm thk. Up to 2100mm in length (Double piece) and machine polish up to 145mm wide ; in cement mortar (Green Pro certified make approved by bank or CPC team as exception/ Refer make and model sheet,cement section) of 1:3 for jambs of door .The rate is inclusive of fillet rounded molding at the edges from inside. (Basic cost of granite Rs. 180/- sq.ft.)</t>
  </si>
  <si>
    <t>Treads &amp; risers of steps. Providing and laying in required position granite slab 12mm thk with machine cut and machine polish in 19 mm BWP Plywood (BWP Plywood which are "Free of Added Urea Formaldehyde" (required) approved by Bank or CPC team as exception / Refer Make and Model sheet, BWP Plywood) for treads/ risers of steps of internal staircase of branch. The rate is inclusive of full rounded nosing for treads and 3 no's groove on treads complete in all respect. ' The granite to be fixed with adhesive (approved Low VOC/No VOC Adhesives to be used by Bank or CPC team as exception / Refer Make and Model sheet, Adhesives) in case the same is to be fixed on a plywood surface. (Basic cost of granite Rs. 180/- sq.ft.)</t>
  </si>
  <si>
    <t>Providing and constructing handicapped ramp at a slope of 1:12 or as per site conditions with raised floor to be made by filling dubber stone soling and compacted by sand dust &amp; 1:4 cement mortar ( Green Pro certified make approved by bank or CPC team as exception/ Refer make and model sheet, cement)  to match the required level. The width of ramp should be minimum upto  1200mm</t>
  </si>
  <si>
    <t>Providing and constructing raised floor for staircase and midlanding by filling dubber stone soling and compacted by sand dust ,1:4 cement mortar  (use Green Pro certified make approved by bank or CPC team as exception/ Refer make and model sheet,cement section)  to match the required level.</t>
  </si>
  <si>
    <t>Providing &amp; fixing 100mm wide polished Black Granite Patti of 18mm thk on ramp for maintaining level difference in order to form anti-skid surface.</t>
  </si>
  <si>
    <t>Providing &amp; fixing 12mm thk prepolished Black Granite flooring on staircase midlanding at Main Entrance as per approved quality laid to required pattern with cement mortar of required thickness. Joints shall be finished with epoxy based grouting compound. Rate shall be inclusive of Cutting of slab, wastage etc. basic rate of granite delivered at site ( Basic cost of granite Rs.145/- per sq.ft. )</t>
  </si>
  <si>
    <t>Supply fixing and installation of heavy duty 20/15 mm Concealed stop cocks ( Make Jaguar Continental Series ) to be provided only at the entry point of plumbing lines within the toilets / pantry</t>
  </si>
  <si>
    <t>Internal Plumbing work for Pantry. Water supply and drainage points for sink, water supply point to water purifier and proper drain point.</t>
  </si>
  <si>
    <t>Supply &amp; fixing of Nahani trap ( Make : Nathani , Seko ) with Stainless Steel Chili trap mesh on it.</t>
  </si>
  <si>
    <t xml:space="preserve">Providing and fixing machanical driven industrial grade water meter made up of solid brass and should have multi jet, anti corrosion and sedimentation free features for horizontal flow of approved make (Make : Kranti , Everest and approved by CPC as expectional basis)
</t>
  </si>
  <si>
    <t>Providing and fixing first quality European Water closet with attached cisten of Dual Flush Cistern of flow rates of 4/2 LPF approved by bank or CPC team as exception/ Refer make and model sheet, water closet cost is including flush tank, seat cover, connection pipe, chair bracket and All complete as per design and specifications.</t>
  </si>
  <si>
    <t>Same as above 16(a) wall hung EWC but with dual Flush Valves for Flow of 25 mm  with flush valve of flow rates of 4/2 LPF approved by bank or CPC team as exception/ Refer make and model sheet.</t>
  </si>
  <si>
    <t>Providing and fixing of single Urinal with electronic Flushing system (large flat back type) (flow rates of max upto 1.5 LPF approved by bank or CPC team as exception/ Refer make and model sheet, urinal)  including all connection pipe , necessary brackets, urinal spreader, dome grating All complete as per design and specifications.</t>
  </si>
  <si>
    <t>Providing and fixing of single Urinal pressmatic Flushing system (large flat back type) (flow rates of max upto 1.5 LPF approved by bank or CPC team as exception/ Refer make and model sheet, urinal) including all  urinal valve with auto closing system (Pressmatic taps), connection pipe , necessary brackets, urinal spreader, dome grating All complete as per design and specifications.</t>
  </si>
  <si>
    <t>Providing and fixing under/ Over counter Wash Basin of approved shape (make model as approved by bank or CPC team as exception ). including waste coupling, brackets &amp; connection pipe etc. all required to complete the work and make it functional. All complete as per design and specifications.</t>
  </si>
  <si>
    <t>Same as above 15(c) but half Pedestal Wash Basin</t>
  </si>
  <si>
    <t>Similar to above but in divider plate (make model as approved by bank or CPC team as exception )</t>
  </si>
  <si>
    <t>Providing and fixing Pantry staintless steel sink of size 18" x 16"  (make and model as approved by bank or CPC team as exception). cost including waste coupling &amp; connection pipe etc. all required to complete the work and make it functional. All complete as per design and specifications.</t>
  </si>
  <si>
    <t>Providing and fixing heavy duty pillar cock for pantry manufactured by  (Pillar Cock with water flow rate or Aerators (flow Restrictors) restricting flow rate upto 3 LPM @ 3 Bar Pressure, approved by bank or CPC team as exception/ Refer make and model sheet, Pillar cock, Aerators) all complete as per standard specifications and as directed by the CPC.</t>
  </si>
  <si>
    <t>Providing and fixing angular stopcock manufactured by (make &amp; model as approved by bank or CPC team as exception) 15 mm dia. all complete as per standard specifications and as directed by CPC</t>
  </si>
  <si>
    <t>Providing and fixing heavy duty 15 mm dia C.P. brass short body bibcock (two in one) of approved manufacturer  (Bib Cock with water flow rate or Aerators (flow Restrictors) restricting flow rate upto 3 LPM @ 3 Bar Pressure, approved by bank or CPC team as exception/ Refer make and model sheet,two way bib cock) all complete as per standard specifications and as directed by the in - Charge.</t>
  </si>
  <si>
    <t>providing and fixing of heavy duty bottle trap. (Make &amp; model as approved by bank or CPC team as exception).</t>
  </si>
  <si>
    <t>Providing and fixing heavy duty  pillar cock auto closing system (Pressmatic taps) for washbasins manufactured by (Pillar Cock with water flow rate or Aerators (flow Restrictors) restricting flow rate upto 3 LPM @ 3 Bar Pressure, approved by bank or CPC team as exception/ Refer make and model sheet, Pillar cock) all complete as per standard specifications and as directed by the CPC</t>
  </si>
  <si>
    <t>Providing and fixing heavy duty sensor pillar cock (Automatic taps) for washbasins manufactured by (Pillar Cock with water flow rate or Aerators (flow Restrictors) restricting flow rate upto 3 LPM @ 3 Bar Pressure, approved by bank or CPC team as exception/ Refer make and model sheet, Pillar cock) all complete as per standard specifications and as directed by the CPC</t>
  </si>
  <si>
    <t>Providing and fixing aerators Shower Flow Aerator (Spray) to lavatory faucets and kitchen faucets with 21mm dia  (For Lavatory Faucets - Flow rate restricted to 3 LPM @ 3 Bar Pressure and for Kitchen Faucet -  Flow rate restricted to 3.8 LPM @ 3 Bar Pressure. Make &amp; model as approved by bank or CPC team as exception/ refer make and model sheet, Aerators)</t>
  </si>
  <si>
    <t>Providing and fixing hand type Jet Spray with adjustable nozzle and push type valve and inlet flexible water connection in the toilet manufactured by M/s. Jaguar continental series or as approved by bank or CPC team</t>
  </si>
  <si>
    <t>Supplying of disposable Soap Dispenser of make as approved by bank or CPC team</t>
  </si>
  <si>
    <t>Supply &amp; fixing of Toilet paper holder of make as approved by bank or CPC team</t>
  </si>
  <si>
    <t>Supply &amp; fixing of SS finish Robe Hooks  of make as approved by bank or CPC team</t>
  </si>
  <si>
    <t>CP brass towel ring make as approved by bank or CPC team</t>
  </si>
  <si>
    <t>Providing &amp; laying CPVC pipes with screwed sockets, joints, and necessary pvc fittings such as socket, elbows, bends, tees etc., including making/ drilling holes in walls/ slabs and remaking good the damages in original conditions. The rate is inclusive of necessary scaffolding ( Make : Astral / Precision )</t>
  </si>
  <si>
    <t>Providing and fixing CI pipe (heavy duty ) for soil, waste, vent, of approved company with required fittings such as junctions, bends, bowl fixed with GI clamps filling the joints of pipe in cement including making necessary holes in walls, refilling the same with concrete making good the damaged portion with matching plaster, complete with 3 coats of oil paint (use of approved Low VOC/No VOC Paints as suggested by Bank or CPC team as exception / Refer Make and Model sheet, Paints) of approved shade.  The rate is inclusive of necessary scaffolding.</t>
  </si>
  <si>
    <t>Carrying out Eco - Friendly Pest control and ant-termite treatment by appointing specialized agency ( Agency : PCI / Hi-care)*  for the premises with one year guarantee. Mode of measurement shall be on carpet area. A certificate of guarantee to be submitted by the vendor along with hand over document. ( * In case PCI / Hi-care do not have reach to particular location vendor to share credentials of pest control vendor with CPC for approvals )</t>
  </si>
  <si>
    <t>Chasing work in the existing brick/siporex up to 200mm wide and max to 75mm deep, for installation of A.C. copper pipes/drain pipes as required and Making finished surfaces with 1:4 cement mortar (use Green Pro certified make approved by bank or CPC team as exception/ Refer make and model sheet,cement section), for portions of wall where chasing is done after laying drainage pipes and refrigerant pipes all complete including making good, closing and finishing of holes/openings in walls.</t>
  </si>
  <si>
    <t>Trenching work as per width and depth required. Making finished surfaces with 1:4 cement mortar (use Green Pro certified make approved by bank or CPC team as exception/ Refer make and model sheet,cement section) , portions of floor where trenching is done for laying Raceways for  Electrical, Data and Voice cables all complete.(Chasing should be avoided in floors, it should be done only if no alternative is availaible).</t>
  </si>
  <si>
    <t>Vendor should provide D.G. set during execution of site while power cut issues remote location. Opex cost, Diesel is included with hireing charges.</t>
  </si>
  <si>
    <t>Civil &amp; interior vendor will be responsible for securing the premises till the site is ready for IT hand-over with  proper locking mechanism or  till project is handed over to Project manager. (Daily 12 hour shift )</t>
  </si>
  <si>
    <t>Upto 75mm dia</t>
  </si>
  <si>
    <t>Upto 100mm dia</t>
  </si>
  <si>
    <t>Upto 150mm dia</t>
  </si>
  <si>
    <t>Providing, fixing and Removing MS H type frame scaffolding for branch interior and exterior work. Scafolding should have flat working platform.</t>
  </si>
  <si>
    <t>Providing and fixing a 1000 Lits over head watertank at branchs cost is including with necessary ball cock operated inlet connection and NRC valve output connection, internal connection and entire conncection should have emergency stop cock on inlet and outlet line.</t>
  </si>
  <si>
    <t>Charges towards the preparation of multiple options of proposed or dropped location/s recommended by regional project team (Jobs can not be more than 3 )</t>
  </si>
  <si>
    <t>Providing and fixing a desktop model of CO2 Monitoring Unit having CO2 Detection Range: 400-5000PPM , Sensitivity: 1PPM , AC / DC operated.</t>
  </si>
  <si>
    <t>Providing and placing medium size self watering ceramic planters (12 Inch)with plant of given list of Botanical (Areca palm /  Mother in law’s tongue/ Lady Palm/ Janet Craig / Dragon Tree / Warneckii or Dracanaenai / Spider Plant / Money plant)  Cost including plantation , soil and fertilizers. ( Max 15 Planters to be place in branch).</t>
  </si>
  <si>
    <t>POP &amp; FALSE CEILING WORKS</t>
  </si>
  <si>
    <t>Providing and applying Plaster of Paris punning to wall of average thickness 12mm to18mm thk to existing wall surfaces to achieve smooth surface in true level and plumb complete as directed. The rate to include cost for making grooves up to 12mm thick if required in horizontal or vertical direction near doors, windows, skirting (use Green Pro certified make approved by bank or CPC team as exception/ Refer make and model sheet, Gypsum Plaster)</t>
  </si>
  <si>
    <t>Gypsum board Ceiling - 12.5mm thk. single layer gypsum board fixed on suspended G.I. tubular channels as per manufacturers' specifications, including jointing, finishing with gypsum compound, jointing tape and top coat. The surface shall up be duly sanded and finished. Rate shall include cost of marking as/ reflected ceiling plan and making all the necessary cutouts for lights, grills, diffusers etc. The rate shall also include providing perimeter channel for grills, lights, diffusers as called for in HVAC and Electrical Drawings. The rate shall also include providing for edge/ angle bits at all corners, necessary taping, filling with jointing compound as per manufacturers specifications. The rate shall be exclusive of trap door which shall be paid for separately. (Green Pro certified make approved by bank or CPC team as exception/ Refer make and model sheet, Gypsum Ceiling)</t>
  </si>
  <si>
    <t>600mm x 600mm Modular Grid Ceiling (providing and fixing modular ceiling systems  (Green Pro certified make approved by bank or CPC team as exception/ Refer make and model sheet, Modular Ceiling) with mineral fibre board ceiling tiles as per following specifications, rate to include all fastening accessories with approved finishes. Fire retardant tiles of size 600mm x 600mm x 15mm thick of approved colour and type with acoustical property of 0.7 NRC. (Armstrong / USG Boral)
Suspension shall be as per manufacturer specific stitched, sillhouette reveal profile grid system with 15mm wide flanges incorporating 6mm central recess colour (all black reveal). Sillhouette main runners and cross tees to have metered ends (bird's mouth or manufacturer specific) and profiled notches to provide cruciform junctions. The perimeter runners should have the shadow edge detail forming a uniform groove (minimum 6mm) between the vertical partition / panelling / wall and the modular false ceiling grid as per detail drawing.</t>
  </si>
  <si>
    <t>Providing rectangular Coves made up of Gypsum board (Green Pro certified Gypsum Board and make approved by Bank or CPC team as exception / Refer Make and Model sheet, gypsum board) upto a size of 450 mm height and 100 mm facia and including the cost of additional frameworks and overlap , verticals and other necessary requirement   (Prior approval of Bank required)</t>
  </si>
  <si>
    <t>Providing and fixing trap doors for access to the areas above false ceiling. The trap door shall have an external frame made of 50mm x 50 mm in good quality seasoned wood scantling on which the shutter is hinged. Shutter shall be made of 19mm thk ply and finished with 1.0mm thick laminate externally and enamel paint (using paints with Low VOC/ No VOC approved by bank or CPC team as exception/ Refer make and model sheet, Paints - Applicable only if painted at site) internally. Concealed heavy duty hinges shall be used to mount the shutters and locking shall be provided with panel locks. The shutter shall be molded in level with the false ceiling forming a groove all around. Sufficient number of hinges and locks shall be provided to avoid sagging of the shutter. Key also shall be supplied for opening the shutter. No extra rate shall be provided for suspenders or frame works around for linking the trap door to gypsum board false ceiling. (Green Pro certified make approved by bank or CPC team as exception/ Refer make and model sheet, Gypsum Ceiling)</t>
  </si>
  <si>
    <t>Providing and fixing modular trap doors for access to the areas above false ceiling having size 1200 mm x 600 mm ( Make Knauf )</t>
  </si>
  <si>
    <t>Providing and fixing of full height solid partition made with Aluminum framework of 20 gauge of size 50 mm x 50mm fixed @600mm c/c both ways and covered with 9mm thk BWR plywood (Plywood which are "Free of Added Urea Formaldehyde" (required) and Green Pro certified (Mandatory) and make approved by Bank or CPC team as exception / Refer Make and Model sheet, BWR Plywood) and finished with 1.0mm thk laminate of approved shade. 75 mm  wide aluminium skirting is to be provided. Cost to include wooden inserts of sal-wood at the door opening for fixing of floor spring pivot etc. (The measurements will be taken from flooring to bottom of false ceiling) ( Basic cost of laminate up to Rs. 45/- Per sq.ft)</t>
  </si>
  <si>
    <t>Portion of the partition above the ceiling level to be made of Aluminum framework of 20 gauge of size 50 mm x 50mm. And covered from one side with 12.5 mm thick gypsum board of ( Green Pro certified Gypsum Board and make approved by Bank or CPC team as exception / Refer Make and Model sheet, gypsum board) specified Make.(The measurements will be taken from bottom of false ceiling up to slab bottom)</t>
  </si>
  <si>
    <t>Same as item 1.a-(i) above but partition framework to be covered with one side BRW plywood (Plywood which are "Free of Added Urea Formaldehyde" (required) and Green Pro certified (Mandatory) and make approved by Bank or CPC team as exception / Refer Make and Model sheet, BWR Plywood) of 9mm thickness finished with 1.0mm thick laminate  and other side with gypsum of 12.5mm thickness finished with 3 coats of luster paint  (Approved Low VOC/No VOC Paints as suggested by Bank or CPC team as exception / Refer Make and Model sheet, paints) of approved shade. 75 mm wide aluminium skirting is to be provided. (The measurements will be taken from flooring to bottom of false ceiling) ( Basic cost of laminate up to Rs. 45/- Per sq.ft)</t>
  </si>
  <si>
    <t>Same as item 1.a-(i) but partition framework to be covered with both side gypsum board (Green Pro certified Gypsum Board and make approved by Bank or CPC team as exception / Refer Make and Model sheet, gypsum board) of 12.5mm thickness with 3 coats of luster paint  (Approved Low VOC/No VOC Paints as suggested by Bank or CPC team as exception / Refer Make and Model sheet, paints) of approved shade</t>
  </si>
  <si>
    <t>Providing and fixing of full height solid partition made with Aluminum framework of 20 gauge of size 50 mm x 38mm fixed @600mm c/c both ways and covered with 12 mm thk Fire rated plywood  (Plywood which are "Free of Added Urea Formaldehyde" (required) and Green Pro certified (Mandatory) and make approved by Bank or CPC team as exception / Refer Make and Model sheet, Fire rated Plywood)  and finished with 1.0mm thk laminate of approved shade. 75 mm  wide aluminium skirting is to be provided. Cost to include inserts of stainless steel at the door opening for fixing of floor spring pivot etc. Rate shall be inclusive of Glass Wool Rate shall include filling all cutouts using Acrylic Firestop Sealant Hilti CP 606.</t>
  </si>
  <si>
    <t>Glazing profile (size: 26mm x 32mm) single glazed fixed partition for 12 mm toughened glass Complete systems (Entrance Partition &amp; BM Cabin)
Sap Code : EAPS- 1032 - WCP With Cover - 12mm - Non safety Profile for 12mm Glass Aluminum  S.S Finish 3MTR W.C.P End Cap 
H Profile 12mm glass to glass 180 deg Stock Length 3000mm with 3M Adhesive  (approved Low VOC/No VOC Adhesives to be used by Bank or CPC team as exception / Refer Make and Model sheet, Adhesives) Finish EV 101 
Glass 12 mm Tuff Clear Crystal Edge Polished with cut out and Holes
Silicon Seal Clear - Dow / Wacker 
S.S Screw for Fixing Metal / Wooden 38mm x 6mm CSK Philip Head with Plastic Anchor Grip</t>
  </si>
  <si>
    <t>Providing &amp; fixing of Semi glazed partitions solid upto 4'0" ht The solid portion of the  partitions is made by using the Al. frame work of size 50mm x 50mm fixed @600mm c/c bothways covered with  9mm thick BWR plywood (Plywood which are "Free of Added Urea Formaldehyde" (required) and Green Pro certified (optional) and make approved by Bank or CPC team as exception / Refer Make and Model sheet, BWR Plywood) and finished with 1.0mm thick laminate of approved shade.
Glazing profile (size: 26mm x 32mm) single glazed fixed partition for 12 mm toughened glass Complete systems (Entrance Partition &amp; BM Cabin)
Sap Code : EAPS- 1032 - WCP With Cover - 12mm - Non safety Profile for 12mm Glass Aluminum  S.S Finish 3MTR W.C.P End Cap 
H Profile 12mm glass to glass 180 deg Stock Length 3000mm with 3M Adhesive (approved Low VOC/No VOC Adhesives to be used by Bank or CPC team as exception / Refer Make and Model sheet, Adhesives) Finish EV 101 
Glass 12 mm Tuff Clear Crystal Edge Polished with cut out and Holes
Silicon Seal Clear - Dow / Wacker 
S.S Screw for Fixing Metal / Wooden 38mm x 6mm CSK Philip Head with Plastic Anchor Grip</t>
  </si>
  <si>
    <t>Same as item 1.a-(i) but low height solid partition up to 1200 mm height. The partition framework to be covered with 12mm thick BWR plywood ( Plywood which are "Free of Added Urea Formaldehyde" (required) and Green Pro certified (Mandatory) and make approved by Bank or CPC team as exception / Refer Make and Model sheet, BWR Plywood) and finished with 1.0mm thick laminate. Wooden trim of size 75mm x 12mm made of Teak wood to be provided at the edge of the partition finished with approved shade of laminate and 75 mm  wide aluminium skirting is to be provided.</t>
  </si>
  <si>
    <t>Providing and fixing of 55 mm thick Low ht Modular partition up to  1200 mm height. The partition framework to be covered with 12mm thick partical board and finished with 1.0mm thick laminate. Powder coated trim of size 75mm x 12mm made of aluminium profile to be provided at the edge of the partition finished with approved shade of coating and 75 mm  wide aluminium skirting is to be provided.</t>
  </si>
  <si>
    <t>Same as item 1.c-(i) above but low height solid partition to have 12mm thick clear float glass  (Green Pro certified Glass and make approved by Bank  or CPC team as exception / Refer Make and Model sheet, Glass) of 300mm high fixed by way of ss brackets . The glass edges to be machine Polished and rounded at the corner.</t>
  </si>
  <si>
    <t>P/f paneling of 12mm thick BWP plywood (BWP Plywood which are "Free of Added Urea Formaldehyde" (required) make approved by Bank or CPC team as exception / Refer Make and Model sheet, BWP Plywood) fixed on leveled wall and finished with 1.00mm thk. laminate of approved Make and shade , on all exposed surfaces on all exposed surfaces as per details, cost should also include molding made out of 25 mm x 12 mm teak wood of at the top and side edge of the paneling finished with 2 mm thk PVC edge banding tap and 75 mm  wide aluminium skirting is to be provided.</t>
  </si>
  <si>
    <t>P/F paneling with Aluminium frame work of 20 gauge of size 50 mm x 38mm with 600mm c/c covered by  12mm thick BWP plywood (BWP Plywood which are "Free of Added Urea Formaldehyde" (required) make approved by Bank or CPC team as exception / Refer Make and Model sheet, BWP Plywood)  fixed on  frame and finished with 1.00mm thk laminate having 25 mm x 12 mm teak wood of at the top and side edge of the paneling finished with 2 mm thk PVC edge banding tap and 75 mm  wide aluminium skirting is to be provided.</t>
  </si>
  <si>
    <t>same as item 2.a-(ii) above covered with 12.5mm gypsum board  (Green Pro certified Gypsum Board and make approved by Bank or CPC team as exception / Refer Make and Model sheet, Gypsum Board) and finished with 3 coats of approved shade of luster paint. (Approved Low VOC/No VOC Paints as suggested by Bank or CPC team as exception / Refer Make and Model sheet, Paints)</t>
  </si>
  <si>
    <t>Same as above 2.a-(i)  but with 12 mm thick bison board and finished with 1 mm thk laminate of approved shade.</t>
  </si>
  <si>
    <t>Same as above 2.a-(ii)  but with 12 mm thick bison board and finished with 1 mm thk laminate of approved shade.</t>
  </si>
  <si>
    <t>same as item 2.a-(i)  above but with 12mm thick bison board  finished with 3 coats of approved shade of luster paint. (Approved Low VOC/No VOC Paints as suggested by Bank or CPC team as exception / Refer Make and Model sheet, Paints)</t>
  </si>
  <si>
    <t>same as item  2.a-(ii) above but with 12mm thick bison board  finished with 3 coats of approved shade of luster paint.(Approved Low VOC/No VOC Paints as suggested by Bank or CPC team as exception / Refer Make and Model sheet, Paints)</t>
  </si>
  <si>
    <t>Providing and fixing 6mm thk back painted glass (extra clear glass)  (Green Pro certified Glass and make approved by Bank  or CPC team as exception / Refer Make and Model sheet, Glass)  as per approved shade on 6mm thk MDF (exterior grade only) backing for partitions/walls as per design and detail drawing. The glass should be glued to the MDF backing using 3M double tape. cost is including 8mm width aluminium hat section in to the grooves between ply paneling / back painted glass</t>
  </si>
  <si>
    <t>P/f wooden boxing for covering AC Piping, windows with Aluminium frame work of 20 gauge of size 25 mm x 25 mm with 600mm c/c internal framework and covered with by 12mm thick BWP plywood (use BWP Plywood which are "Free of Added Urea Formaldehyde" (required) make approved by Bank or CPC team as exception / Refer Make and Model sheet, BWP Plywood)  finished with 1.0mm thk laminate of approved shade on all exposed surfaces including boxing top.(surface area will be measured for the purpose of billing)</t>
  </si>
  <si>
    <t>P/f wooden boxing for covering AC Piping, windows with Aluminium frame work of 20 gauge of size 25 mm x 25 mm with 600mm c/c internal framework and covered with by 12mm thick BWP plywood (use BWP Plywood which are "Free of Added Urea Formaldehyde" (required) make approved by Bank or CPC team as exception / Refer Make and Model sheet, BWP Plywood)  finished with 3 coats of paints (use of approved Low VOC/No VOC Paints as suggested by Bank or CPC team as exception / Refer Make and Model sheet, Paints) of approved shade on all exposed surfaces including boxing top.(surface area will be measured for the purpose of billing)</t>
  </si>
  <si>
    <t>Extra for providing and fixing Enox/Ozone Make floor spring of 120 kg capacity ( only in the case of existing doors )</t>
  </si>
  <si>
    <t>Same as item no.4.a-(i) above but size of the door shall be 900mm x 2100mm</t>
  </si>
  <si>
    <t>Same as item no.4.a-(ii) above but size of the door shall be 900mm x 2400mm</t>
  </si>
  <si>
    <t>Providing &amp; fixing Solid Flush Door of 38mm thickness in laminate finish on both sides With Vision Panel of size 300mm x 300mm made of  6mm thk glass  (Green Pro certified Glass and make approved by Bank  or CPC team as exception / Refer Make and Model sheet, Glass)   for Server, Teller, store  and Pantry. Door to be mounted  on hinges and heavy duty door closer to be provided including Handles &amp; necessary hardware fittings ( All hardware Make :  Enox/Ozone ). the sizes of the doors to be considered as under:</t>
  </si>
  <si>
    <t>Providing and fixing including necessary civil work door frames made out of salwood section of size 100mm x 75mm including providing 3 nos. anchor hold fasts, applying black jaipan paint (Approved Low VOC/No VOC Paints as suggested by Bank or CPC team as exception / Refer Make and Model sheet, paints) on the surface of the frame touching the edge of the wall. The frames to be finished with 1.0 mm thick laminate or paint (Approved Low VOC/No VOC Paints as suggested by Bank or CPC team as exception / Refer Make and Model sheet, Paints)  of approved shade.</t>
  </si>
  <si>
    <t>i. Server room frame: as per door size mentioned in item no.4.c-(a) above</t>
  </si>
  <si>
    <t>ii. Server room frame: as per door size mentioned in item no.4.c-(b) above</t>
  </si>
  <si>
    <t>iii. Teller room door/ Store room door :  as per door size mentioned in item no. 4.c-(c) above</t>
  </si>
  <si>
    <t>iv. Teller room door/ Store room door :  as per door size mentioned in item no. 4.c-(d) above</t>
  </si>
  <si>
    <t>iv. Pantry door :  as per door size mentioned in item no. 4.c-(e) above</t>
  </si>
  <si>
    <t>iv. Pantry door :  as per door size mentioned in item no. 4.c-(f) above</t>
  </si>
  <si>
    <t xml:space="preserve">Providing and fixing in place, branch manager's table of size 1575mm x 675mm(worktop size)comprising of 25mm thick table top made of medium density particle board with side credenza of size 400mm deep and 900mm long having sliding shutters with locks ( Make : Ebco ) and a 3 drawer pedestal of size 400mm x 500 mm x700mm consisting of 2nos. drawer of 150mm deep and 300mm deep filing drawer having common lock ( Make : Ebco ) including modesty apron to be made out of 19mm thick BWR plywood (use Plywood which are "Free of Added Urea Formaldehyde" (required) and Green Pro certified (Mandatory) and make approved by Bank or CPC team as exception / Refer Make and Model sheet, BWR Plywood) /high Density particle board. The table top to have post form edge. All complete including key board drawer, M.S. Powder coated Cable tray to place electrical sockets on it, CPU trolley and necessary hardware .( Make : Ebco) all the external surfaces to be finished with 1.0mm thick laminate and internal surfaces to be finished with 0.8 mm thick laminate of approved shade. all complete as directed.( All furniture hardware should be Ebco Make )
</t>
  </si>
  <si>
    <t>same as item 5.a - i but  table of size 1425 x 675mm.(worktop size).</t>
  </si>
  <si>
    <t>Providing and fixing in place, Personal manager's table of size 1350 x 675mm.(worktop size)comprising of 25mm thick table top made of medium density particle board with side credenza of size 400mm deep and 900mm long having sliding shutters with locks ( Make : Ebco )and a 3 drawer pedestal of size 400mm x 500 mm x700mm consisting of 2nos. drawer of 150mm deep and 300mm deep filing drawer having common lock ( Make : Ebco ) including modesty apron to be made out of 19mm thick BWR plywood (use Plywood which are "Free of Added Urea Formaldehyde" (required) and Green Pro certified (Mandatory) and make approved by Bank or CPC team as exception / Refer Make and Model sheet, BWR Plywood) /high particle board.. The table top to have post form edge.  All complete including key board drawer, M.S. Powder coated Cable tray to place electrical sockets on it, CPU trolley and necessary hardware. all the external surfaces to be finished with 1.0mm thick laminate and internal surfaces to be finished with 0.8 mm thick laminate of approved shade. all complete as directed.( All furniture hardware should be Ebco Make )</t>
  </si>
  <si>
    <t>Same as item 5.c-(i) above but of size 1425mm x 1425mm.</t>
  </si>
  <si>
    <t>Back Office Tables -1200mm width x 600 mm x750mm deep
Free Standing Table top made of 25mm thk prelaminated particle board of approved color laminate with front longer edge having post form dome type head with alumminium access flap with soft closing mechanism. 
Understructure shall have Square looped legs with min size of section 46mm x45mmx 1.2 mm thk made of MS Extrusion duly powder coated . It is fitted with M8x 25mm Dome shape leveller to have better look &amp; it's size should be matching to leg pipe size. 
Front Apron  wooden  Modesty of 18mm prelaminated twin laminated shall be fixed with minfix with metal leg .The ht. of modesty is 700mm
All wiring mecahnism /swith plates are to be mounted on below access flap with vertical/horizontal post to carry wires from junction post
heavy duty keyboard Tray  made of MS duly powder coated with wrist pad 
3 Drawer wooden fixed pedestal of size 700mm ht x 380mm w x 450mm D. Pedestal should be opened with single Key &amp; all drawers &amp; doors shall have no handles
Entire body except back is made of 18mm prelaminated board of approved color, &amp; back is in 9mm white All Facia vetical edges shall have reverse waterfall edge in such a way for easy finger grip to user &amp; shall have no external handle. Cost of soft Pin board cum writing board dividor inclusive with cost .</t>
  </si>
  <si>
    <t>Same as item 5.f-(i) above but without glass partition.</t>
  </si>
  <si>
    <t>Providing and fixing meeting room table made out of 12mm thick glass  (use Green Pro certified Glass and make approved by Bank  or CPC team as exception / Refer Make and Model sheet, Glass)  table top of size up to 900mm dia. Glass edges to have machine cut. The base of the table to be made   of  Powder coated MS base finished with approved shade of PU paint (use of approved Low VOC/No VOC Paints as suggested by Bank or CPC team as exception / Refer Make and Model sheet, Paints) and finished . Glass to be fixed to the base with PVC vacuum holders.</t>
  </si>
  <si>
    <t>Full height storage units (use of BIFMA/Green Guard/ GPSC certified Storage Units)</t>
  </si>
  <si>
    <t>Low height storage units (BIFMA/Green Guard/ GPSC certified Storage Units)</t>
  </si>
  <si>
    <t>same as item 6.b-(i) above but shutters of the storage to be made sliding with locking arrangement. (Specifically for BM Cabin)</t>
  </si>
  <si>
    <t>Same as item 6.b-(i) above but overhead storage of approx. height 750mm.</t>
  </si>
  <si>
    <t>A 3 drawer pedestal of size 400mm x 500 mm x700mm consisting of 2nos. drawer of 150mm deep and 300mm deep filing drawer having common lock ( Make : Ebco ) including modesty apron to be made out of 19mm thick BWR plywood/high density particle board. (use Plywood which are "Free of Added Urea Formaldehyde" (required) and Green Pro certified (Mandatory) and make approved by Bank or CPC team as exception / Refer Make and Model sheet, BWR Plywood)</t>
  </si>
  <si>
    <t>Same as item 7(a) but shutters without ventilation grille for built in niches .</t>
  </si>
  <si>
    <t>Providing and fixing DB shutters/ Electrical cabinate in 19 mm thick FR Grade Plywood (use FR Plywood which are "Free of Added Urea Formaldehyde" (required) and make approved by Bank or CPC team as exception / Refer Make and Model sheet, FR Plywood)  of approved make only to be finished with 1.0mm thick laminate externally &amp; Internally should have of aluminum perforated grille at bottom and all hardware, tower bolts, locks etc. to be included.</t>
  </si>
  <si>
    <t>Providing and fixing tricolour (Silver - Red - Grey) Aluminium Composite Panels (ACP) of A2 FR Grade exterior grade for cladding near entrance of approved make for external wall / column / canopy cladding in combination of solid / Metallic colours, including all necessary frame work and complete weather sealing. The composite panel should consist of 3mm thermoplastic core of LDPE sandwiched between 2 skins of 0.5mm thick aluminium sheet (alloy designation 310S) making a total panel thickness
of 4mm. The surface will be furnished with Lumiflon based flourcarbon coating on top sides and service coating on reverse side. Coatings shall conform to specifications of
specifications of ECCA / AAMA and conforming to the mechanical properties of panel as per detailed technical specifications. the system shall be fixed using GI brackets
and stainless steel bolts and nuts complete with spring washers and cap nuts and all other necessary accessories. The bracket support shall be designed as per manufactures
specification and shall withstand a wind pressure of 150 kg / sqm. all hardware shall corrosion resistant frame out of anodised aluminium member.</t>
  </si>
  <si>
    <t>Same as item 9.a-(i) above but providing only ss pipe of dia 50 mm on one side of the wall with necessary brackets at required intervals.</t>
  </si>
  <si>
    <t>Same as item 9.b-(i) but providing only MS pipe of dia 50mm on one side of the wall with necessary brackets at required intervals.</t>
  </si>
  <si>
    <t>Loose Furniture (use of BIFMA/Green Guard/ GPSC certified Sofa Units)</t>
  </si>
  <si>
    <t>Corner Tables of size 450 mm x450mm made of glass top  (use Green Pro certified Glass and make approved by Bank  or CPC team as exception / Refer Make and Model sheet, Glass) and Powder coated MS base finished with approved shade of paint (use of approved Low VOC/No VOC Paints as suggested by Bank or CPC team as exception / Refer Make and Model sheet, Paints)  and finished . ( Make: Amardeep Design or approved by CPC )</t>
  </si>
  <si>
    <t>Centre Table of size 600mm x 1200mm made of glass top (use Green Pro certified Glass and make approved by Bank  or CPC team as exception / Refer Make and Model sheet, Glass) and Powder coated MS base finished with approved shade of paint (use of approved Low VOC/No VOC Paints as suggested by Bank or CPC team as exception / Refer Make and Model sheet, Paints)  and finished . ( Make: Amardeep Design or approved by CPC )</t>
  </si>
  <si>
    <t>Supplying &amp; fixing in position Aluminium extruder sections of 16 gauge of approved Makes two track sliding windows with outer frame made from section overall size 62mm x 45mm, with shutters of sections made of 19mm x 40mm with 6mm plain sheet glass  (use Green Pro certified Glass and make approved by Bank  or CPC team as exception / Refer Make and Model sheet, Glass) of approved Make with new neoprene gasket, shutters to be provided with nylon encased S.S. rollers, necesarry locks, and handles etc. The A1 section should be, treated with powder coating of approved colour/ shade. Complete in all respect.</t>
  </si>
  <si>
    <t>Providing and fixing 12thk. Soft board comprising of 12mm thk. back Ply (use FR Plywood which are "Free of Added Urea Formaldehyde" (required) and make approved by Bank or CPC team as exception / Refer Make and Model sheet, FR Plywood) fixed on wall with 12mm thk pinup board (Soft  board) covered with fabric of approved shade (Basic cost Rest. 110/- per running meter.)</t>
  </si>
  <si>
    <t>Providing and fixing of magnetic white board of 3'-0" X 4'-0" size for Branch Manager &amp; Meeting Room including accessories like markers, dusters , tray etc.</t>
  </si>
  <si>
    <t>Similar to above but 6'-0" x4'-0" size</t>
  </si>
  <si>
    <t>Providing and fixing flawless 6 mm thk. mirror of approved quality . The mirror shall be fixed on 12mm thk  marine plywood (use FR Plywood which are "Free of Added Urea Formaldehyde" (required) and make approved by Bank or CPC team as exception / Refer Make and Model sheet, Plywood) backing with stainless steel mirror screws.</t>
  </si>
  <si>
    <t>providing and fixing 75 mm ht approved aluminium extruded profile skirting (readymade section) made out of 18 gauge aluminium, powder coated with shade as approved by architect with a thickness of 50 microns. Skirting to include all nesessary fixing details all complete as per detail drawing. Rate to include 12mm thk marine plywood backing (use FR Plywood which are "Free of Added Urea Formaldehyde" (required) and make approved by Bank or CPC team as exception / Refer Make and Model sheet, Plywood) for solid partition/ wall. Rate to be inclusive of providing 12mm groove between the skirting and the partition skinning.</t>
  </si>
  <si>
    <t>Providing and fixing 300 mm wide and 10 mm thick glass  (use Green Pro certified Glass and make approved by Bank  or CPC team as exception / Refer Make and Model sheet, Glass) shelves for momentos in Br. manager's cabin fixed with ss brackets. Size of each shelve.</t>
  </si>
  <si>
    <t>Providing and fixing 19mm thk ply shelf for DVR in Server Room. Size (1'-6" X 9")</t>
  </si>
  <si>
    <t>Similar to above but shelf of size(2'-0" X 9") for Strong Room below vanity mirror</t>
  </si>
  <si>
    <t>Providing and fixing Notice board made up of soft board comprising of 12mm thk. back Ply (use Plywood which are "Free of Added Urea Formaldehyde" (required) and Green Pro certified (Mandatory) and make approved by Bank or CPC team as exception / Refer Make and Model sheet, BWR Plywood)  fixed on wall with 12 mm thk pinup board (Soft  board) covered with fabric of approved shade Board to be covered with four way frame of 75 mm thik 12 mm plywood and to be finished with approved laminated shade</t>
  </si>
  <si>
    <t>Providing and fixing in place 150mm deep pelmet made out of 12.5 mm thick gypsum board  (use Green Pro certified Gypsum Board and make approved by Bank or CPC team as exception / Refer Make and Model sheet, Gypsum Board) and finished with luster paint (use of approved Low VOC/No VOC Paints as suggested by Bank or CPC team as exception / Refer Make and Model sheet, Paints) . The pelmet to be provided at the junction of window and false ceiling only  as per site conditions. The pelmet to be concealed inside the false ceiling such as to receive the vertical blinds.</t>
  </si>
  <si>
    <t>Ladder of height 8 feet (C section and steps on both sides)</t>
  </si>
  <si>
    <t>Ladder of height 10 feet (C section and steps on both sides)</t>
  </si>
  <si>
    <t>Ladder of height 12 feet (C section and steps on both sides)</t>
  </si>
  <si>
    <t>Providing and fixing folding/retractable mechanical operation canopy awning made of high quality tensile plastic sheet. Cost is inclusive of all necessary accessaries, gears etc.</t>
  </si>
  <si>
    <t>Providing and fixing 12 mm Chair / Corner Guard of approved aluminium extruded profile (readymade section) as approved by architect. Rate to include all nesessary fixing details all complete as per detail drawing.</t>
  </si>
  <si>
    <t xml:space="preserve">Providing Heavy Traffic Entrance Mattin 3M Nomad Terra 8150 Floor Mat size upto 8'0" x 3'0"
</t>
  </si>
  <si>
    <t>Providing and fixing 12 mm froster glass partion to be placed in between interconnected workstation. Rate to include all nesessary fixing details all complete as per detail drawing.</t>
  </si>
  <si>
    <t>Providing and placing 6 mm transparant acrylic glass for table top to avoid lnk / stamp marking on white laminated tops. (Basis rate of acrylic is 300 Rs./ Sq.ft)</t>
  </si>
  <si>
    <t>Fire Exit Door</t>
  </si>
  <si>
    <t>Supply &amp; Fixing single leaf Metal Fire Doors of Size : 1200mm X 2400mm with a vision panel 310mm X 310mm &amp; without panic bar of 60 minutes Rated Insulated Fire Door Tested in accordance to BS: 476 Part – 20 and IS: 3809: 1979, CNP – 2150 Door Frame: Providing of Door Frame of section 120mm X 70mm with fire intumescent seal strip of size 10mm X 4mm for fire and smoke sealing mounted in the grooves of the frame and coated with fire retardant intumescent Primer coating. Hinges: Providing of ball bearing hinges with S.S. Screws - 4 nos per shutter. Handle:  Fire rated handles in SS finish to be included in cost.</t>
  </si>
  <si>
    <t>Same as  12_p_xiii_a but included Supply and installation of Panic Bar with Hooter</t>
  </si>
  <si>
    <t>Providing and applying desired paint luster finish to walls,  of approved shade.. The surface of wall to be painted shall be prepared and applied with two coats of primer, two coats of putty and touch up putty if required to achieve smooth finish. The surface shall be painted with three coats of luster paint (use of approved Low VOC/No VOC Paints as suggested by Bank or CPC team as exception / Refer Make and Model sheet, Paints) of Dulux - akzonobel / Asian.</t>
  </si>
  <si>
    <t>Same as item (a) but applying acrylic emulsion paint (use of approved Low VOC/No VOC Paints as suggested by Bank or CPC team as exception / Refer Make and Model sheet, Paints)   on the ceiling</t>
  </si>
  <si>
    <t>Same as item (a) above but applying synthetic enamel paint (use of approved Low VOC/No VOC Paints as suggested by Bank or CPC team as exception / Refer Make and Model sheet, Paints) to MS grilles, collapsible gates, rolling shutters etc.</t>
  </si>
  <si>
    <t>The surface of wall or ceiling to be painted shall be prepared as per the manufacturers specification. Cracks if any visible on the surface to be treated by opening up the cracks, filling the same using polymer based waterproofing compound. The surface shall be applied with a priming coat of white cement or approved primer. The primed surface shall be painted with the desired paint (use of approved Low VOC/No VOC Paints as suggested by Bank or CPC team as exception / Refer Make and Model sheet, Paints)  with two or more coats as per specifications of the manufacturer.</t>
  </si>
  <si>
    <t>Textured superfine paint shall be applied after preparing the surface to get the antique finish. The paint shall be applied using texture roller to give a uniform roller texture finish with two coats different colours of acrylic emulsion paint (use of approved Low VOC/No VOC Paints as suggested by Bank or CPC team as exception / Refer Make and Model sheet, Paints) . The texture paint used shall be of spectrum make.</t>
  </si>
  <si>
    <t>Same as item (a) above but applying duco paint (use of approved Low VOC/No VOC Paints as suggested by Bank or CPC team as exception / Refer Make and Model sheet, Paints)  to existing locker room only  etc.</t>
  </si>
  <si>
    <t>Providing and applying three coats of fire rated paint of approved make, with low voc - leed certified, wherever required to internal walls/ceiling surfaces  after thoroughly sand papering surfaces to remove dust, dirt etc. and repairing dents, cracks, holes with pop to achieve level surface and finishing with two coats of primer, putty and three coats of paint including cost of material, labour etc. all complete as directed by the engineer in charge. Rate to include application at all heights and levels, surfaces and textures. approval required of engineer in charge after each coat.</t>
  </si>
  <si>
    <t>Providing and fixing of MS Box type window grille made out of 10mm X 10 mm MS square section with the depth fof 300 mm in standard pattern as per design. The grille to be finished with red oxide and 2 coats of enamel paint (use of approved Low VOC/No VOC Paints as suggested by Bank or CPC team as exception / Refer Make and Model sheet, Paints)  of approved shade (Black)</t>
  </si>
  <si>
    <t>M.S. Fabrication work.</t>
  </si>
  <si>
    <t>Providing, Fixing and fabrication of MS structure for staircase, under/overdeck strengthing of slab, columns, and MS Brackets. Cost includes cost of all types of MS members requires to build structure, Additional supports, fabrication, bolting, grouting and other neccesary structure elements. MS structure should treated with anti corrotion treament before final finishing. Cost is inclusive of anti corrontion and 2 coats of enamal paint (use of approved Low VOC/No VOC Paints as suggested by Bank or CPC team as exception / Refer Make and Model sheet, Paints) , Structure certificate etc. ( This item is applicable for MS Brackets of signages, MS Staircase, MS Strengthing work)</t>
  </si>
  <si>
    <t>P/f. ROLLING SHUTTER in 18 gauge GI 2" wide flat interlocking slats, with bottom lock rail, necessary handles and locking arrangement, guides on sides including providing vision panel of size 450mm x length  at 1500mm from the floor finish level. Shutters to be coated with 2 coats of anti-rust paint and 3 coats of 1st quality enamel paint (use of approved Low VOC/No VOC Paints as suggested by Bank or CPC team as exception / Refer Make and Model sheet, Paints)  in Blue colour as per HDFC logo. Rate to include top cover box .</t>
  </si>
  <si>
    <t>Providing and erecting in position MS Collapsible grill gate with heavy duty standard sections, channel, flats, top and bottom guides, pivots, rollers, stoppers, handles with proper locking arrangement &amp; necessary accessories. The gate shall be finished with 1 coat of red oxide and two coats of enamel paint (use of approved Low VOC/No VOC Paints as suggested by Bank or CPC team as exception / Refer Make and Model sheet, Paints)  of approved shade.</t>
  </si>
  <si>
    <t>Similar to above 4(a) but for Collapsible MS Shutter</t>
  </si>
  <si>
    <t>Provide and installation of Mild steel Vsat monkey cage of size 8 ft x 8 ft x 8 ft and fixed at bottom with MS angle frame of  size 40/40/5 and also having intermediate supports MS flats of size 25/25/5 and frame covered with MS mesh size of 10 Gauge 4'' x 4'' the cage having access gate Size 6 ft x 3 ft strength by angle with proper locking arrangement, Cage shall be finished with 1 coat of anti-rusting paint and two coats of enamel paint (use of approved Low VOC/No VOC Paints as suggested by Bank or CPC team as exception / Refer Make and Model sheet, Paints)  of approved shade.</t>
  </si>
  <si>
    <t>1 : POWER DISTRIBUTION PANEL</t>
  </si>
  <si>
    <t>TYPE I PANEL - Main LT Panel (For upto 1000 sq. ft)</t>
  </si>
  <si>
    <t>TYPE I PANEL - Main LT Panel (For 1000-1500 sq. ft)</t>
  </si>
  <si>
    <t>TYPE II PANEL - Main LT Panel (For 2500-4500 sq. ft)</t>
  </si>
  <si>
    <t>Supply &amp; Installation of Master Switch with Key comprising of Start and Stop Push Button with key control for Start and Stop complete in powder coated MS box near the entrance of the bank. By Switching off this master switch the entire electrical equipment (Except Critical Bus) in the branch will get switched off. This switch can be operated while closing the branch. We have excluded following load from Master switch : entire UPS Load, Signage, Server room and ATM room AC's, CCTV, emergency lights and any other critical loads if any as per the seperate critical bus mentioned in panels specification as above.</t>
  </si>
  <si>
    <t>20-30KVA Phase correction DB (For upto 1000 sq. ft)</t>
  </si>
  <si>
    <t>30-40 KVA Phase correction DB (For 1000-1500 sq. ft)</t>
  </si>
  <si>
    <t>40-50 KVA Phase correction DB (For 1500-2500 sq. ft)</t>
  </si>
  <si>
    <t>50-60 KVA Phase correction DB (For 2500-4500 sq. ft)</t>
  </si>
  <si>
    <t>For 1 Phase UPS</t>
  </si>
  <si>
    <t>Emergency DB (If required/Optional)</t>
  </si>
  <si>
    <t>TPN, 6 Way (for 1500 to 2500 sq. ft area)</t>
  </si>
  <si>
    <t>TPN, 8 Way (above 2500 Sq. ft area)</t>
  </si>
  <si>
    <t>Supply , Installation of 1100V Grade PVC insulated , PVC sheathed GI wire armored Aluminium/ copper standard conductor , Cable of following sizes to be laid in on wall complete with dressing saddling clamping etc. Including civil work and required accessories.</t>
  </si>
  <si>
    <t>End termination of the following sizes of 1100V, Aluminium/copper (as per conductor), PVC insulated and sheathed armoured cables with single compression brass cable glands &amp; crimping type Aluminum / Copper lugs, complete with all hardware etc. One end connection of a cable (with 3/4 core) to be consider as 1 end termination.</t>
  </si>
  <si>
    <t>6 : CABLING FOR CCTV, PAS AND FAS</t>
  </si>
  <si>
    <t>2 Core X 1.5 Sqmm flexible copper conductor wires laid through conduits (including cost of conduit and its proper installation on ceiling / wall etc.)</t>
  </si>
  <si>
    <t>25 mm x 3 mm G.I. strip</t>
  </si>
  <si>
    <t>Plate Earthing: - Supply, Installation testing and commissioning of permanent earth stations with 600 mm x 600 mm x 3.15 mm copper earth plate &amp; (G.I. pipe for watering) buried in specially prepared, 3 meters. deep earth pits with alternate layers of charcoal &amp; salt, complete with reducer, funnel, wire mesh &amp; test link and brick masonry chamber with hinged type cast iron cover etc.</t>
  </si>
  <si>
    <t>Pipe Earthing: - Supply, Installation testing and commissioning  GI pipe earthing station including excavation, back filling, 50 mm diameter GI pipe of 3 m long, construction of inspection chamber, chamber cover (C.I), disconnecting link etc. as per specifications.</t>
  </si>
  <si>
    <t>Chemical Earthing: - Maintenance free Electrical Grounding system comprising of low carbon high tensile solid electrode of sufficient length (Not less than 2.5 Mtrs) with carbon based, combination of highly conductive material  to achieve earth resistance less than 2 ohm. as confirming to IS : 3043-1987, Clause 9.2.8 and 9.3 : 
The material, selected for Earthing Electrode, and material used should be such that it resists the corrosion complete with CI cover (suitable for vehicular movement) and required masonry work.</t>
  </si>
  <si>
    <t>8 : SERVO BYPASS SWITCH</t>
  </si>
  <si>
    <t>80 Amps FP BYPASS -</t>
  </si>
  <si>
    <t>100 Amps FP BYPASS -</t>
  </si>
  <si>
    <t>125 Amps FP BYPASS -</t>
  </si>
  <si>
    <t>160 Amps FP BYPASS -</t>
  </si>
  <si>
    <t>200 Amps FP BYPASS -</t>
  </si>
  <si>
    <t>Primary Point : One Light Pt. controlled by one 6 Amps Switch (Point wiring including switches approx. 10 meters. Length)</t>
  </si>
  <si>
    <t>Secondary light point: looped from primary light point.   ( comprising of 3 nos. 1.5 sq.mm PVC ins. Copper cond. Wire in 20mm. Rigid PVC conduit pipe without switches)</t>
  </si>
  <si>
    <t>Exhaust Fan Outlet points :- Providing of 6 amps 3Pin socket near the exhaust Fan and switch with the light switch board, G.I / M.S Box for housing the above, complete with earthing with 1.5 sq.mm. PVC insulated copper conductor/wire.</t>
  </si>
  <si>
    <t>6/16 amps Power Plug Outlets :- Providing of 16 amps Modular type Socket and switch(multicountry type), Box for housing the above, Modular sheet, earthing the third pin  with 2.5 sq.mm mm PVC Insulated Copper Conductor Wire, complete in all respects as required (Cost of wire /pipe/raceways is NOT to be included in this cost)</t>
  </si>
  <si>
    <t>Split A/c outdoor Box :- Providing and fixing of 20 Amps Industrial Socket outlet with top controlled by 20 A 10ka SP MCB all housed in M.S Box duly painted with IP 65, earthing the 3rd Pin with 2.5 sq.mm PVC Insulated copper conductor/wire. (excluding the cost of wires / cables)</t>
  </si>
  <si>
    <t>Supply, Installation, testing, commissioning  of following feeders for Incoming/ outgoing in weatherproof MS sheet box, power sockets etc.</t>
  </si>
  <si>
    <t>RG -6 T.V Coaxial TV outlet Socket  with Modular sheet and M.S Box included with 2 no.s of 5 Amp socket controlled by 1 No. of 15 Amp switch.</t>
  </si>
  <si>
    <t>Circuit Wiring (Light &amp; Raw power points): Supply and laying of following sets of wires of PVC insulated , PVC sheathed copper flexible wires in laid  PVC conduits Including civil work and required accessories spacers, clamps and hardware etc.(Cost of pipe/raceways is NOT to be included)</t>
  </si>
  <si>
    <t>AC Wiring: Supply and laying of following cables with fixed length mentioned cable should be PVC insulated , PVC sheathed copper flexible wires in laid  PVC conduits Including civil work and required accessories spacers, clamps and hardware etc.(Cost of pipe/raceways is NOT to be included)</t>
  </si>
  <si>
    <t>Computer / RAW Power Point Wiring: Supply &amp; Installation of 3 core 2.5 sq.mm copper flexible PVC insulated sheathed wire 650V grade with ISI mark  for connecting power points on work station in laid PVC conduits/raceways. One circuit wire should contains 2-3 UPS / Raw power points as least. (white colour- UPS and black colour:- RAW).  (Cost of pipe/raceway is NOT to be included)</t>
  </si>
  <si>
    <t>25W - 28W</t>
  </si>
  <si>
    <t>10W</t>
  </si>
  <si>
    <t>Supply &amp; Installation of 225 mm single phase exhaust fans ( BEE Star rated Fans as suggested by Bank or CPC team as exception / Refer Make and Model sheet,fans) with mounting frame and safety grill etc. complete. Make:- Usha, Crompton, Bajaj, Khaitan.</t>
  </si>
  <si>
    <t>Supply &amp; Installation of ceiling fan  (BEE Star rated Fans as suggested by Bank or CPC team as exception / Refer Make and Model sheet,fans)  1400 mm sweep with all hanging accessories, electronics regulator, blades etc. complete. Make:- Usha, Crompton, Bajaj, Khaitan.</t>
  </si>
  <si>
    <t>50 mm</t>
  </si>
  <si>
    <t>300 mm X 40mm x 40 mm x1.6 mm</t>
  </si>
  <si>
    <t>Supply, Installation, testing, commissioning of sprinkler point complete with MS pipe, flexible pipe, valve and sprinkler complete with all accessories for the smooth operation of the system. (average costing for 1 sprinkler point for the premises of minimum 25 points)  (Optional for non-branch premises only where the other part of premises includes sprinkler system: like Mall etc )</t>
  </si>
  <si>
    <t>Provide and fixing of air curtain at main entrance door with Remote and inbuild  sensor with effective height of 7 ft to 9 ft having noise level up to 50 db and maximum air flow velocity up to 21 m/s at nozzel.</t>
  </si>
  <si>
    <t>size 900 x 230 x 220, CFM 825</t>
  </si>
  <si>
    <t>size 1500 x 230 x 220,  CFM 1380</t>
  </si>
  <si>
    <t>Supply and installation of 1.5 KW one box /DB timer solution for switching ON/OFF signage boards in auto as per set timing. This box includes Timer, power contactor, SP MCB, Auto / Manual switch, terminal out, internal wiring including Box/DB etc. there should be 3 output from box to connect main signage and lollypop signages. (Make: L&amp;T, Siemens, Legrand, Schneider)</t>
  </si>
  <si>
    <t>LED Profile</t>
  </si>
  <si>
    <t xml:space="preserve">ADDITIONAL WORK </t>
  </si>
  <si>
    <t>ADDITIONAL WORK</t>
  </si>
  <si>
    <t>NOTE : First drawer at each workstation must have shelves  for segregating currency notes pens/staplers / stamps etc.)Drawer at each workstation to divided in 2 equal parts by a horizontal partition and the front partition among these to be divided into 3 equal partitions by vertical partitions.(As per 5S requirement)
Modular furniture makes should have BIFMA / Green Guard / Green Pro Certification  and approved by bank or CPC team as exception (Refer make and model sheet)</t>
  </si>
  <si>
    <t>Supply, Installation, Testing &amp; commissioning of the following panels/DBs fabricated with 16 gauge CRCA steel &amp; 14 gauge CRCA sheet for the frame sheet painted in 7 tank process with 2 coats of red oxide &amp; 2 coats of Smokey grey colour similar to RAL7032 Siemens grey colour. Interconnecting wires of panel should be Cu flexible / PVC wires as per following details : - PT control circuit for voltmeter  - 1.5mm2, CT control circuit for ammeter - 2.5mm2, 20A circuit - 4mm2, 30A circuit - 6mm2, 40A circuit - 10mm2, 50/60A circuit  - 16mm2,</t>
  </si>
  <si>
    <t>Metering:-</t>
  </si>
  <si>
    <t>32/40 A,DP MCB:- 2 Nos.</t>
  </si>
  <si>
    <t>40 A,100mA, DP ELCB:-1 nos</t>
  </si>
  <si>
    <t>10,16,20 A,SP MCB:-6 nos</t>
  </si>
  <si>
    <t>25 A,30mA, DP ELCB:-2 nos</t>
  </si>
  <si>
    <t>40 A,DP ISOLATOR:-2 NOS</t>
  </si>
  <si>
    <t>32/40 A,DP MCB:- 4Nos.</t>
  </si>
  <si>
    <t>32 A,TPN MCB:-1 nos</t>
  </si>
  <si>
    <t>32A DP MCB - 4 nos.</t>
  </si>
  <si>
    <t>80/100 A TPN MCCB:-  1 nos.</t>
  </si>
  <si>
    <t>40A TPN MCB - 1 no</t>
  </si>
  <si>
    <t>32A DP MCB - 3 nos.</t>
  </si>
  <si>
    <t>32/40 A,DP MCB:- 3 Nos.</t>
  </si>
  <si>
    <t>63A 4P Onload Changeover</t>
  </si>
  <si>
    <t>100A 4P Onload Changeover</t>
  </si>
  <si>
    <t>125A 4P Onload Changeover</t>
  </si>
  <si>
    <t>160A 4P Onload Changeover</t>
  </si>
  <si>
    <t>O/g. 10/16/20 A SPMCB:- 12 nos.</t>
  </si>
  <si>
    <t>I/c:-  63 A TPN MCB</t>
  </si>
  <si>
    <t>PART ‘1’  POWER DISTRIBUTION PANEL</t>
  </si>
  <si>
    <t>PART '8’  SERVO BYPASS SWITCH</t>
  </si>
  <si>
    <t>U. Code</t>
  </si>
  <si>
    <t>Sub Category</t>
  </si>
  <si>
    <t>Nature of Works</t>
  </si>
  <si>
    <t>As per CWI (Amount)</t>
  </si>
  <si>
    <t>Rate per sq.feet</t>
  </si>
  <si>
    <t>Others</t>
  </si>
  <si>
    <t>Others/Uncategorized</t>
  </si>
  <si>
    <t>POP Punning</t>
  </si>
  <si>
    <t>Lumpsum</t>
  </si>
  <si>
    <t>Per Day</t>
  </si>
  <si>
    <t>Per month Basis</t>
  </si>
  <si>
    <t>No.s</t>
  </si>
  <si>
    <t>Set</t>
  </si>
  <si>
    <t>Gents Window Granite 2 x 3</t>
  </si>
  <si>
    <t>Do-do as 2(a) above but 150mm thk  siporex / AAC / Aerocon / light weight block wall</t>
  </si>
  <si>
    <t>Ladies Window</t>
  </si>
  <si>
    <t>Pantry Window</t>
  </si>
  <si>
    <t>Proving and Laying 1000mm x 1000mm / 800mm X 800 mm Vitrified floor tiles</t>
  </si>
  <si>
    <t>Branch / ATM Area</t>
  </si>
  <si>
    <t>Proving and Laying 600mm x 600mm anti-skid and Anti-dust Vitrified floor tiles</t>
  </si>
  <si>
    <t>Server</t>
  </si>
  <si>
    <t>Providing and applying covering on flooring for floor protection</t>
  </si>
  <si>
    <t>Providing &amp; Fixing of size 450mm X 900mm both sides polished divider</t>
  </si>
  <si>
    <t>Providing &amp; Laying 150mm wide Jet black Granite Threshold at ATM and Main Entrance</t>
  </si>
  <si>
    <t>Sill &amp; jambs to windows / Doors. Providing and laying in required positions granite, slab 12 mm thk (Single piece)</t>
  </si>
  <si>
    <t>Supply fixing and installation of Concealed stop cocks</t>
  </si>
  <si>
    <t>Internal Plumbing work for Pantry. Water supply and drainage points for sink.</t>
  </si>
  <si>
    <t>Supply &amp; fixing of Nahani trap</t>
  </si>
  <si>
    <t>Providing and fixing machanical driven industrial grade water meter</t>
  </si>
  <si>
    <t>Providing and fixing first quality European Water closet with attached cisten of Dual Flush Cistern</t>
  </si>
  <si>
    <t>Providing and fixing of single Urinal pressmatic Flushing system</t>
  </si>
  <si>
    <t>Providing and fixing under/ Over counter Wash Basin</t>
  </si>
  <si>
    <t>Providing and fixing Pantry staintless steel sink</t>
  </si>
  <si>
    <t>Providing and fixing heavy duty pillar cock for pantry</t>
  </si>
  <si>
    <t>Providing and fixing angular stopcock</t>
  </si>
  <si>
    <t>Providing and fixing heavy duty C.P. brass short body bibcock (two in one)</t>
  </si>
  <si>
    <t>Providing and fixing heavy duty  pillar cock for washbasins</t>
  </si>
  <si>
    <t>Providing and fixing aerators Shower Flow Aerator (Spray)</t>
  </si>
  <si>
    <t>Supplying of disposable Soap Dispenser</t>
  </si>
  <si>
    <t>Supply &amp; fixing of Toilet paper holder</t>
  </si>
  <si>
    <t>Supply &amp; fixing of SS finish Robe Hooks</t>
  </si>
  <si>
    <t>CP brass towel ring manufactured by Jaugar or as approved by bank or CPC team</t>
  </si>
  <si>
    <t>Providing &amp; laying CPVC pipes with screwed sockets, joints, and necessary pvc fittings such as socket, elbows, bends, tees etc., including making/ drilling holes in walls/ slabs and remaking good the damages in original conditions. The rate is inclusive of necessary scaffolding ( Make :  Astral / Precision / Prince )</t>
  </si>
  <si>
    <t>Carrying out Ecofriendly Pest control and ant-termite</t>
  </si>
  <si>
    <t>Chasing work in the existing brick/siporex up to 200mm wide and max to 75mm deep,</t>
  </si>
  <si>
    <t>Making punctures in existing brick/siporex block up to 200mm diameter,</t>
  </si>
  <si>
    <t>TOILET CUBICLES - Provide and fix Toilet cubicles bottom</t>
  </si>
  <si>
    <t>Providing and making Core cut of in RCC slab / Beam of thickness up to 300mm,</t>
  </si>
  <si>
    <t>Providing and applying Plaster of Paris punning to wall</t>
  </si>
  <si>
    <t>Providing rectangular Coves made up of Gypsum board</t>
  </si>
  <si>
    <t>Providing and fixing of full height solid partition</t>
  </si>
  <si>
    <t>DORMA WC profile single glazed fixed partition for 12 mm toughened glass</t>
  </si>
  <si>
    <t>Same as above but of size 1050 mm x 2400 mm , Floor Spring BTS 65 EN 1 - 4</t>
  </si>
  <si>
    <t>Same as above but size of the door shall be 900mm x 2100mm</t>
  </si>
  <si>
    <t>same as item 4.c-(i) but with out vision panel for toilets and wash rooms.</t>
  </si>
  <si>
    <t>Providing and fixing architraves made out of rubber wood sections over door frames and finished with approved shade of duco paint finished. (Approved Low VOC/No VOC Paints as suggested by Bank or CPC team as exception / Refer Make and Model sheet, paints)</t>
  </si>
  <si>
    <t>Conference Room Table [24rft] - Additional Item</t>
  </si>
  <si>
    <t xml:space="preserve">Reprography Unit of Size :-725(H) x 750mm D
</t>
  </si>
  <si>
    <t>Providing and fixing 450mm deep full height storage unit ( 2100mm high)</t>
  </si>
  <si>
    <t>Storage top made of 25mm thk prelaminated particle board frosty white color</t>
  </si>
  <si>
    <t>Providing and fixing shutters below pantry counter</t>
  </si>
  <si>
    <t>Providing and fixing DB shutters</t>
  </si>
  <si>
    <t>Providing and fixing tricolour (Silver - Red - Grey) Aluminium Composite Panels (ACP)</t>
  </si>
  <si>
    <t>Shutter 1</t>
  </si>
  <si>
    <t>Supplying &amp; fixing in position Aluminium extruder two track sliding windows</t>
  </si>
  <si>
    <t>Providing and fixing 12thk. Soft board</t>
  </si>
  <si>
    <t>Supplying and fixing roller fabric blinds</t>
  </si>
  <si>
    <t>Providing and fixing flawless 6 mm thk. mirror of approved quality .</t>
  </si>
  <si>
    <t>Providing &amp; fixing Steel signage SS 304 in Brush finish</t>
  </si>
  <si>
    <t>Providing and fixing 12 mm Chair / Corner Guard</t>
  </si>
  <si>
    <t>Conference room - column</t>
  </si>
  <si>
    <t>Conference room - glazed</t>
  </si>
  <si>
    <t>Conference room - window</t>
  </si>
  <si>
    <t>Providing Heavy Traffic Entrance Mattin 3M Nomad Terra 8150 Floor Mat</t>
  </si>
  <si>
    <t>Same as item (a) above but applying synthetic enamel paint to MS grilles, collapsible gates, rolling shutters etc.</t>
  </si>
  <si>
    <t>The surface of wall or ceiling to be painted</t>
  </si>
  <si>
    <t>UPS IN/ UPS DB/ UPS</t>
  </si>
  <si>
    <t>ADDITIONAL WORK (As per site  requirement and prior to PM confirmation )</t>
  </si>
  <si>
    <t>HDMI Cable 2</t>
  </si>
  <si>
    <t>Amount As per CWI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</si>
</sst>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 ;&quot; (&quot;#,##0.00\);&quot; -&quot;#\ ;@\ "/>
    <numFmt numFmtId="166" formatCode="&quot;Rs.&quot;#,##0;[Red]\-&quot;Rs.&quot;#,##0"/>
    <numFmt numFmtId="167" formatCode="#,##0.00_);\-#,##0.00"/>
    <numFmt numFmtId="168" formatCode="#,##0.00\ ;&quot; (&quot;#,##0.00\);&quot; -&quot;#.0\ ;@\ "/>
    <numFmt numFmtId="169" formatCode="0.0"/>
    <numFmt numFmtId="170" formatCode="0.000"/>
    <numFmt numFmtId="171" formatCode="0.0000"/>
    <numFmt numFmtId="172" formatCode="#,##0_);\-#,##0"/>
    <numFmt numFmtId="173" formatCode="#,##0\ ;&quot; (&quot;#,##0\);&quot; -&quot;#\ ;@\ "/>
    <numFmt numFmtId="174" formatCode="_-* #,##0.00_-;\-* #,##0.00_-;_-* &quot;-&quot;??_-;_-@_-"/>
  </numFmts>
  <fonts count="85">
    <font>
      <sz val="11"/>
      <color theme="1"/>
      <name val="Calibri"/>
      <charset val="134"/>
      <scheme val="minor"/>
    </font>
    <font>
      <sz val="11"/>
      <color theme="1"/>
      <name val="Calibri"/>
      <family val="2"/>
      <scheme val="minor"/>
    </font>
    <font>
      <sz val="11"/>
      <color theme="1"/>
      <name val="Calibri"/>
      <family val="2"/>
      <scheme val="minor"/>
    </font>
    <font>
      <sz val="10"/>
      <name val="Book Antiqua"/>
      <charset val="134"/>
    </font>
    <font>
      <b/>
      <sz val="10"/>
      <name val="Calibri"/>
      <charset val="134"/>
      <scheme val="minor"/>
    </font>
    <font>
      <b/>
      <sz val="10"/>
      <name val="Book Antiqua"/>
      <charset val="134"/>
    </font>
    <font>
      <sz val="10"/>
      <name val="Calibri"/>
      <charset val="134"/>
      <scheme val="minor"/>
    </font>
    <font>
      <sz val="10"/>
      <color rgb="FF000000"/>
      <name val="Arial"/>
      <charset val="134"/>
    </font>
    <font>
      <sz val="10"/>
      <color rgb="FF000000"/>
      <name val="Calibri"/>
      <charset val="134"/>
      <scheme val="minor"/>
    </font>
    <font>
      <b/>
      <u/>
      <sz val="10"/>
      <name val="Calibri"/>
      <charset val="134"/>
      <scheme val="minor"/>
    </font>
    <font>
      <sz val="10"/>
      <color theme="1"/>
      <name val="Calibri"/>
      <charset val="134"/>
      <scheme val="minor"/>
    </font>
    <font>
      <sz val="10"/>
      <color indexed="8"/>
      <name val="Arial1"/>
      <charset val="134"/>
    </font>
    <font>
      <sz val="10"/>
      <color indexed="8"/>
      <name val="Arial2"/>
      <charset val="134"/>
    </font>
    <font>
      <sz val="10"/>
      <name val="Arial"/>
      <charset val="134"/>
    </font>
    <font>
      <sz val="11"/>
      <color indexed="8"/>
      <name val="Arial"/>
      <charset val="134"/>
    </font>
    <font>
      <sz val="10"/>
      <color indexed="8"/>
      <name val="Arial"/>
      <charset val="134"/>
    </font>
    <font>
      <sz val="11"/>
      <color indexed="8"/>
      <name val="Calibri"/>
      <charset val="134"/>
    </font>
    <font>
      <sz val="10"/>
      <color indexed="8"/>
      <name val="Arial1"/>
      <charset val="1"/>
    </font>
    <font>
      <sz val="10"/>
      <name val="Arial"/>
      <charset val="204"/>
    </font>
    <font>
      <sz val="11"/>
      <color indexed="8"/>
      <name val="Calibri"/>
      <charset val="1"/>
    </font>
    <font>
      <b/>
      <u/>
      <sz val="10"/>
      <color rgb="FF000000"/>
      <name val="Arial"/>
      <charset val="134"/>
    </font>
    <font>
      <b/>
      <u/>
      <sz val="10"/>
      <name val="Book Antiqua"/>
      <charset val="134"/>
    </font>
    <font>
      <u/>
      <sz val="10"/>
      <name val="Calibri"/>
      <charset val="134"/>
      <scheme val="minor"/>
    </font>
    <font>
      <b/>
      <u/>
      <sz val="10"/>
      <color rgb="FF000000"/>
      <name val="Calibri"/>
      <charset val="134"/>
      <scheme val="minor"/>
    </font>
    <font>
      <sz val="11"/>
      <color theme="1"/>
      <name val="Calibri"/>
      <charset val="134"/>
      <scheme val="minor"/>
    </font>
    <font>
      <b/>
      <sz val="10"/>
      <name val="Cambria"/>
      <family val="1"/>
      <scheme val="major"/>
    </font>
    <font>
      <b/>
      <sz val="10"/>
      <color indexed="8"/>
      <name val="Cambria"/>
      <family val="1"/>
      <scheme val="major"/>
    </font>
    <font>
      <b/>
      <sz val="10"/>
      <color rgb="FFFF0000"/>
      <name val="Cambria"/>
      <family val="1"/>
      <scheme val="major"/>
    </font>
    <font>
      <sz val="11"/>
      <color theme="1"/>
      <name val="Cambria"/>
      <family val="1"/>
      <scheme val="major"/>
    </font>
    <font>
      <b/>
      <sz val="10"/>
      <color rgb="FF000000"/>
      <name val="Cambria"/>
      <family val="1"/>
      <scheme val="major"/>
    </font>
    <font>
      <sz val="10"/>
      <name val="Cambria"/>
      <family val="1"/>
      <scheme val="major"/>
    </font>
    <font>
      <sz val="10"/>
      <color indexed="8"/>
      <name val="Cambria"/>
      <family val="1"/>
      <scheme val="major"/>
    </font>
    <font>
      <sz val="10"/>
      <color rgb="FF000000"/>
      <name val="Cambria"/>
      <family val="1"/>
      <scheme val="major"/>
    </font>
    <font>
      <sz val="11"/>
      <color theme="0"/>
      <name val="Cambria"/>
      <family val="1"/>
      <scheme val="major"/>
    </font>
    <font>
      <b/>
      <sz val="10"/>
      <color rgb="FF00B0F0"/>
      <name val="Cambria"/>
      <family val="1"/>
      <scheme val="major"/>
    </font>
    <font>
      <sz val="10"/>
      <color rgb="FF00B0F0"/>
      <name val="Cambria"/>
      <family val="1"/>
      <scheme val="major"/>
    </font>
    <font>
      <sz val="10"/>
      <color indexed="10"/>
      <name val="Cambria"/>
      <family val="1"/>
      <scheme val="major"/>
    </font>
    <font>
      <sz val="10"/>
      <color rgb="FFFF0000"/>
      <name val="Cambria"/>
      <family val="1"/>
      <scheme val="major"/>
    </font>
    <font>
      <sz val="10"/>
      <color rgb="FFFA2E2E"/>
      <name val="Cambria"/>
      <family val="1"/>
      <scheme val="major"/>
    </font>
    <font>
      <b/>
      <sz val="10"/>
      <color rgb="FFFA2E2E"/>
      <name val="Cambria"/>
      <family val="1"/>
      <scheme val="major"/>
    </font>
    <font>
      <b/>
      <sz val="10"/>
      <color indexed="10"/>
      <name val="Cambria"/>
      <family val="1"/>
      <scheme val="major"/>
    </font>
    <font>
      <b/>
      <sz val="10"/>
      <color rgb="FFDD0806"/>
      <name val="Cambria"/>
      <family val="1"/>
      <scheme val="major"/>
    </font>
    <font>
      <sz val="10"/>
      <color rgb="FF0066CC"/>
      <name val="Cambria"/>
      <family val="1"/>
      <scheme val="major"/>
    </font>
    <font>
      <b/>
      <sz val="10"/>
      <color rgb="FFC00000"/>
      <name val="Cambria"/>
      <family val="1"/>
      <scheme val="major"/>
    </font>
    <font>
      <u/>
      <sz val="10"/>
      <color rgb="FF00B0F0"/>
      <name val="Cambria"/>
      <family val="1"/>
      <scheme val="major"/>
    </font>
    <font>
      <sz val="10"/>
      <color theme="1"/>
      <name val="Cambria"/>
      <family val="1"/>
      <scheme val="major"/>
    </font>
    <font>
      <b/>
      <sz val="10"/>
      <color indexed="40"/>
      <name val="Cambria"/>
      <family val="1"/>
      <scheme val="major"/>
    </font>
    <font>
      <b/>
      <sz val="10"/>
      <color theme="0"/>
      <name val="Cambria"/>
      <family val="1"/>
      <scheme val="major"/>
    </font>
    <font>
      <sz val="10"/>
      <color theme="0"/>
      <name val="Cambria"/>
      <family val="1"/>
      <scheme val="major"/>
    </font>
    <font>
      <sz val="10"/>
      <color indexed="30"/>
      <name val="Cambria"/>
      <family val="1"/>
      <scheme val="major"/>
    </font>
    <font>
      <sz val="10"/>
      <color rgb="FF2F75B5"/>
      <name val="Cambria"/>
      <family val="1"/>
      <scheme val="major"/>
    </font>
    <font>
      <sz val="9"/>
      <color rgb="FF333333"/>
      <name val="Cambria"/>
      <family val="1"/>
      <scheme val="major"/>
    </font>
    <font>
      <sz val="10"/>
      <color indexed="63"/>
      <name val="Cambria"/>
      <family val="1"/>
      <scheme val="major"/>
    </font>
    <font>
      <b/>
      <i/>
      <sz val="10"/>
      <color indexed="10"/>
      <name val="Cambria"/>
      <family val="1"/>
      <scheme val="major"/>
    </font>
    <font>
      <b/>
      <sz val="10"/>
      <color indexed="53"/>
      <name val="Cambria"/>
      <family val="1"/>
      <scheme val="major"/>
    </font>
    <font>
      <b/>
      <u/>
      <sz val="10"/>
      <color indexed="53"/>
      <name val="Cambria"/>
      <family val="1"/>
      <scheme val="major"/>
    </font>
    <font>
      <b/>
      <sz val="11"/>
      <color rgb="FFFF0000"/>
      <name val="Cambria"/>
      <family val="1"/>
      <scheme val="major"/>
    </font>
    <font>
      <sz val="11"/>
      <name val="Cambria"/>
      <family val="1"/>
      <scheme val="major"/>
    </font>
    <font>
      <b/>
      <sz val="10"/>
      <color theme="1"/>
      <name val="Cambria"/>
      <family val="1"/>
      <scheme val="major"/>
    </font>
    <font>
      <b/>
      <sz val="11"/>
      <name val="Cambria"/>
      <family val="1"/>
      <scheme val="major"/>
    </font>
    <font>
      <b/>
      <sz val="10"/>
      <color indexed="30"/>
      <name val="Cambria"/>
      <family val="1"/>
      <scheme val="major"/>
    </font>
    <font>
      <sz val="6"/>
      <name val="Yu Gothic"/>
      <family val="2"/>
      <charset val="128"/>
    </font>
    <font>
      <sz val="10"/>
      <name val="Arial"/>
      <family val="2"/>
    </font>
    <font>
      <sz val="9"/>
      <color indexed="81"/>
      <name val="Tahoma"/>
      <family val="2"/>
    </font>
    <font>
      <b/>
      <sz val="11"/>
      <color theme="1"/>
      <name val="Calibri"/>
      <family val="2"/>
      <scheme val="minor"/>
    </font>
    <font>
      <b/>
      <sz val="9"/>
      <name val="Cambria"/>
      <family val="1"/>
      <scheme val="major"/>
    </font>
    <font>
      <b/>
      <sz val="11"/>
      <color theme="0"/>
      <name val="Cambria"/>
      <family val="1"/>
      <scheme val="major"/>
    </font>
    <font>
      <b/>
      <sz val="11"/>
      <name val="Cambria"/>
      <family val="1"/>
    </font>
    <font>
      <sz val="11"/>
      <color theme="1"/>
      <name val="Cambria"/>
      <family val="1"/>
    </font>
    <font>
      <sz val="11"/>
      <color theme="2" tint="-0.499984740745262"/>
      <name val="Cambria"/>
      <family val="1"/>
    </font>
    <font>
      <sz val="11"/>
      <name val="Cambria"/>
      <family val="1"/>
    </font>
    <font>
      <sz val="11"/>
      <color indexed="8"/>
      <name val="Cambria"/>
      <family val="1"/>
    </font>
    <font>
      <b/>
      <sz val="11"/>
      <color rgb="FF00B0F0"/>
      <name val="Cambria"/>
      <family val="1"/>
    </font>
    <font>
      <b/>
      <sz val="11"/>
      <color indexed="8"/>
      <name val="Cambria"/>
      <family val="1"/>
    </font>
    <font>
      <b/>
      <i/>
      <sz val="11"/>
      <color indexed="10"/>
      <name val="Cambria"/>
      <family val="1"/>
    </font>
    <font>
      <sz val="11.5"/>
      <name val="Cambria"/>
      <family val="1"/>
    </font>
    <font>
      <sz val="11.5"/>
      <color rgb="FF242424"/>
      <name val="Cambria"/>
      <family val="1"/>
    </font>
    <font>
      <b/>
      <sz val="10"/>
      <color theme="1"/>
      <name val="Cambria"/>
      <family val="1"/>
    </font>
    <font>
      <b/>
      <sz val="10"/>
      <name val="Cambria"/>
      <family val="1"/>
    </font>
    <font>
      <b/>
      <sz val="11"/>
      <color rgb="FFFFFFFF"/>
      <name val="Cambria"/>
      <family val="1"/>
    </font>
    <font>
      <sz val="10"/>
      <name val="Cambria"/>
      <family val="1"/>
    </font>
    <font>
      <sz val="10"/>
      <color rgb="FF000000"/>
      <name val="Cambria"/>
      <family val="1"/>
    </font>
    <font>
      <sz val="10"/>
      <color theme="1"/>
      <name val="Cambria"/>
      <family val="1"/>
    </font>
    <font>
      <b/>
      <sz val="10"/>
      <color rgb="FF000000"/>
      <name val="Cambria"/>
      <family val="1"/>
    </font>
    <font>
      <sz val="10"/>
      <name val="Cambria"/>
      <family val="2"/>
      <scheme val="major"/>
    </font>
  </fonts>
  <fills count="49">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theme="4" tint="0.79992065187536243"/>
        <bgColor indexed="64"/>
      </patternFill>
    </fill>
    <fill>
      <patternFill patternType="solid">
        <fgColor rgb="FFFFC000"/>
        <bgColor indexed="64"/>
      </patternFill>
    </fill>
    <fill>
      <patternFill patternType="solid">
        <fgColor theme="5" tint="0.59999389629810485"/>
        <bgColor indexed="64"/>
      </patternFill>
    </fill>
    <fill>
      <patternFill patternType="solid">
        <fgColor indexed="29"/>
        <bgColor indexed="45"/>
      </patternFill>
    </fill>
    <fill>
      <patternFill patternType="solid">
        <fgColor rgb="FFFF8080"/>
        <bgColor indexed="64"/>
      </patternFill>
    </fill>
    <fill>
      <patternFill patternType="solid">
        <fgColor indexed="29"/>
        <bgColor indexed="64"/>
      </patternFill>
    </fill>
    <fill>
      <patternFill patternType="solid">
        <fgColor indexed="44"/>
        <bgColor indexed="31"/>
      </patternFill>
    </fill>
    <fill>
      <patternFill patternType="solid">
        <fgColor rgb="FF99CCFF"/>
        <bgColor indexed="64"/>
      </patternFill>
    </fill>
    <fill>
      <patternFill patternType="solid">
        <fgColor indexed="44"/>
        <bgColor indexed="64"/>
      </patternFill>
    </fill>
    <fill>
      <patternFill patternType="solid">
        <fgColor indexed="22"/>
        <bgColor indexed="31"/>
      </patternFill>
    </fill>
    <fill>
      <patternFill patternType="solid">
        <fgColor rgb="FFC0C0C0"/>
        <bgColor indexed="64"/>
      </patternFill>
    </fill>
    <fill>
      <patternFill patternType="solid">
        <fgColor indexed="22"/>
        <bgColor indexed="64"/>
      </patternFill>
    </fill>
    <fill>
      <patternFill patternType="solid">
        <fgColor indexed="47"/>
        <bgColor indexed="22"/>
      </patternFill>
    </fill>
    <fill>
      <patternFill patternType="solid">
        <fgColor indexed="47"/>
        <bgColor indexed="64"/>
      </patternFill>
    </fill>
    <fill>
      <patternFill patternType="solid">
        <fgColor rgb="FFFFCC99"/>
        <bgColor indexed="64"/>
      </patternFill>
    </fill>
    <fill>
      <patternFill patternType="solid">
        <fgColor theme="9" tint="0.79989013336588644"/>
        <bgColor indexed="31"/>
      </patternFill>
    </fill>
    <fill>
      <patternFill patternType="solid">
        <fgColor theme="9" tint="0.7998901333658864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theme="5" tint="0.39988402966399123"/>
        <bgColor indexed="64"/>
      </patternFill>
    </fill>
    <fill>
      <patternFill patternType="solid">
        <fgColor theme="4" tint="0.79989013336588644"/>
        <bgColor indexed="45"/>
      </patternFill>
    </fill>
    <fill>
      <patternFill patternType="solid">
        <fgColor theme="4" tint="0.79989013336588644"/>
        <bgColor indexed="64"/>
      </patternFill>
    </fill>
    <fill>
      <patternFill patternType="solid">
        <fgColor theme="4" tint="0.79998168889431442"/>
        <bgColor indexed="64"/>
      </patternFill>
    </fill>
    <fill>
      <patternFill patternType="solid">
        <fgColor rgb="FFFFFFCC"/>
        <bgColor indexed="64"/>
      </patternFill>
    </fill>
    <fill>
      <patternFill patternType="solid">
        <fgColor theme="9" tint="0.79992065187536243"/>
        <bgColor indexed="31"/>
      </patternFill>
    </fill>
    <fill>
      <patternFill patternType="solid">
        <fgColor theme="9" tint="0.79992065187536243"/>
        <bgColor indexed="64"/>
      </patternFill>
    </fill>
    <fill>
      <patternFill patternType="solid">
        <fgColor theme="5" tint="0.39991454817346722"/>
        <bgColor indexed="64"/>
      </patternFill>
    </fill>
    <fill>
      <patternFill patternType="solid">
        <fgColor theme="4" tint="0.79992065187536243"/>
        <bgColor indexed="45"/>
      </patternFill>
    </fill>
    <fill>
      <patternFill patternType="solid">
        <fgColor rgb="FF002060"/>
        <bgColor indexed="64"/>
      </patternFill>
    </fill>
    <fill>
      <patternFill patternType="solid">
        <fgColor rgb="FF002060"/>
        <bgColor indexed="29"/>
      </patternFill>
    </fill>
    <fill>
      <patternFill patternType="solid">
        <fgColor theme="9" tint="0.39997558519241921"/>
        <bgColor indexed="64"/>
      </patternFill>
    </fill>
    <fill>
      <patternFill patternType="solid">
        <fgColor theme="0" tint="-0.34998626667073579"/>
        <bgColor indexed="64"/>
      </patternFill>
    </fill>
    <fill>
      <patternFill patternType="solid">
        <fgColor indexed="49"/>
        <bgColor indexed="64"/>
      </patternFill>
    </fill>
    <fill>
      <patternFill patternType="solid">
        <fgColor rgb="FFADD8E6"/>
        <bgColor indexed="64"/>
      </patternFill>
    </fill>
    <fill>
      <patternFill patternType="solid">
        <fgColor rgb="FF00FF00"/>
        <bgColor indexed="64"/>
      </patternFill>
    </fill>
    <fill>
      <patternFill patternType="solid">
        <fgColor rgb="FFFFC5C5"/>
        <bgColor indexed="64"/>
      </patternFill>
    </fill>
    <fill>
      <patternFill patternType="solid">
        <fgColor theme="7" tint="0.39997558519241921"/>
        <bgColor rgb="FF000000"/>
      </patternFill>
    </fill>
    <fill>
      <patternFill patternType="solid">
        <fgColor rgb="FF00B0F0"/>
        <bgColor rgb="FF000000"/>
      </patternFill>
    </fill>
    <fill>
      <patternFill patternType="solid">
        <fgColor rgb="FF92D050"/>
        <bgColor rgb="FF000000"/>
      </patternFill>
    </fill>
    <fill>
      <patternFill patternType="solid">
        <fgColor theme="7" tint="0.59999389629810485"/>
        <bgColor indexed="64"/>
      </patternFill>
    </fill>
    <fill>
      <patternFill patternType="solid">
        <fgColor rgb="FFFFFFFF"/>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42">
    <xf numFmtId="0" fontId="0" fillId="0" borderId="0"/>
    <xf numFmtId="164" fontId="24" fillId="0" borderId="0" applyFont="0" applyFill="0" applyBorder="0" applyAlignment="0" applyProtection="0"/>
    <xf numFmtId="9" fontId="24" fillId="0" borderId="0" applyFont="0" applyFill="0" applyBorder="0" applyAlignment="0" applyProtection="0"/>
    <xf numFmtId="0" fontId="11" fillId="0" borderId="0" applyBorder="0" applyProtection="0"/>
    <xf numFmtId="0" fontId="12" fillId="0" borderId="0" applyBorder="0" applyProtection="0"/>
    <xf numFmtId="0" fontId="13" fillId="0" borderId="0"/>
    <xf numFmtId="165" fontId="14" fillId="0" borderId="0" applyBorder="0" applyProtection="0"/>
    <xf numFmtId="0" fontId="13" fillId="0" borderId="0" applyFont="0" applyFill="0" applyBorder="0" applyAlignment="0" applyProtection="0"/>
    <xf numFmtId="165" fontId="14" fillId="0" borderId="0" applyBorder="0" applyProtection="0"/>
    <xf numFmtId="165" fontId="14" fillId="0" borderId="0" applyBorder="0" applyProtection="0"/>
    <xf numFmtId="165" fontId="14" fillId="0" borderId="0" applyBorder="0" applyProtection="0"/>
    <xf numFmtId="166" fontId="13" fillId="0" borderId="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applyFont="0" applyFill="0" applyBorder="0" applyAlignment="0" applyProtection="0"/>
    <xf numFmtId="167" fontId="13" fillId="0" borderId="0" applyFont="0" applyFill="0" applyBorder="0" applyAlignment="0" applyProtection="0"/>
    <xf numFmtId="0" fontId="13" fillId="0" borderId="0"/>
    <xf numFmtId="0" fontId="11" fillId="0" borderId="0" applyBorder="0" applyProtection="0"/>
    <xf numFmtId="0" fontId="13" fillId="0" borderId="0"/>
    <xf numFmtId="0" fontId="13" fillId="0" borderId="0"/>
    <xf numFmtId="0" fontId="24" fillId="0" borderId="0"/>
    <xf numFmtId="0" fontId="14" fillId="0" borderId="0"/>
    <xf numFmtId="0" fontId="15" fillId="0" borderId="0" applyNumberFormat="0" applyFill="0" applyBorder="0" applyProtection="0"/>
    <xf numFmtId="0" fontId="16" fillId="0" borderId="0"/>
    <xf numFmtId="0" fontId="24" fillId="0" borderId="0"/>
    <xf numFmtId="2" fontId="11" fillId="0" borderId="0" applyBorder="0" applyProtection="0"/>
    <xf numFmtId="9" fontId="13" fillId="0" borderId="0" applyFont="0" applyFill="0" applyBorder="0" applyAlignment="0" applyProtection="0"/>
    <xf numFmtId="9" fontId="13" fillId="0" borderId="0" applyFont="0" applyFill="0" applyBorder="0" applyAlignment="0" applyProtection="0"/>
    <xf numFmtId="0" fontId="15" fillId="0" borderId="0" applyBorder="0" applyProtection="0"/>
    <xf numFmtId="0" fontId="17" fillId="0" borderId="0" applyBorder="0" applyProtection="0"/>
    <xf numFmtId="0" fontId="18" fillId="0" borderId="0"/>
    <xf numFmtId="0" fontId="18" fillId="0" borderId="0"/>
    <xf numFmtId="0" fontId="13" fillId="0" borderId="0"/>
    <xf numFmtId="0" fontId="19" fillId="0" borderId="0"/>
    <xf numFmtId="43" fontId="24" fillId="0" borderId="0" applyFont="0" applyFill="0" applyBorder="0" applyAlignment="0" applyProtection="0"/>
    <xf numFmtId="0" fontId="13" fillId="0" borderId="0" applyFill="0" applyBorder="0" applyAlignment="0" applyProtection="0"/>
    <xf numFmtId="43" fontId="2" fillId="0" borderId="0" applyFont="0" applyFill="0" applyBorder="0" applyAlignment="0" applyProtection="0"/>
    <xf numFmtId="0" fontId="2" fillId="0" borderId="0"/>
    <xf numFmtId="0" fontId="62" fillId="0" borderId="0"/>
    <xf numFmtId="167" fontId="62" fillId="0" borderId="0" applyFont="0" applyFill="0" applyBorder="0" applyAlignment="0" applyProtection="0"/>
    <xf numFmtId="43" fontId="2" fillId="0" borderId="0" applyFont="0" applyFill="0" applyBorder="0" applyAlignment="0" applyProtection="0"/>
    <xf numFmtId="0" fontId="1" fillId="0" borderId="0"/>
  </cellStyleXfs>
  <cellXfs count="540">
    <xf numFmtId="0" fontId="0" fillId="0" borderId="0" xfId="0"/>
    <xf numFmtId="0" fontId="3" fillId="0" borderId="0" xfId="0" applyFont="1" applyAlignment="1">
      <alignment horizontal="center" vertical="top"/>
    </xf>
    <xf numFmtId="0" fontId="3" fillId="0" borderId="0" xfId="0" applyFont="1" applyAlignment="1">
      <alignment vertical="top"/>
    </xf>
    <xf numFmtId="0" fontId="3" fillId="0" borderId="0" xfId="0" applyFont="1" applyAlignment="1">
      <alignment horizontal="center" vertical="top" wrapText="1"/>
    </xf>
    <xf numFmtId="0" fontId="3" fillId="0" borderId="0" xfId="0" applyFont="1" applyAlignment="1">
      <alignment vertical="top" wrapText="1"/>
    </xf>
    <xf numFmtId="0" fontId="4" fillId="3" borderId="1" xfId="0" applyFont="1" applyFill="1" applyBorder="1" applyAlignment="1">
      <alignment horizontal="center" vertical="top"/>
    </xf>
    <xf numFmtId="0" fontId="5" fillId="4"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0" borderId="1" xfId="0" applyFont="1" applyBorder="1" applyAlignment="1">
      <alignment horizontal="center" vertical="top"/>
    </xf>
    <xf numFmtId="0" fontId="4" fillId="0" borderId="1" xfId="0" applyFont="1" applyBorder="1" applyAlignment="1">
      <alignment vertical="top"/>
    </xf>
    <xf numFmtId="0" fontId="3" fillId="0" borderId="1" xfId="0" applyFont="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horizontal="center" vertical="top"/>
    </xf>
    <xf numFmtId="0" fontId="6" fillId="5"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6" fillId="0" borderId="1" xfId="0" applyFont="1" applyBorder="1" applyAlignment="1">
      <alignment horizontal="left" vertical="top" wrapText="1"/>
    </xf>
    <xf numFmtId="0" fontId="3" fillId="6" borderId="1" xfId="0" applyFont="1" applyFill="1" applyBorder="1" applyAlignment="1">
      <alignment horizontal="center" vertical="top" wrapText="1"/>
    </xf>
    <xf numFmtId="0" fontId="4" fillId="0" borderId="1" xfId="0" applyFont="1" applyBorder="1" applyAlignment="1">
      <alignment vertical="top" wrapText="1"/>
    </xf>
    <xf numFmtId="0" fontId="6" fillId="0" borderId="1" xfId="0" applyFont="1" applyBorder="1" applyAlignment="1">
      <alignment vertical="top"/>
    </xf>
    <xf numFmtId="0" fontId="4" fillId="7" borderId="1" xfId="0" applyFont="1" applyFill="1" applyBorder="1" applyAlignment="1">
      <alignment horizontal="center" vertical="top"/>
    </xf>
    <xf numFmtId="0" fontId="4" fillId="7" borderId="1" xfId="0" applyFont="1" applyFill="1" applyBorder="1" applyAlignment="1">
      <alignment vertical="top"/>
    </xf>
    <xf numFmtId="0" fontId="5" fillId="7" borderId="1" xfId="0" applyFont="1" applyFill="1" applyBorder="1" applyAlignment="1">
      <alignment horizontal="center" vertical="top" wrapText="1"/>
    </xf>
    <xf numFmtId="0" fontId="4" fillId="7" borderId="1" xfId="0" applyFont="1" applyFill="1" applyBorder="1" applyAlignment="1">
      <alignment vertical="top" wrapText="1"/>
    </xf>
    <xf numFmtId="0" fontId="6" fillId="0" borderId="1" xfId="0" applyFont="1" applyBorder="1" applyAlignment="1">
      <alignment horizontal="center" vertical="center"/>
    </xf>
    <xf numFmtId="0" fontId="3" fillId="8"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7" fillId="0" borderId="1" xfId="0" applyFont="1" applyBorder="1" applyAlignment="1">
      <alignment horizontal="left" vertical="top" wrapText="1"/>
    </xf>
    <xf numFmtId="0" fontId="6" fillId="0" borderId="1" xfId="0" applyFont="1" applyBorder="1" applyAlignment="1">
      <alignment horizontal="center" vertical="center" wrapText="1"/>
    </xf>
    <xf numFmtId="0" fontId="8" fillId="0" borderId="1" xfId="0" applyFont="1" applyBorder="1" applyAlignment="1">
      <alignment vertical="top" wrapText="1"/>
    </xf>
    <xf numFmtId="0" fontId="8" fillId="0" borderId="0" xfId="0" applyFont="1" applyAlignment="1">
      <alignment horizontal="left" vertical="center"/>
    </xf>
    <xf numFmtId="0" fontId="6" fillId="6" borderId="1" xfId="0" applyFont="1" applyFill="1" applyBorder="1" applyAlignment="1">
      <alignment horizontal="center" vertical="center" wrapText="1"/>
    </xf>
    <xf numFmtId="0" fontId="8" fillId="0" borderId="1" xfId="0" applyFont="1" applyBorder="1" applyAlignment="1">
      <alignment horizontal="left" vertical="top" wrapText="1"/>
    </xf>
    <xf numFmtId="0" fontId="3" fillId="0" borderId="1" xfId="0" applyFont="1" applyBorder="1" applyAlignment="1">
      <alignment vertical="top" wrapText="1"/>
    </xf>
    <xf numFmtId="0" fontId="4" fillId="0" borderId="1" xfId="0" applyFont="1" applyBorder="1" applyAlignment="1">
      <alignment horizontal="left" vertical="top"/>
    </xf>
    <xf numFmtId="0" fontId="4" fillId="0" borderId="1" xfId="0" applyFont="1" applyBorder="1" applyAlignment="1">
      <alignment horizontal="center" vertical="top" wrapText="1"/>
    </xf>
    <xf numFmtId="0" fontId="4" fillId="0" borderId="2" xfId="0" applyFont="1" applyBorder="1" applyAlignment="1">
      <alignment vertical="center"/>
    </xf>
    <xf numFmtId="0" fontId="3" fillId="6" borderId="2" xfId="0" applyFont="1" applyFill="1" applyBorder="1" applyAlignment="1">
      <alignment horizontal="center" vertical="center" wrapText="1"/>
    </xf>
    <xf numFmtId="0" fontId="9" fillId="0" borderId="2" xfId="0" applyFont="1" applyBorder="1" applyAlignment="1">
      <alignment vertical="top" wrapText="1"/>
    </xf>
    <xf numFmtId="0" fontId="5" fillId="0" borderId="1" xfId="0" applyFont="1" applyBorder="1" applyAlignment="1">
      <alignment horizontal="center" vertical="top" wrapText="1"/>
    </xf>
    <xf numFmtId="0" fontId="3" fillId="9" borderId="2" xfId="0" applyFont="1" applyFill="1" applyBorder="1" applyAlignment="1">
      <alignment horizontal="center" vertical="center" wrapText="1"/>
    </xf>
    <xf numFmtId="0" fontId="6" fillId="5" borderId="1" xfId="0" applyFont="1" applyFill="1" applyBorder="1" applyAlignment="1">
      <alignment horizontal="center" vertical="top"/>
    </xf>
    <xf numFmtId="0" fontId="6" fillId="5" borderId="1" xfId="0" applyFont="1" applyFill="1" applyBorder="1" applyAlignment="1">
      <alignment vertical="top"/>
    </xf>
    <xf numFmtId="0" fontId="6" fillId="5" borderId="1" xfId="0" applyFont="1" applyFill="1" applyBorder="1" applyAlignment="1">
      <alignment vertical="top" wrapText="1"/>
    </xf>
    <xf numFmtId="0" fontId="10" fillId="0" borderId="1" xfId="0" applyFont="1" applyBorder="1" applyAlignment="1">
      <alignment vertical="top"/>
    </xf>
    <xf numFmtId="0" fontId="3" fillId="7" borderId="1" xfId="0" applyFont="1" applyFill="1" applyBorder="1" applyAlignment="1">
      <alignment horizontal="center" vertical="top" wrapText="1"/>
    </xf>
    <xf numFmtId="0" fontId="3" fillId="8" borderId="2" xfId="0" applyFont="1" applyFill="1" applyBorder="1" applyAlignment="1">
      <alignment horizontal="center" vertical="center" wrapText="1"/>
    </xf>
    <xf numFmtId="0" fontId="0" fillId="0" borderId="1" xfId="0" applyBorder="1" applyAlignment="1">
      <alignment vertical="top"/>
    </xf>
    <xf numFmtId="0" fontId="5" fillId="8" borderId="2" xfId="0" applyFont="1" applyFill="1" applyBorder="1" applyAlignment="1">
      <alignment horizontal="center" vertical="center" wrapText="1"/>
    </xf>
    <xf numFmtId="0" fontId="6" fillId="0" borderId="1" xfId="19" applyFont="1" applyBorder="1" applyAlignment="1">
      <alignment vertical="top"/>
    </xf>
    <xf numFmtId="0" fontId="6" fillId="0" borderId="1" xfId="19" applyFont="1" applyBorder="1" applyAlignment="1">
      <alignment vertical="top" wrapText="1"/>
    </xf>
    <xf numFmtId="0" fontId="3" fillId="0" borderId="1" xfId="0" applyFont="1" applyBorder="1" applyAlignment="1">
      <alignment horizontal="center" vertical="top"/>
    </xf>
    <xf numFmtId="0" fontId="3" fillId="7" borderId="1" xfId="0" applyFont="1" applyFill="1" applyBorder="1" applyAlignment="1">
      <alignment vertical="top" wrapText="1"/>
    </xf>
    <xf numFmtId="0" fontId="6" fillId="0" borderId="2" xfId="19" applyFont="1" applyBorder="1" applyAlignment="1">
      <alignment vertical="top"/>
    </xf>
    <xf numFmtId="0" fontId="6" fillId="0" borderId="2" xfId="19" applyFont="1" applyBorder="1" applyAlignment="1">
      <alignment vertical="top" wrapText="1"/>
    </xf>
    <xf numFmtId="0" fontId="6" fillId="0" borderId="1" xfId="19" applyFont="1" applyBorder="1" applyAlignment="1">
      <alignment horizontal="left" vertical="top"/>
    </xf>
    <xf numFmtId="0" fontId="6" fillId="0" borderId="1" xfId="21" applyFont="1" applyBorder="1" applyAlignment="1">
      <alignment vertical="top" wrapText="1"/>
    </xf>
    <xf numFmtId="0" fontId="28" fillId="0" borderId="0" xfId="0" applyFont="1"/>
    <xf numFmtId="0" fontId="29" fillId="11" borderId="1" xfId="0" applyFont="1" applyFill="1" applyBorder="1" applyAlignment="1">
      <alignment horizontal="justify" vertical="center" wrapText="1"/>
    </xf>
    <xf numFmtId="165" fontId="30" fillId="12" borderId="1" xfId="6" applyFont="1" applyFill="1" applyBorder="1" applyAlignment="1" applyProtection="1">
      <alignment horizontal="center" vertical="center" wrapText="1"/>
    </xf>
    <xf numFmtId="0" fontId="29" fillId="14" borderId="1" xfId="0" applyFont="1" applyFill="1" applyBorder="1" applyAlignment="1">
      <alignment horizontal="justify" vertical="center" wrapText="1"/>
    </xf>
    <xf numFmtId="165" fontId="30" fillId="15" borderId="1" xfId="6" applyFont="1" applyFill="1" applyBorder="1" applyAlignment="1" applyProtection="1">
      <alignment horizontal="center" vertical="center" wrapText="1"/>
    </xf>
    <xf numFmtId="0" fontId="26" fillId="13" borderId="1" xfId="6" applyNumberFormat="1" applyFont="1" applyFill="1" applyBorder="1" applyAlignment="1" applyProtection="1">
      <alignment horizontal="center" vertical="center" wrapText="1"/>
    </xf>
    <xf numFmtId="0" fontId="26" fillId="13" borderId="1" xfId="0" applyFont="1" applyFill="1" applyBorder="1" applyAlignment="1">
      <alignment horizontal="justify" vertical="center" wrapText="1"/>
    </xf>
    <xf numFmtId="0" fontId="26" fillId="13" borderId="1" xfId="3" applyFont="1" applyFill="1" applyBorder="1" applyAlignment="1" applyProtection="1">
      <alignment horizontal="justify" vertical="center" wrapText="1"/>
    </xf>
    <xf numFmtId="0" fontId="29" fillId="0" borderId="1" xfId="0" applyFont="1" applyBorder="1" applyAlignment="1">
      <alignment horizontal="justify" vertical="center" wrapText="1"/>
    </xf>
    <xf numFmtId="0" fontId="28" fillId="5" borderId="0" xfId="0" applyFont="1" applyFill="1"/>
    <xf numFmtId="0" fontId="26" fillId="13" borderId="1" xfId="6" applyNumberFormat="1" applyFont="1" applyFill="1" applyBorder="1" applyAlignment="1" applyProtection="1">
      <alignment horizontal="left" vertical="center" wrapText="1"/>
    </xf>
    <xf numFmtId="165" fontId="25" fillId="15" borderId="1" xfId="6" applyFont="1" applyFill="1" applyBorder="1" applyAlignment="1" applyProtection="1">
      <alignment horizontal="center" vertical="center" wrapText="1"/>
    </xf>
    <xf numFmtId="0" fontId="31" fillId="5" borderId="1" xfId="0" applyFont="1" applyFill="1" applyBorder="1" applyAlignment="1">
      <alignment horizontal="center" vertical="center" wrapText="1"/>
    </xf>
    <xf numFmtId="0" fontId="31" fillId="5" borderId="1" xfId="0" applyFont="1" applyFill="1" applyBorder="1" applyAlignment="1">
      <alignment horizontal="justify" vertical="center" wrapText="1"/>
    </xf>
    <xf numFmtId="165" fontId="31" fillId="0" borderId="1" xfId="6" applyFont="1" applyBorder="1" applyAlignment="1" applyProtection="1">
      <alignment horizontal="center" vertical="center" wrapText="1"/>
    </xf>
    <xf numFmtId="0" fontId="31" fillId="0" borderId="1" xfId="0" applyFont="1" applyBorder="1" applyAlignment="1">
      <alignment horizontal="center" vertical="top" wrapText="1"/>
    </xf>
    <xf numFmtId="0" fontId="31" fillId="0" borderId="1" xfId="0" applyFont="1" applyBorder="1" applyAlignment="1">
      <alignment horizontal="justify" vertical="top" wrapText="1"/>
    </xf>
    <xf numFmtId="0" fontId="31" fillId="0" borderId="1" xfId="0" applyFont="1" applyBorder="1" applyAlignment="1">
      <alignment horizontal="center" vertical="center" wrapText="1"/>
    </xf>
    <xf numFmtId="0" fontId="31" fillId="0" borderId="1" xfId="0" applyFont="1" applyBorder="1" applyAlignment="1">
      <alignment horizontal="justify" vertical="center" wrapText="1"/>
    </xf>
    <xf numFmtId="165" fontId="30" fillId="0" borderId="1" xfId="10" applyFont="1" applyBorder="1" applyAlignment="1" applyProtection="1">
      <alignment horizontal="center" vertical="center" wrapText="1"/>
    </xf>
    <xf numFmtId="0" fontId="26" fillId="19" borderId="1" xfId="6" applyNumberFormat="1" applyFont="1" applyFill="1" applyBorder="1" applyAlignment="1" applyProtection="1">
      <alignment horizontal="center" vertical="center" wrapText="1"/>
    </xf>
    <xf numFmtId="0" fontId="26" fillId="19" borderId="1" xfId="6" applyNumberFormat="1" applyFont="1" applyFill="1" applyBorder="1" applyAlignment="1" applyProtection="1">
      <alignment horizontal="left" vertical="center" wrapText="1"/>
    </xf>
    <xf numFmtId="165" fontId="25" fillId="20" borderId="1" xfId="6" applyFont="1" applyFill="1" applyBorder="1" applyAlignment="1" applyProtection="1">
      <alignment horizontal="center" vertical="center" wrapText="1"/>
    </xf>
    <xf numFmtId="0" fontId="32" fillId="5" borderId="1" xfId="0" applyFont="1" applyFill="1" applyBorder="1" applyAlignment="1">
      <alignment horizontal="justify" vertical="center" wrapText="1"/>
    </xf>
    <xf numFmtId="0" fontId="32" fillId="0" borderId="1" xfId="0" applyFont="1" applyBorder="1" applyAlignment="1">
      <alignment horizontal="justify" vertical="center" wrapText="1"/>
    </xf>
    <xf numFmtId="0" fontId="30" fillId="5" borderId="1" xfId="0" applyFont="1" applyFill="1" applyBorder="1" applyAlignment="1">
      <alignment horizontal="justify" vertical="center" wrapText="1"/>
    </xf>
    <xf numFmtId="0" fontId="26" fillId="10" borderId="1" xfId="6" applyNumberFormat="1" applyFont="1" applyFill="1" applyBorder="1" applyAlignment="1" applyProtection="1">
      <alignment horizontal="center" vertical="center" wrapText="1"/>
    </xf>
    <xf numFmtId="165" fontId="25" fillId="12" borderId="1" xfId="6" applyFont="1" applyFill="1" applyBorder="1" applyAlignment="1" applyProtection="1">
      <alignment horizontal="center" vertical="center" wrapText="1"/>
    </xf>
    <xf numFmtId="0" fontId="26" fillId="0" borderId="1" xfId="0" applyFont="1" applyBorder="1" applyAlignment="1">
      <alignment horizontal="center" vertical="center" wrapText="1"/>
    </xf>
    <xf numFmtId="165" fontId="30" fillId="15" borderId="1" xfId="10" applyFont="1" applyFill="1" applyBorder="1" applyAlignment="1" applyProtection="1">
      <alignment horizontal="center" vertical="center" wrapText="1"/>
    </xf>
    <xf numFmtId="0" fontId="29" fillId="33" borderId="1" xfId="0" applyFont="1" applyFill="1" applyBorder="1" applyAlignment="1">
      <alignment horizontal="justify" vertical="top"/>
    </xf>
    <xf numFmtId="165" fontId="30" fillId="33" borderId="1" xfId="6" applyFont="1" applyFill="1" applyBorder="1" applyAlignment="1" applyProtection="1">
      <alignment horizontal="center" vertical="center" wrapText="1"/>
    </xf>
    <xf numFmtId="0" fontId="25" fillId="15" borderId="1" xfId="8" applyNumberFormat="1" applyFont="1" applyFill="1" applyBorder="1" applyAlignment="1" applyProtection="1">
      <alignment horizontal="center" vertical="center"/>
    </xf>
    <xf numFmtId="0" fontId="25" fillId="15" borderId="1" xfId="17" applyFont="1" applyFill="1" applyBorder="1" applyAlignment="1" applyProtection="1">
      <alignment horizontal="justify" vertical="center"/>
    </xf>
    <xf numFmtId="169" fontId="31" fillId="0" borderId="1" xfId="17" applyNumberFormat="1" applyFont="1" applyBorder="1" applyAlignment="1" applyProtection="1">
      <alignment horizontal="center" vertical="center"/>
    </xf>
    <xf numFmtId="0" fontId="27" fillId="0" borderId="1" xfId="17" applyFont="1" applyBorder="1" applyAlignment="1" applyProtection="1">
      <alignment horizontal="justify" vertical="justify"/>
    </xf>
    <xf numFmtId="0" fontId="31" fillId="15" borderId="1" xfId="17" applyFont="1" applyFill="1" applyBorder="1" applyAlignment="1" applyProtection="1">
      <alignment horizontal="center" vertical="center" wrapText="1"/>
    </xf>
    <xf numFmtId="0" fontId="29" fillId="7" borderId="1" xfId="0" applyFont="1" applyFill="1" applyBorder="1" applyAlignment="1">
      <alignment horizontal="justify" vertical="top"/>
    </xf>
    <xf numFmtId="165" fontId="30" fillId="7" borderId="1" xfId="6" applyFont="1" applyFill="1" applyBorder="1" applyAlignment="1" applyProtection="1">
      <alignment horizontal="center" vertical="center" wrapText="1"/>
    </xf>
    <xf numFmtId="0" fontId="57" fillId="0" borderId="0" xfId="0" applyFont="1" applyAlignment="1">
      <alignment vertical="top" wrapText="1"/>
    </xf>
    <xf numFmtId="0" fontId="25" fillId="0" borderId="1" xfId="0" applyFont="1" applyBorder="1" applyAlignment="1">
      <alignment horizontal="center" vertical="top"/>
    </xf>
    <xf numFmtId="0" fontId="25" fillId="0" borderId="1" xfId="0" applyFont="1" applyBorder="1" applyAlignment="1">
      <alignment horizontal="center" vertical="top" wrapText="1"/>
    </xf>
    <xf numFmtId="0" fontId="25" fillId="0" borderId="1" xfId="0" applyFont="1" applyBorder="1" applyAlignment="1">
      <alignment horizontal="center" vertical="center"/>
    </xf>
    <xf numFmtId="4" fontId="26" fillId="10" borderId="1" xfId="6" applyNumberFormat="1" applyFont="1" applyFill="1" applyBorder="1" applyAlignment="1" applyProtection="1">
      <alignment horizontal="right" vertical="center" wrapText="1"/>
    </xf>
    <xf numFmtId="168" fontId="30" fillId="15" borderId="1" xfId="6" applyNumberFormat="1" applyFont="1" applyFill="1" applyBorder="1" applyAlignment="1" applyProtection="1">
      <alignment horizontal="center" vertical="center" wrapText="1"/>
    </xf>
    <xf numFmtId="4" fontId="26" fillId="13" borderId="1" xfId="6" applyNumberFormat="1" applyFont="1" applyFill="1" applyBorder="1" applyAlignment="1" applyProtection="1">
      <alignment horizontal="right" vertical="center" wrapText="1"/>
    </xf>
    <xf numFmtId="165" fontId="30" fillId="0" borderId="1" xfId="6" applyFont="1" applyBorder="1" applyAlignment="1" applyProtection="1">
      <alignment horizontal="center" vertical="center" wrapText="1"/>
    </xf>
    <xf numFmtId="4" fontId="26" fillId="0" borderId="1" xfId="6" applyNumberFormat="1" applyFont="1" applyBorder="1" applyAlignment="1" applyProtection="1">
      <alignment horizontal="right" vertical="center" wrapText="1"/>
    </xf>
    <xf numFmtId="2" fontId="30" fillId="0" borderId="1" xfId="0" applyNumberFormat="1" applyFont="1" applyBorder="1" applyAlignment="1">
      <alignment horizontal="center" vertical="center"/>
    </xf>
    <xf numFmtId="0" fontId="26" fillId="0" borderId="1" xfId="6" applyNumberFormat="1" applyFont="1" applyBorder="1" applyAlignment="1" applyProtection="1">
      <alignment horizontal="center" vertical="center" wrapText="1"/>
    </xf>
    <xf numFmtId="4" fontId="26" fillId="0" borderId="1" xfId="6" applyNumberFormat="1" applyFont="1" applyBorder="1" applyAlignment="1" applyProtection="1">
      <alignment horizontal="center" vertical="center" wrapText="1"/>
    </xf>
    <xf numFmtId="169" fontId="26" fillId="0" borderId="1" xfId="0" applyNumberFormat="1" applyFont="1" applyBorder="1" applyAlignment="1">
      <alignment horizontal="center" vertical="center" wrapText="1"/>
    </xf>
    <xf numFmtId="4" fontId="31" fillId="0" borderId="1" xfId="6" applyNumberFormat="1" applyFont="1" applyBorder="1" applyAlignment="1" applyProtection="1">
      <alignment horizontal="center" vertical="center" wrapText="1"/>
    </xf>
    <xf numFmtId="2" fontId="30" fillId="0" borderId="1" xfId="0" applyNumberFormat="1" applyFont="1" applyBorder="1" applyAlignment="1">
      <alignment horizontal="center" vertical="top"/>
    </xf>
    <xf numFmtId="169" fontId="25" fillId="0" borderId="1" xfId="0" applyNumberFormat="1" applyFont="1" applyBorder="1" applyAlignment="1">
      <alignment horizontal="center" vertical="top"/>
    </xf>
    <xf numFmtId="4" fontId="31" fillId="13" borderId="1" xfId="6" applyNumberFormat="1" applyFont="1" applyFill="1" applyBorder="1" applyAlignment="1" applyProtection="1">
      <alignment horizontal="right" vertical="center" wrapText="1"/>
    </xf>
    <xf numFmtId="0" fontId="25" fillId="0" borderId="1" xfId="0" applyFont="1" applyBorder="1" applyAlignment="1">
      <alignment horizontal="justify" vertical="top"/>
    </xf>
    <xf numFmtId="2" fontId="30" fillId="0" borderId="1" xfId="6" applyNumberFormat="1" applyFont="1" applyBorder="1" applyAlignment="1" applyProtection="1">
      <alignment horizontal="center" vertical="top" wrapText="1"/>
    </xf>
    <xf numFmtId="165" fontId="30" fillId="0" borderId="1" xfId="6" applyFont="1" applyBorder="1" applyAlignment="1" applyProtection="1">
      <alignment horizontal="center" vertical="top" wrapText="1"/>
    </xf>
    <xf numFmtId="0" fontId="45" fillId="0" borderId="1" xfId="0" applyFont="1" applyBorder="1" applyAlignment="1">
      <alignment horizontal="justify" vertical="top" wrapText="1"/>
    </xf>
    <xf numFmtId="2" fontId="30" fillId="0" borderId="1" xfId="0" applyNumberFormat="1" applyFont="1" applyBorder="1" applyAlignment="1">
      <alignment horizontal="center" vertical="top" wrapText="1"/>
    </xf>
    <xf numFmtId="0" fontId="25" fillId="0" borderId="1" xfId="6" applyNumberFormat="1" applyFont="1" applyBorder="1" applyAlignment="1" applyProtection="1">
      <alignment horizontal="center" vertical="top" wrapText="1"/>
    </xf>
    <xf numFmtId="0" fontId="30" fillId="0" borderId="1" xfId="0" applyFont="1" applyBorder="1" applyAlignment="1">
      <alignment horizontal="justify" vertical="top" wrapText="1"/>
    </xf>
    <xf numFmtId="0" fontId="25" fillId="0" borderId="1" xfId="6" applyNumberFormat="1" applyFont="1" applyBorder="1" applyAlignment="1" applyProtection="1">
      <alignment horizontal="center" vertical="top"/>
    </xf>
    <xf numFmtId="2" fontId="30" fillId="0" borderId="1" xfId="6" applyNumberFormat="1" applyFont="1" applyBorder="1" applyAlignment="1" applyProtection="1">
      <alignment horizontal="center" vertical="top"/>
    </xf>
    <xf numFmtId="168" fontId="30" fillId="0" borderId="1" xfId="6" applyNumberFormat="1" applyFont="1" applyBorder="1" applyAlignment="1" applyProtection="1">
      <alignment horizontal="center" vertical="top"/>
    </xf>
    <xf numFmtId="0" fontId="30" fillId="0" borderId="1" xfId="0" applyFont="1" applyBorder="1" applyAlignment="1">
      <alignment horizontal="justify" vertical="top"/>
    </xf>
    <xf numFmtId="0" fontId="30" fillId="0" borderId="1" xfId="0" applyFont="1" applyBorder="1" applyAlignment="1">
      <alignment horizontal="center" vertical="top" wrapText="1"/>
    </xf>
    <xf numFmtId="2" fontId="25" fillId="0" borderId="1" xfId="0" applyNumberFormat="1" applyFont="1" applyBorder="1" applyAlignment="1">
      <alignment horizontal="center" vertical="center"/>
    </xf>
    <xf numFmtId="0" fontId="25" fillId="0" borderId="1" xfId="0" applyFont="1" applyBorder="1" applyAlignment="1">
      <alignment vertical="top" wrapText="1"/>
    </xf>
    <xf numFmtId="169" fontId="30" fillId="0" borderId="1" xfId="0" applyNumberFormat="1" applyFont="1" applyBorder="1" applyAlignment="1">
      <alignment horizontal="center" vertical="top"/>
    </xf>
    <xf numFmtId="0" fontId="30" fillId="0" borderId="1" xfId="0" applyFont="1" applyBorder="1" applyAlignment="1">
      <alignment vertical="top" wrapText="1"/>
    </xf>
    <xf numFmtId="2" fontId="30" fillId="0" borderId="1" xfId="6" applyNumberFormat="1" applyFont="1" applyBorder="1" applyAlignment="1" applyProtection="1">
      <alignment horizontal="center" vertical="center"/>
    </xf>
    <xf numFmtId="0" fontId="26" fillId="0" borderId="1" xfId="6" applyNumberFormat="1" applyFont="1" applyBorder="1" applyAlignment="1" applyProtection="1">
      <alignment horizontal="center" vertical="top"/>
    </xf>
    <xf numFmtId="0" fontId="29" fillId="0" borderId="1" xfId="0" applyFont="1" applyBorder="1" applyAlignment="1">
      <alignment horizontal="justify" vertical="center"/>
    </xf>
    <xf numFmtId="170" fontId="25" fillId="0" borderId="1" xfId="0" applyNumberFormat="1" applyFont="1" applyBorder="1" applyAlignment="1">
      <alignment horizontal="center" vertical="center"/>
    </xf>
    <xf numFmtId="0" fontId="32" fillId="0" borderId="1" xfId="0" applyFont="1" applyBorder="1" applyAlignment="1">
      <alignment horizontal="justify" vertical="center"/>
    </xf>
    <xf numFmtId="0" fontId="26" fillId="16" borderId="1" xfId="6" applyNumberFormat="1" applyFont="1" applyFill="1" applyBorder="1" applyAlignment="1" applyProtection="1">
      <alignment horizontal="center" vertical="top"/>
    </xf>
    <xf numFmtId="0" fontId="29" fillId="17" borderId="1" xfId="0" applyFont="1" applyFill="1" applyBorder="1" applyAlignment="1">
      <alignment horizontal="justify" vertical="top"/>
    </xf>
    <xf numFmtId="2" fontId="30" fillId="18" borderId="1" xfId="6" applyNumberFormat="1" applyFont="1" applyFill="1" applyBorder="1" applyAlignment="1" applyProtection="1">
      <alignment horizontal="center" vertical="top"/>
    </xf>
    <xf numFmtId="165" fontId="30" fillId="18" borderId="1" xfId="6" applyFont="1" applyFill="1" applyBorder="1" applyAlignment="1" applyProtection="1">
      <alignment horizontal="center" vertical="top" wrapText="1"/>
    </xf>
    <xf numFmtId="168" fontId="30" fillId="18" borderId="1" xfId="6" applyNumberFormat="1" applyFont="1" applyFill="1" applyBorder="1" applyAlignment="1" applyProtection="1">
      <alignment horizontal="center" vertical="top"/>
    </xf>
    <xf numFmtId="2" fontId="31" fillId="16" borderId="1" xfId="6" applyNumberFormat="1" applyFont="1" applyFill="1" applyBorder="1" applyAlignment="1" applyProtection="1">
      <alignment horizontal="center" vertical="center"/>
    </xf>
    <xf numFmtId="0" fontId="27" fillId="0" borderId="1" xfId="0" applyFont="1" applyBorder="1" applyAlignment="1">
      <alignment horizontal="justify" vertical="top" wrapText="1"/>
    </xf>
    <xf numFmtId="2" fontId="30" fillId="18" borderId="1" xfId="6" applyNumberFormat="1" applyFont="1" applyFill="1" applyBorder="1" applyAlignment="1" applyProtection="1">
      <alignment horizontal="center" vertical="center"/>
    </xf>
    <xf numFmtId="0" fontId="27" fillId="0" borderId="1" xfId="0" applyFont="1" applyBorder="1" applyAlignment="1">
      <alignment horizontal="justify" vertical="top"/>
    </xf>
    <xf numFmtId="0" fontId="29" fillId="0" borderId="1" xfId="0" applyFont="1" applyBorder="1" applyAlignment="1">
      <alignment horizontal="justify" vertical="top"/>
    </xf>
    <xf numFmtId="0" fontId="32" fillId="0" borderId="1" xfId="0" applyFont="1" applyBorder="1" applyAlignment="1">
      <alignment horizontal="justify" vertical="top"/>
    </xf>
    <xf numFmtId="2" fontId="30" fillId="18" borderId="1" xfId="8" applyNumberFormat="1" applyFont="1" applyFill="1" applyBorder="1" applyAlignment="1" applyProtection="1">
      <alignment horizontal="center" vertical="top"/>
    </xf>
    <xf numFmtId="165" fontId="30" fillId="18" borderId="1" xfId="8" applyFont="1" applyFill="1" applyBorder="1" applyAlignment="1" applyProtection="1">
      <alignment horizontal="center" vertical="top" wrapText="1"/>
    </xf>
    <xf numFmtId="168" fontId="30" fillId="18" borderId="1" xfId="8" applyNumberFormat="1" applyFont="1" applyFill="1" applyBorder="1" applyAlignment="1" applyProtection="1">
      <alignment horizontal="center" vertical="top"/>
    </xf>
    <xf numFmtId="4" fontId="26" fillId="16" borderId="1" xfId="8" applyNumberFormat="1" applyFont="1" applyFill="1" applyBorder="1" applyAlignment="1" applyProtection="1">
      <alignment horizontal="right" vertical="top"/>
    </xf>
    <xf numFmtId="169" fontId="30" fillId="0" borderId="1" xfId="0" applyNumberFormat="1" applyFont="1" applyBorder="1" applyAlignment="1">
      <alignment horizontal="center" vertical="center"/>
    </xf>
    <xf numFmtId="171" fontId="25" fillId="0" borderId="1" xfId="0" applyNumberFormat="1" applyFont="1" applyBorder="1" applyAlignment="1">
      <alignment horizontal="center" vertical="center"/>
    </xf>
    <xf numFmtId="4" fontId="31" fillId="16" borderId="1" xfId="6" applyNumberFormat="1" applyFont="1" applyFill="1" applyBorder="1" applyAlignment="1" applyProtection="1">
      <alignment horizontal="right" vertical="top"/>
    </xf>
    <xf numFmtId="2" fontId="30" fillId="0" borderId="1" xfId="8" applyNumberFormat="1" applyFont="1" applyBorder="1" applyAlignment="1" applyProtection="1">
      <alignment horizontal="center" vertical="top" wrapText="1"/>
    </xf>
    <xf numFmtId="165" fontId="30" fillId="0" borderId="1" xfId="8" applyFont="1" applyBorder="1" applyAlignment="1" applyProtection="1">
      <alignment horizontal="center" vertical="top" wrapText="1"/>
    </xf>
    <xf numFmtId="168" fontId="30" fillId="0" borderId="1" xfId="8" applyNumberFormat="1" applyFont="1" applyBorder="1" applyAlignment="1" applyProtection="1">
      <alignment horizontal="center" vertical="top" wrapText="1"/>
    </xf>
    <xf numFmtId="169" fontId="25" fillId="0" borderId="1" xfId="0" applyNumberFormat="1" applyFont="1" applyBorder="1" applyAlignment="1">
      <alignment vertical="top"/>
    </xf>
    <xf numFmtId="0" fontId="30" fillId="0" borderId="1" xfId="6" applyNumberFormat="1" applyFont="1" applyBorder="1" applyAlignment="1" applyProtection="1">
      <alignment horizontal="center" vertical="top"/>
    </xf>
    <xf numFmtId="2" fontId="31" fillId="0" borderId="1" xfId="6" applyNumberFormat="1" applyFont="1" applyBorder="1" applyAlignment="1" applyProtection="1">
      <alignment horizontal="center" vertical="center"/>
    </xf>
    <xf numFmtId="0" fontId="25" fillId="0" borderId="1" xfId="5" applyFont="1" applyBorder="1" applyAlignment="1">
      <alignment horizontal="justify" vertical="top"/>
    </xf>
    <xf numFmtId="0" fontId="58" fillId="0" borderId="1" xfId="0" applyFont="1" applyBorder="1" applyAlignment="1">
      <alignment horizontal="justify" vertical="top" wrapText="1"/>
    </xf>
    <xf numFmtId="169" fontId="30" fillId="0" borderId="1" xfId="0" applyNumberFormat="1" applyFont="1" applyBorder="1" applyAlignment="1">
      <alignment vertical="top"/>
    </xf>
    <xf numFmtId="2" fontId="27" fillId="0" borderId="1" xfId="0" applyNumberFormat="1" applyFont="1" applyBorder="1" applyAlignment="1">
      <alignment horizontal="center" vertical="center"/>
    </xf>
    <xf numFmtId="2" fontId="27" fillId="0" borderId="1" xfId="6" applyNumberFormat="1" applyFont="1" applyBorder="1" applyAlignment="1" applyProtection="1">
      <alignment horizontal="center" vertical="center"/>
    </xf>
    <xf numFmtId="0" fontId="25" fillId="0" borderId="1" xfId="0" applyFont="1" applyBorder="1" applyAlignment="1">
      <alignment horizontal="justify" vertical="top" wrapText="1"/>
    </xf>
    <xf numFmtId="0" fontId="31" fillId="0" borderId="1" xfId="6" applyNumberFormat="1" applyFont="1" applyBorder="1" applyAlignment="1" applyProtection="1">
      <alignment horizontal="center" vertical="center"/>
    </xf>
    <xf numFmtId="2" fontId="30" fillId="0" borderId="1" xfId="0" applyNumberFormat="1" applyFont="1" applyBorder="1" applyAlignment="1">
      <alignment vertical="top"/>
    </xf>
    <xf numFmtId="0" fontId="31" fillId="0" borderId="1" xfId="6" applyNumberFormat="1" applyFont="1" applyBorder="1" applyAlignment="1" applyProtection="1">
      <alignment horizontal="center" vertical="top"/>
    </xf>
    <xf numFmtId="2" fontId="30" fillId="0" borderId="1" xfId="8" applyNumberFormat="1" applyFont="1" applyBorder="1" applyAlignment="1" applyProtection="1">
      <alignment horizontal="center" vertical="top"/>
    </xf>
    <xf numFmtId="168" fontId="30" fillId="0" borderId="1" xfId="8" applyNumberFormat="1" applyFont="1" applyBorder="1" applyAlignment="1" applyProtection="1">
      <alignment horizontal="center" vertical="top"/>
    </xf>
    <xf numFmtId="0" fontId="57" fillId="0" borderId="1" xfId="0" applyFont="1" applyBorder="1" applyAlignment="1">
      <alignment vertical="top" wrapText="1"/>
    </xf>
    <xf numFmtId="0" fontId="57" fillId="0" borderId="1" xfId="0" applyFont="1" applyBorder="1" applyAlignment="1">
      <alignment horizontal="center" vertical="center" wrapText="1"/>
    </xf>
    <xf numFmtId="0" fontId="26" fillId="0" borderId="1" xfId="6" applyNumberFormat="1" applyFont="1" applyBorder="1" applyAlignment="1" applyProtection="1">
      <alignment horizontal="center" vertical="center"/>
    </xf>
    <xf numFmtId="0" fontId="45" fillId="0" borderId="1" xfId="0" applyFont="1" applyBorder="1" applyAlignment="1">
      <alignment horizontal="center" vertical="top" wrapText="1"/>
    </xf>
    <xf numFmtId="0" fontId="26" fillId="0" borderId="1" xfId="0" applyFont="1" applyBorder="1" applyAlignment="1">
      <alignment horizontal="justify" vertical="center"/>
    </xf>
    <xf numFmtId="0" fontId="31" fillId="0" borderId="1" xfId="0" applyFont="1" applyBorder="1" applyAlignment="1">
      <alignment horizontal="justify" vertical="center"/>
    </xf>
    <xf numFmtId="0" fontId="29" fillId="0" borderId="1" xfId="0" applyFont="1" applyBorder="1" applyAlignment="1">
      <alignment horizontal="justify" vertical="top" wrapText="1"/>
    </xf>
    <xf numFmtId="168" fontId="30" fillId="12" borderId="1" xfId="6" applyNumberFormat="1" applyFont="1" applyFill="1" applyBorder="1" applyAlignment="1" applyProtection="1">
      <alignment horizontal="center" vertical="center" wrapText="1"/>
    </xf>
    <xf numFmtId="0" fontId="26" fillId="0" borderId="1" xfId="0" applyFont="1" applyBorder="1" applyAlignment="1">
      <alignment horizontal="center" vertical="top"/>
    </xf>
    <xf numFmtId="0" fontId="26" fillId="0" borderId="1" xfId="0" applyFont="1" applyBorder="1" applyAlignment="1">
      <alignment horizontal="justify" vertical="top"/>
    </xf>
    <xf numFmtId="0" fontId="26" fillId="0" borderId="1" xfId="0" applyFont="1" applyBorder="1" applyAlignment="1">
      <alignment horizontal="justify" vertical="top" wrapText="1"/>
    </xf>
    <xf numFmtId="168" fontId="25" fillId="12" borderId="1" xfId="6" applyNumberFormat="1" applyFont="1" applyFill="1" applyBorder="1" applyAlignment="1" applyProtection="1">
      <alignment horizontal="center" vertical="center" wrapText="1"/>
    </xf>
    <xf numFmtId="168" fontId="25" fillId="15" borderId="1" xfId="6" applyNumberFormat="1" applyFont="1" applyFill="1" applyBorder="1" applyAlignment="1" applyProtection="1">
      <alignment horizontal="center" vertical="center" wrapText="1"/>
    </xf>
    <xf numFmtId="168" fontId="25" fillId="20" borderId="1" xfId="6" applyNumberFormat="1" applyFont="1" applyFill="1" applyBorder="1" applyAlignment="1" applyProtection="1">
      <alignment horizontal="center" vertical="center" wrapText="1"/>
    </xf>
    <xf numFmtId="2" fontId="25" fillId="0" borderId="1" xfId="6" applyNumberFormat="1" applyFont="1" applyBorder="1" applyAlignment="1" applyProtection="1">
      <alignment horizontal="center" vertical="top"/>
    </xf>
    <xf numFmtId="165" fontId="25" fillId="0" borderId="1" xfId="6" applyFont="1" applyBorder="1" applyAlignment="1" applyProtection="1">
      <alignment horizontal="center" vertical="top" wrapText="1"/>
    </xf>
    <xf numFmtId="168" fontId="25" fillId="0" borderId="1" xfId="6" applyNumberFormat="1" applyFont="1" applyBorder="1" applyAlignment="1" applyProtection="1">
      <alignment horizontal="center" vertical="top"/>
    </xf>
    <xf numFmtId="4" fontId="31" fillId="0" borderId="1" xfId="6" applyNumberFormat="1" applyFont="1" applyBorder="1" applyAlignment="1" applyProtection="1">
      <alignment horizontal="right" vertical="top"/>
    </xf>
    <xf numFmtId="0" fontId="31" fillId="0" borderId="1" xfId="0" applyFont="1" applyBorder="1" applyAlignment="1">
      <alignment horizontal="justify" vertical="top"/>
    </xf>
    <xf numFmtId="0" fontId="31" fillId="0" borderId="1" xfId="6" applyNumberFormat="1" applyFont="1" applyBorder="1" applyAlignment="1" applyProtection="1">
      <alignment horizontal="left" vertical="top"/>
    </xf>
    <xf numFmtId="4" fontId="31" fillId="0" borderId="1" xfId="6" applyNumberFormat="1" applyFont="1" applyBorder="1" applyAlignment="1" applyProtection="1">
      <alignment horizontal="center" vertical="center"/>
    </xf>
    <xf numFmtId="4" fontId="26" fillId="0" borderId="1" xfId="6" applyNumberFormat="1" applyFont="1" applyBorder="1" applyAlignment="1" applyProtection="1">
      <alignment horizontal="center" vertical="top"/>
    </xf>
    <xf numFmtId="4" fontId="31" fillId="19" borderId="1" xfId="6" applyNumberFormat="1" applyFont="1" applyFill="1" applyBorder="1" applyAlignment="1" applyProtection="1">
      <alignment horizontal="right" vertical="center" wrapText="1"/>
    </xf>
    <xf numFmtId="4" fontId="31" fillId="0" borderId="1" xfId="6" applyNumberFormat="1" applyFont="1" applyBorder="1" applyAlignment="1" applyProtection="1">
      <alignment horizontal="center" vertical="top"/>
    </xf>
    <xf numFmtId="169" fontId="25" fillId="0" borderId="1" xfId="0" applyNumberFormat="1" applyFont="1" applyBorder="1" applyAlignment="1">
      <alignment horizontal="center" vertical="center"/>
    </xf>
    <xf numFmtId="168" fontId="30" fillId="0" borderId="1" xfId="6" applyNumberFormat="1" applyFont="1" applyBorder="1" applyAlignment="1" applyProtection="1">
      <alignment horizontal="center" vertical="top" wrapText="1"/>
    </xf>
    <xf numFmtId="0" fontId="29" fillId="21" borderId="1" xfId="0" applyFont="1" applyFill="1" applyBorder="1" applyAlignment="1">
      <alignment horizontal="justify" vertical="center" wrapText="1"/>
    </xf>
    <xf numFmtId="0" fontId="29" fillId="0" borderId="1" xfId="0" applyFont="1" applyBorder="1" applyAlignment="1">
      <alignment horizontal="left" vertical="top" wrapText="1"/>
    </xf>
    <xf numFmtId="0" fontId="59" fillId="0" borderId="1" xfId="0" applyFont="1" applyBorder="1" applyAlignment="1">
      <alignment vertical="top" wrapText="1"/>
    </xf>
    <xf numFmtId="0" fontId="32" fillId="0" borderId="1" xfId="0" applyFont="1" applyBorder="1" applyAlignment="1">
      <alignment horizontal="left" vertical="top" wrapText="1"/>
    </xf>
    <xf numFmtId="2" fontId="58" fillId="0" borderId="1" xfId="0" applyNumberFormat="1" applyFont="1" applyBorder="1" applyAlignment="1">
      <alignment horizontal="center" vertical="center"/>
    </xf>
    <xf numFmtId="2" fontId="25" fillId="0" borderId="1" xfId="0" applyNumberFormat="1" applyFont="1" applyBorder="1" applyAlignment="1">
      <alignment horizontal="center" vertical="top"/>
    </xf>
    <xf numFmtId="0" fontId="25" fillId="0" borderId="1" xfId="28" applyFont="1" applyBorder="1" applyAlignment="1" applyProtection="1">
      <alignment horizontal="justify" vertical="top"/>
    </xf>
    <xf numFmtId="0" fontId="45" fillId="0" borderId="1" xfId="0" applyFont="1" applyBorder="1" applyAlignment="1">
      <alignment horizontal="justify" vertical="center" wrapText="1"/>
    </xf>
    <xf numFmtId="2" fontId="45" fillId="0" borderId="1" xfId="0" applyNumberFormat="1" applyFont="1" applyBorder="1" applyAlignment="1">
      <alignment horizontal="center" vertical="top"/>
    </xf>
    <xf numFmtId="2" fontId="45" fillId="0" borderId="1" xfId="0" applyNumberFormat="1" applyFont="1" applyBorder="1" applyAlignment="1">
      <alignment horizontal="center" vertical="center"/>
    </xf>
    <xf numFmtId="0" fontId="26" fillId="0" borderId="1" xfId="0" applyFont="1" applyBorder="1" applyAlignment="1">
      <alignment horizontal="center" vertical="center"/>
    </xf>
    <xf numFmtId="0" fontId="29" fillId="23" borderId="1" xfId="0" applyFont="1" applyFill="1" applyBorder="1" applyAlignment="1">
      <alignment horizontal="justify" vertical="top"/>
    </xf>
    <xf numFmtId="165" fontId="30" fillId="23" borderId="1" xfId="6" applyFont="1" applyFill="1" applyBorder="1" applyAlignment="1" applyProtection="1">
      <alignment horizontal="center" vertical="center" wrapText="1"/>
    </xf>
    <xf numFmtId="168" fontId="30" fillId="23" borderId="1" xfId="6" applyNumberFormat="1" applyFont="1" applyFill="1" applyBorder="1" applyAlignment="1" applyProtection="1">
      <alignment horizontal="center" vertical="center"/>
    </xf>
    <xf numFmtId="169" fontId="31" fillId="0" borderId="1" xfId="17" applyNumberFormat="1" applyFont="1" applyBorder="1" applyAlignment="1" applyProtection="1">
      <alignment horizontal="center" vertical="top"/>
    </xf>
    <xf numFmtId="0" fontId="26" fillId="0" borderId="1" xfId="17" applyFont="1" applyBorder="1" applyAlignment="1" applyProtection="1">
      <alignment horizontal="justify" vertical="top"/>
    </xf>
    <xf numFmtId="2" fontId="31" fillId="0" borderId="1" xfId="17" applyNumberFormat="1" applyFont="1" applyBorder="1" applyAlignment="1" applyProtection="1">
      <alignment horizontal="center" vertical="center"/>
    </xf>
    <xf numFmtId="0" fontId="31" fillId="0" borderId="1" xfId="17" applyFont="1" applyBorder="1" applyAlignment="1" applyProtection="1">
      <alignment horizontal="center" vertical="center" wrapText="1"/>
    </xf>
    <xf numFmtId="173" fontId="31" fillId="0" borderId="1" xfId="6" applyNumberFormat="1" applyFont="1" applyBorder="1" applyAlignment="1" applyProtection="1">
      <alignment horizontal="left" vertical="center" indent="1"/>
      <protection locked="0"/>
    </xf>
    <xf numFmtId="0" fontId="31" fillId="0" borderId="1" xfId="17" applyFont="1" applyBorder="1" applyAlignment="1" applyProtection="1">
      <alignment horizontal="justify" vertical="top"/>
    </xf>
    <xf numFmtId="168" fontId="31" fillId="0" borderId="1" xfId="6" applyNumberFormat="1" applyFont="1" applyBorder="1" applyAlignment="1" applyProtection="1">
      <alignment horizontal="center" vertical="center"/>
      <protection locked="0"/>
    </xf>
    <xf numFmtId="169" fontId="26" fillId="23" borderId="1" xfId="17" applyNumberFormat="1" applyFont="1" applyFill="1" applyBorder="1" applyAlignment="1" applyProtection="1">
      <alignment horizontal="center" vertical="top"/>
    </xf>
    <xf numFmtId="168" fontId="31" fillId="15" borderId="1" xfId="17" applyNumberFormat="1" applyFont="1" applyFill="1" applyBorder="1" applyAlignment="1" applyProtection="1">
      <alignment horizontal="center" vertical="center"/>
    </xf>
    <xf numFmtId="168" fontId="37" fillId="15" borderId="1" xfId="17" applyNumberFormat="1" applyFont="1" applyFill="1" applyBorder="1" applyAlignment="1" applyProtection="1">
      <alignment horizontal="center" vertical="center"/>
    </xf>
    <xf numFmtId="0" fontId="26" fillId="0" borderId="1" xfId="17" applyFont="1" applyBorder="1" applyAlignment="1" applyProtection="1">
      <alignment horizontal="justify" vertical="center"/>
    </xf>
    <xf numFmtId="168" fontId="31" fillId="0" borderId="1" xfId="17" applyNumberFormat="1" applyFont="1" applyBorder="1" applyAlignment="1" applyProtection="1">
      <alignment horizontal="center" vertical="center"/>
    </xf>
    <xf numFmtId="2" fontId="37" fillId="0" borderId="1" xfId="0" applyNumberFormat="1" applyFont="1" applyBorder="1" applyAlignment="1">
      <alignment horizontal="center" vertical="center"/>
    </xf>
    <xf numFmtId="0" fontId="31" fillId="0" borderId="1" xfId="17" applyFont="1" applyBorder="1" applyAlignment="1" applyProtection="1">
      <alignment horizontal="justify" vertical="center"/>
    </xf>
    <xf numFmtId="0" fontId="31" fillId="0" borderId="1" xfId="17" applyFont="1" applyBorder="1" applyAlignment="1" applyProtection="1">
      <alignment horizontal="center" vertical="center"/>
    </xf>
    <xf numFmtId="0" fontId="26" fillId="0" borderId="1" xfId="17" applyFont="1" applyBorder="1" applyAlignment="1" applyProtection="1">
      <alignment horizontal="justify" vertical="justify"/>
    </xf>
    <xf numFmtId="0" fontId="26" fillId="0" borderId="1" xfId="17" applyFont="1" applyBorder="1" applyAlignment="1" applyProtection="1">
      <alignment horizontal="center" vertical="center" wrapText="1"/>
    </xf>
    <xf numFmtId="168" fontId="26" fillId="0" borderId="1" xfId="17" applyNumberFormat="1" applyFont="1" applyBorder="1" applyAlignment="1" applyProtection="1">
      <alignment horizontal="center" vertical="center"/>
    </xf>
    <xf numFmtId="0" fontId="30" fillId="0" borderId="1" xfId="17" applyFont="1" applyBorder="1" applyAlignment="1" applyProtection="1">
      <alignment horizontal="justify" vertical="top"/>
    </xf>
    <xf numFmtId="0" fontId="25" fillId="0" borderId="1" xfId="17" applyFont="1" applyBorder="1" applyAlignment="1" applyProtection="1">
      <alignment horizontal="justify" vertical="top"/>
    </xf>
    <xf numFmtId="169" fontId="30" fillId="0" borderId="1" xfId="17" applyNumberFormat="1" applyFont="1" applyBorder="1" applyAlignment="1" applyProtection="1">
      <alignment horizontal="center" vertical="top"/>
    </xf>
    <xf numFmtId="0" fontId="30" fillId="0" borderId="1" xfId="17" applyFont="1" applyBorder="1" applyAlignment="1" applyProtection="1">
      <alignment horizontal="center" vertical="center" wrapText="1"/>
    </xf>
    <xf numFmtId="0" fontId="30" fillId="0" borderId="1" xfId="17" applyFont="1" applyBorder="1" applyAlignment="1" applyProtection="1">
      <alignment horizontal="center" vertical="top"/>
    </xf>
    <xf numFmtId="0" fontId="26" fillId="22" borderId="1" xfId="6" applyNumberFormat="1" applyFont="1" applyFill="1" applyBorder="1" applyAlignment="1" applyProtection="1">
      <alignment horizontal="center" vertical="top"/>
    </xf>
    <xf numFmtId="2" fontId="30" fillId="23" borderId="1" xfId="6" applyNumberFormat="1" applyFont="1" applyFill="1" applyBorder="1" applyAlignment="1" applyProtection="1">
      <alignment horizontal="center" vertical="center"/>
    </xf>
    <xf numFmtId="0" fontId="31" fillId="0" borderId="1" xfId="17" applyFont="1" applyBorder="1" applyAlignment="1" applyProtection="1">
      <alignment horizontal="center" vertical="top"/>
    </xf>
    <xf numFmtId="1" fontId="31" fillId="0" borderId="1" xfId="17" applyNumberFormat="1" applyFont="1" applyBorder="1" applyAlignment="1" applyProtection="1">
      <alignment horizontal="center" vertical="center" wrapText="1"/>
    </xf>
    <xf numFmtId="169" fontId="30" fillId="0" borderId="1" xfId="25" applyNumberFormat="1" applyFont="1" applyBorder="1" applyAlignment="1" applyProtection="1">
      <alignment horizontal="center" vertical="top"/>
    </xf>
    <xf numFmtId="2" fontId="30" fillId="0" borderId="1" xfId="17" applyNumberFormat="1" applyFont="1" applyBorder="1" applyAlignment="1" applyProtection="1">
      <alignment horizontal="justify" vertical="top"/>
    </xf>
    <xf numFmtId="169" fontId="30" fillId="0" borderId="1" xfId="25" quotePrefix="1" applyNumberFormat="1" applyFont="1" applyBorder="1" applyAlignment="1" applyProtection="1">
      <alignment horizontal="center" vertical="top"/>
    </xf>
    <xf numFmtId="2" fontId="26" fillId="0" borderId="1" xfId="17" applyNumberFormat="1" applyFont="1" applyBorder="1" applyAlignment="1" applyProtection="1">
      <alignment horizontal="center" vertical="center"/>
    </xf>
    <xf numFmtId="169" fontId="26" fillId="24" borderId="1" xfId="17" applyNumberFormat="1" applyFont="1" applyFill="1" applyBorder="1" applyAlignment="1" applyProtection="1">
      <alignment horizontal="justify" vertical="top"/>
    </xf>
    <xf numFmtId="169" fontId="26" fillId="25" borderId="1" xfId="17" applyNumberFormat="1" applyFont="1" applyFill="1" applyBorder="1" applyAlignment="1" applyProtection="1">
      <alignment horizontal="justify" vertical="top"/>
    </xf>
    <xf numFmtId="0" fontId="45" fillId="26" borderId="1" xfId="20" applyFont="1" applyFill="1" applyBorder="1" applyAlignment="1">
      <alignment horizontal="justify" vertical="top"/>
    </xf>
    <xf numFmtId="0" fontId="45" fillId="27" borderId="1" xfId="20" applyFont="1" applyFill="1" applyBorder="1" applyAlignment="1">
      <alignment horizontal="justify" vertical="top"/>
    </xf>
    <xf numFmtId="0" fontId="45" fillId="0" borderId="1" xfId="20" applyFont="1" applyBorder="1" applyAlignment="1">
      <alignment horizontal="justify" vertical="top"/>
    </xf>
    <xf numFmtId="2" fontId="31" fillId="0" borderId="1" xfId="17" applyNumberFormat="1" applyFont="1" applyBorder="1" applyAlignment="1" applyProtection="1">
      <alignment horizontal="center" vertical="top"/>
    </xf>
    <xf numFmtId="168" fontId="25" fillId="23" borderId="1" xfId="6" applyNumberFormat="1" applyFont="1" applyFill="1" applyBorder="1" applyAlignment="1" applyProtection="1">
      <alignment horizontal="center" vertical="center"/>
    </xf>
    <xf numFmtId="0" fontId="29" fillId="29" borderId="1" xfId="0" applyFont="1" applyFill="1" applyBorder="1" applyAlignment="1">
      <alignment horizontal="justify" vertical="top"/>
    </xf>
    <xf numFmtId="165" fontId="30" fillId="29" borderId="1" xfId="6" applyFont="1" applyFill="1" applyBorder="1" applyAlignment="1" applyProtection="1">
      <alignment horizontal="center" vertical="center" wrapText="1"/>
    </xf>
    <xf numFmtId="165" fontId="30" fillId="29" borderId="1" xfId="6" applyFont="1" applyFill="1" applyBorder="1" applyAlignment="1" applyProtection="1">
      <alignment horizontal="center" vertical="center"/>
    </xf>
    <xf numFmtId="4" fontId="26" fillId="28" borderId="1" xfId="6" applyNumberFormat="1" applyFont="1" applyFill="1" applyBorder="1" applyAlignment="1" applyProtection="1">
      <alignment horizontal="right" vertical="center"/>
    </xf>
    <xf numFmtId="0" fontId="31" fillId="0" borderId="1" xfId="0" applyFont="1" applyBorder="1" applyAlignment="1" applyProtection="1">
      <alignment horizontal="center" vertical="top"/>
      <protection locked="0"/>
    </xf>
    <xf numFmtId="0" fontId="32" fillId="0" borderId="1" xfId="0" applyFont="1" applyBorder="1" applyAlignment="1" applyProtection="1">
      <alignment horizontal="justify" vertical="top"/>
      <protection locked="0"/>
    </xf>
    <xf numFmtId="2" fontId="30" fillId="0" borderId="1" xfId="10" applyNumberFormat="1" applyFont="1" applyBorder="1" applyAlignment="1" applyProtection="1">
      <alignment horizontal="center" vertical="center"/>
      <protection locked="0"/>
    </xf>
    <xf numFmtId="165" fontId="30" fillId="0" borderId="1" xfId="10" applyFont="1" applyBorder="1" applyAlignment="1" applyProtection="1">
      <alignment horizontal="center" vertical="center" wrapText="1"/>
      <protection locked="0"/>
    </xf>
    <xf numFmtId="168" fontId="30" fillId="0" borderId="1" xfId="10" applyNumberFormat="1" applyFont="1" applyBorder="1" applyAlignment="1" applyProtection="1">
      <alignment horizontal="center" vertical="center"/>
      <protection locked="0"/>
    </xf>
    <xf numFmtId="4" fontId="31" fillId="0" borderId="1" xfId="10" applyNumberFormat="1" applyFont="1" applyBorder="1" applyAlignment="1" applyProtection="1">
      <alignment horizontal="center" vertical="center"/>
      <protection locked="0"/>
    </xf>
    <xf numFmtId="0" fontId="57" fillId="0" borderId="0" xfId="0" applyFont="1" applyAlignment="1">
      <alignment horizontal="center" vertical="top" wrapText="1"/>
    </xf>
    <xf numFmtId="0" fontId="57" fillId="0" borderId="0" xfId="0" applyFont="1" applyAlignment="1">
      <alignment horizontal="center" vertical="center" wrapText="1"/>
    </xf>
    <xf numFmtId="4" fontId="26" fillId="10" borderId="1" xfId="6" applyNumberFormat="1" applyFont="1" applyFill="1" applyBorder="1" applyAlignment="1" applyProtection="1">
      <alignment horizontal="right" vertical="center"/>
    </xf>
    <xf numFmtId="4" fontId="26" fillId="13" borderId="1" xfId="6" applyNumberFormat="1" applyFont="1" applyFill="1" applyBorder="1" applyAlignment="1" applyProtection="1">
      <alignment horizontal="right" vertical="center"/>
    </xf>
    <xf numFmtId="4" fontId="26" fillId="0" borderId="1" xfId="6" applyNumberFormat="1" applyFont="1" applyBorder="1" applyAlignment="1" applyProtection="1">
      <alignment horizontal="right" vertical="center"/>
    </xf>
    <xf numFmtId="4" fontId="26" fillId="0" borderId="1" xfId="6" applyNumberFormat="1" applyFont="1" applyBorder="1" applyAlignment="1" applyProtection="1">
      <alignment horizontal="center" vertical="center"/>
    </xf>
    <xf numFmtId="4" fontId="31" fillId="13" borderId="1" xfId="6" applyNumberFormat="1" applyFont="1" applyFill="1" applyBorder="1" applyAlignment="1" applyProtection="1">
      <alignment horizontal="right" vertical="center"/>
    </xf>
    <xf numFmtId="0" fontId="57" fillId="0" borderId="1" xfId="0" applyFont="1" applyBorder="1" applyAlignment="1">
      <alignment horizontal="center" vertical="center"/>
    </xf>
    <xf numFmtId="4" fontId="31" fillId="19" borderId="1" xfId="6" applyNumberFormat="1" applyFont="1" applyFill="1" applyBorder="1" applyAlignment="1" applyProtection="1">
      <alignment horizontal="right" vertical="center"/>
    </xf>
    <xf numFmtId="168" fontId="25" fillId="12" borderId="1" xfId="6" applyNumberFormat="1" applyFont="1" applyFill="1" applyBorder="1" applyAlignment="1" applyProtection="1">
      <alignment horizontal="center" vertical="center"/>
    </xf>
    <xf numFmtId="0" fontId="57" fillId="0" borderId="1" xfId="0" applyFont="1" applyBorder="1" applyAlignment="1">
      <alignment vertical="top"/>
    </xf>
    <xf numFmtId="0" fontId="57" fillId="0" borderId="0" xfId="0" applyFont="1" applyAlignment="1">
      <alignment horizontal="center" vertical="center"/>
    </xf>
    <xf numFmtId="2" fontId="30" fillId="0" borderId="1" xfId="0" applyNumberFormat="1" applyFont="1" applyBorder="1" applyAlignment="1">
      <alignment horizontal="center" vertical="center" wrapText="1"/>
    </xf>
    <xf numFmtId="2" fontId="31" fillId="0" borderId="1" xfId="17" applyNumberFormat="1" applyFont="1" applyBorder="1" applyAlignment="1" applyProtection="1">
      <alignment horizontal="center" vertical="center" wrapText="1"/>
    </xf>
    <xf numFmtId="169" fontId="31" fillId="0" borderId="1" xfId="0" applyNumberFormat="1" applyFont="1" applyBorder="1" applyAlignment="1">
      <alignment horizontal="center" vertical="center" wrapText="1"/>
    </xf>
    <xf numFmtId="0" fontId="31" fillId="0" borderId="1" xfId="6" applyNumberFormat="1" applyFont="1" applyBorder="1" applyAlignment="1" applyProtection="1">
      <alignment horizontal="center" vertical="center" wrapText="1"/>
    </xf>
    <xf numFmtId="0" fontId="26" fillId="16" borderId="1" xfId="8" applyNumberFormat="1" applyFont="1" applyFill="1" applyBorder="1" applyAlignment="1" applyProtection="1">
      <alignment horizontal="center" vertical="top"/>
    </xf>
    <xf numFmtId="0" fontId="26" fillId="0" borderId="1" xfId="8" applyNumberFormat="1" applyFont="1" applyBorder="1" applyAlignment="1" applyProtection="1">
      <alignment horizontal="center" vertical="top"/>
    </xf>
    <xf numFmtId="4" fontId="31" fillId="10" borderId="1" xfId="6" applyNumberFormat="1" applyFont="1" applyFill="1" applyBorder="1" applyAlignment="1" applyProtection="1">
      <alignment horizontal="right" vertical="center" wrapText="1"/>
    </xf>
    <xf numFmtId="4" fontId="31" fillId="10" borderId="1" xfId="6" applyNumberFormat="1" applyFont="1" applyFill="1" applyBorder="1" applyAlignment="1" applyProtection="1">
      <alignment horizontal="right" vertical="center"/>
    </xf>
    <xf numFmtId="172" fontId="25" fillId="0" borderId="1" xfId="0" applyNumberFormat="1" applyFont="1" applyBorder="1" applyAlignment="1">
      <alignment horizontal="justify" vertical="top"/>
    </xf>
    <xf numFmtId="0" fontId="26" fillId="0" borderId="1" xfId="0" applyFont="1" applyBorder="1" applyAlignment="1">
      <alignment horizontal="justify" vertical="center" wrapText="1"/>
    </xf>
    <xf numFmtId="0" fontId="31" fillId="0" borderId="1" xfId="0" applyFont="1" applyBorder="1" applyAlignment="1">
      <alignment horizontal="center" vertical="top"/>
    </xf>
    <xf numFmtId="0" fontId="30" fillId="0" borderId="1" xfId="0" applyFont="1" applyBorder="1" applyAlignment="1">
      <alignment horizontal="center" vertical="center" wrapText="1"/>
    </xf>
    <xf numFmtId="0" fontId="25" fillId="0" borderId="1" xfId="8" applyNumberFormat="1" applyFont="1" applyBorder="1" applyAlignment="1" applyProtection="1">
      <alignment horizontal="center" vertical="top"/>
    </xf>
    <xf numFmtId="0" fontId="25" fillId="0" borderId="1" xfId="20" applyFont="1" applyBorder="1" applyAlignment="1">
      <alignment horizontal="justify" vertical="top"/>
    </xf>
    <xf numFmtId="2" fontId="25" fillId="0" borderId="1" xfId="20" applyNumberFormat="1" applyFont="1" applyBorder="1" applyAlignment="1">
      <alignment horizontal="center" vertical="center"/>
    </xf>
    <xf numFmtId="0" fontId="25" fillId="0" borderId="1" xfId="20" applyFont="1" applyBorder="1" applyAlignment="1">
      <alignment horizontal="center" vertical="center" wrapText="1"/>
    </xf>
    <xf numFmtId="168" fontId="25" fillId="0" borderId="1" xfId="20" applyNumberFormat="1" applyFont="1" applyBorder="1" applyAlignment="1">
      <alignment horizontal="center" vertical="center"/>
    </xf>
    <xf numFmtId="0" fontId="26" fillId="23" borderId="1" xfId="17" applyFont="1" applyFill="1" applyBorder="1" applyAlignment="1" applyProtection="1">
      <alignment horizontal="justify" vertical="top"/>
    </xf>
    <xf numFmtId="2" fontId="26" fillId="23" borderId="1" xfId="17" applyNumberFormat="1" applyFont="1" applyFill="1" applyBorder="1" applyAlignment="1" applyProtection="1">
      <alignment horizontal="center" vertical="center"/>
    </xf>
    <xf numFmtId="0" fontId="26" fillId="23" borderId="1" xfId="17" applyFont="1" applyFill="1" applyBorder="1" applyAlignment="1" applyProtection="1">
      <alignment horizontal="center" vertical="center" wrapText="1"/>
    </xf>
    <xf numFmtId="168" fontId="26" fillId="23" borderId="1" xfId="17" applyNumberFormat="1" applyFont="1" applyFill="1" applyBorder="1" applyAlignment="1" applyProtection="1">
      <alignment horizontal="center" vertical="center"/>
    </xf>
    <xf numFmtId="168" fontId="37" fillId="23" borderId="1" xfId="17" applyNumberFormat="1" applyFont="1" applyFill="1" applyBorder="1" applyAlignment="1" applyProtection="1">
      <alignment horizontal="center" vertical="center"/>
    </xf>
    <xf numFmtId="169" fontId="26" fillId="0" borderId="1" xfId="17" applyNumberFormat="1" applyFont="1" applyBorder="1" applyAlignment="1" applyProtection="1">
      <alignment horizontal="center" vertical="top"/>
    </xf>
    <xf numFmtId="0" fontId="31" fillId="0" borderId="1" xfId="17" applyFont="1" applyBorder="1" applyAlignment="1" applyProtection="1">
      <alignment horizontal="left" vertical="top"/>
    </xf>
    <xf numFmtId="0" fontId="26" fillId="28" borderId="1" xfId="6" applyNumberFormat="1" applyFont="1" applyFill="1" applyBorder="1" applyAlignment="1" applyProtection="1">
      <alignment horizontal="center" vertical="top"/>
    </xf>
    <xf numFmtId="2" fontId="30" fillId="29" borderId="1" xfId="6" applyNumberFormat="1" applyFont="1" applyFill="1" applyBorder="1" applyAlignment="1" applyProtection="1">
      <alignment horizontal="center" vertical="center"/>
    </xf>
    <xf numFmtId="2" fontId="31" fillId="0" borderId="1" xfId="17" applyNumberFormat="1" applyFont="1" applyBorder="1" applyAlignment="1">
      <alignment horizontal="center" vertical="center" wrapText="1"/>
    </xf>
    <xf numFmtId="2" fontId="27" fillId="0" borderId="1" xfId="0" applyNumberFormat="1" applyFont="1" applyBorder="1" applyAlignment="1">
      <alignment horizontal="center" vertical="center" wrapText="1"/>
    </xf>
    <xf numFmtId="0" fontId="33" fillId="36" borderId="0" xfId="0" applyFont="1" applyFill="1"/>
    <xf numFmtId="0" fontId="47" fillId="36" borderId="1" xfId="6" applyNumberFormat="1" applyFont="1" applyFill="1" applyBorder="1" applyAlignment="1" applyProtection="1">
      <alignment horizontal="center" vertical="center" wrapText="1"/>
    </xf>
    <xf numFmtId="0" fontId="47" fillId="36" borderId="1" xfId="0" applyFont="1" applyFill="1" applyBorder="1" applyAlignment="1">
      <alignment horizontal="center" vertical="center" wrapText="1"/>
    </xf>
    <xf numFmtId="0" fontId="28" fillId="0" borderId="1" xfId="0" applyFont="1" applyBorder="1"/>
    <xf numFmtId="4" fontId="27" fillId="0" borderId="1" xfId="6" applyNumberFormat="1" applyFont="1" applyBorder="1" applyAlignment="1" applyProtection="1">
      <alignment horizontal="center" vertical="center"/>
    </xf>
    <xf numFmtId="0" fontId="32" fillId="0" borderId="1" xfId="0" applyFont="1" applyBorder="1" applyAlignment="1">
      <alignment vertical="top" wrapText="1"/>
    </xf>
    <xf numFmtId="0" fontId="32" fillId="0" borderId="1" xfId="0" applyFont="1" applyBorder="1" applyAlignment="1">
      <alignment horizontal="justify" vertical="top" wrapText="1"/>
    </xf>
    <xf numFmtId="0" fontId="26" fillId="16" borderId="1" xfId="6" applyNumberFormat="1" applyFont="1" applyFill="1" applyBorder="1" applyAlignment="1" applyProtection="1">
      <alignment horizontal="center" vertical="center" wrapText="1"/>
    </xf>
    <xf numFmtId="0" fontId="29" fillId="17" borderId="1" xfId="0" applyFont="1" applyFill="1" applyBorder="1" applyAlignment="1">
      <alignment horizontal="justify" vertical="center" wrapText="1"/>
    </xf>
    <xf numFmtId="165" fontId="30" fillId="18" borderId="1" xfId="6" applyFont="1" applyFill="1" applyBorder="1" applyAlignment="1" applyProtection="1">
      <alignment horizontal="center" vertical="center" wrapText="1"/>
    </xf>
    <xf numFmtId="165" fontId="30" fillId="18" borderId="1" xfId="8" applyFont="1" applyFill="1" applyBorder="1" applyAlignment="1" applyProtection="1">
      <alignment horizontal="center" vertical="center" wrapText="1"/>
    </xf>
    <xf numFmtId="0" fontId="26" fillId="16" borderId="1" xfId="8" applyNumberFormat="1" applyFont="1" applyFill="1" applyBorder="1" applyAlignment="1" applyProtection="1">
      <alignment horizontal="center" vertical="center" wrapText="1"/>
    </xf>
    <xf numFmtId="0" fontId="26" fillId="0" borderId="1" xfId="8" applyNumberFormat="1" applyFont="1" applyBorder="1" applyAlignment="1" applyProtection="1">
      <alignment horizontal="center" vertical="center" wrapText="1"/>
    </xf>
    <xf numFmtId="165" fontId="30" fillId="0" borderId="1" xfId="8" applyFont="1" applyBorder="1" applyAlignment="1" applyProtection="1">
      <alignment horizontal="center" vertical="center" wrapText="1"/>
    </xf>
    <xf numFmtId="0" fontId="31" fillId="0" borderId="1" xfId="8" applyNumberFormat="1" applyFont="1" applyBorder="1" applyAlignment="1" applyProtection="1">
      <alignment horizontal="center" vertical="center" wrapText="1"/>
    </xf>
    <xf numFmtId="0" fontId="31" fillId="0" borderId="1" xfId="0" applyFont="1" applyBorder="1" applyAlignment="1">
      <alignment vertical="center"/>
    </xf>
    <xf numFmtId="0" fontId="31" fillId="0" borderId="1" xfId="0" applyFont="1" applyBorder="1" applyAlignment="1">
      <alignment horizontal="center" vertical="center"/>
    </xf>
    <xf numFmtId="164" fontId="30" fillId="0" borderId="1" xfId="1" applyFont="1" applyFill="1" applyBorder="1" applyAlignment="1" applyProtection="1">
      <alignment horizontal="center" vertical="center" wrapText="1"/>
    </xf>
    <xf numFmtId="0" fontId="30" fillId="0" borderId="1" xfId="0" applyFont="1" applyBorder="1" applyAlignment="1">
      <alignment horizontal="center" vertical="center"/>
    </xf>
    <xf numFmtId="0" fontId="28" fillId="0" borderId="1" xfId="0" applyFont="1" applyBorder="1" applyAlignment="1">
      <alignment vertical="center"/>
    </xf>
    <xf numFmtId="0" fontId="31" fillId="5" borderId="1" xfId="0" applyFont="1" applyFill="1" applyBorder="1" applyAlignment="1">
      <alignment horizontal="justify" vertical="top" wrapText="1"/>
    </xf>
    <xf numFmtId="0" fontId="30" fillId="5" borderId="1" xfId="0" applyFont="1" applyFill="1" applyBorder="1" applyAlignment="1">
      <alignment horizontal="center" vertical="center" wrapText="1"/>
    </xf>
    <xf numFmtId="0" fontId="51" fillId="0" borderId="1" xfId="0" applyFont="1" applyBorder="1" applyAlignment="1">
      <alignment horizontal="left" vertical="top" wrapText="1"/>
    </xf>
    <xf numFmtId="0" fontId="30" fillId="0" borderId="1" xfId="0" applyFont="1" applyBorder="1" applyAlignment="1">
      <alignment horizontal="justify" vertical="center" wrapText="1"/>
    </xf>
    <xf numFmtId="0" fontId="52" fillId="0" borderId="1" xfId="0" applyFont="1" applyBorder="1" applyAlignment="1">
      <alignment horizontal="center" vertical="center" wrapText="1"/>
    </xf>
    <xf numFmtId="0" fontId="32" fillId="0" borderId="1" xfId="0" applyFont="1" applyBorder="1" applyAlignment="1">
      <alignment vertical="center" wrapText="1"/>
    </xf>
    <xf numFmtId="165" fontId="25" fillId="0" borderId="1" xfId="6" applyFont="1" applyBorder="1" applyAlignment="1" applyProtection="1">
      <alignment horizontal="center" vertical="center" wrapText="1"/>
    </xf>
    <xf numFmtId="0" fontId="26" fillId="13" borderId="1" xfId="0" applyFont="1" applyFill="1" applyBorder="1" applyAlignment="1">
      <alignment horizontal="center" vertical="center" wrapText="1"/>
    </xf>
    <xf numFmtId="0" fontId="26" fillId="32" borderId="1" xfId="6" applyNumberFormat="1" applyFont="1" applyFill="1" applyBorder="1" applyAlignment="1" applyProtection="1">
      <alignment horizontal="center" vertical="top"/>
    </xf>
    <xf numFmtId="0" fontId="31" fillId="0" borderId="1" xfId="17" applyFont="1" applyBorder="1" applyAlignment="1" applyProtection="1">
      <alignment horizontal="justify" vertical="justify"/>
    </xf>
    <xf numFmtId="0" fontId="26" fillId="25" borderId="1" xfId="17" applyFont="1" applyFill="1" applyBorder="1" applyAlignment="1" applyProtection="1">
      <alignment horizontal="justify" vertical="justify"/>
    </xf>
    <xf numFmtId="0" fontId="31" fillId="0" borderId="1" xfId="17" applyFont="1" applyBorder="1" applyAlignment="1" applyProtection="1">
      <alignment horizontal="left" vertical="justify"/>
    </xf>
    <xf numFmtId="0" fontId="31" fillId="25" borderId="1" xfId="17" applyFont="1" applyFill="1" applyBorder="1" applyAlignment="1" applyProtection="1">
      <alignment horizontal="justify" vertical="justify"/>
    </xf>
    <xf numFmtId="0" fontId="26" fillId="25" borderId="1" xfId="17" applyFont="1" applyFill="1" applyBorder="1" applyAlignment="1" applyProtection="1">
      <alignment horizontal="justify" vertical="top"/>
    </xf>
    <xf numFmtId="0" fontId="27" fillId="25" borderId="1" xfId="17" applyFont="1" applyFill="1" applyBorder="1" applyAlignment="1" applyProtection="1">
      <alignment horizontal="justify" vertical="top"/>
    </xf>
    <xf numFmtId="0" fontId="31" fillId="25" borderId="1" xfId="17" applyFont="1" applyFill="1" applyBorder="1" applyAlignment="1" applyProtection="1">
      <alignment horizontal="justify" vertical="top"/>
    </xf>
    <xf numFmtId="0" fontId="31" fillId="25" borderId="1" xfId="17" applyFont="1" applyFill="1" applyBorder="1" applyAlignment="1" applyProtection="1">
      <alignment horizontal="left" vertical="top"/>
    </xf>
    <xf numFmtId="0" fontId="40" fillId="25" borderId="1" xfId="17" applyFont="1" applyFill="1" applyBorder="1" applyAlignment="1" applyProtection="1">
      <alignment horizontal="justify" vertical="top"/>
    </xf>
    <xf numFmtId="0" fontId="27" fillId="0" borderId="1" xfId="17" applyFont="1" applyBorder="1" applyAlignment="1" applyProtection="1">
      <alignment horizontal="justify" vertical="top"/>
    </xf>
    <xf numFmtId="0" fontId="40" fillId="0" borderId="1" xfId="17" applyFont="1" applyBorder="1" applyAlignment="1" applyProtection="1">
      <alignment horizontal="justify" vertical="top"/>
    </xf>
    <xf numFmtId="0" fontId="54" fillId="0" borderId="1" xfId="17" applyFont="1" applyBorder="1" applyAlignment="1" applyProtection="1">
      <alignment horizontal="center" vertical="center" wrapText="1"/>
    </xf>
    <xf numFmtId="4" fontId="31" fillId="0" borderId="1" xfId="17" applyNumberFormat="1" applyFont="1" applyBorder="1" applyAlignment="1" applyProtection="1">
      <alignment horizontal="right" vertical="center"/>
    </xf>
    <xf numFmtId="4" fontId="55" fillId="0" borderId="1" xfId="17" applyNumberFormat="1" applyFont="1" applyBorder="1" applyAlignment="1" applyProtection="1">
      <alignment horizontal="right" vertical="center"/>
    </xf>
    <xf numFmtId="0" fontId="55" fillId="0" borderId="1" xfId="17" applyFont="1" applyBorder="1" applyAlignment="1" applyProtection="1">
      <alignment horizontal="center" vertical="center" wrapText="1"/>
    </xf>
    <xf numFmtId="0" fontId="30" fillId="0" borderId="1" xfId="17" applyFont="1" applyBorder="1" applyAlignment="1" applyProtection="1">
      <alignment horizontal="justify" vertical="justify"/>
    </xf>
    <xf numFmtId="0" fontId="26" fillId="0" borderId="1" xfId="17" applyFont="1" applyBorder="1" applyAlignment="1" applyProtection="1">
      <alignment horizontal="center" vertical="center"/>
    </xf>
    <xf numFmtId="0" fontId="26" fillId="0" borderId="1" xfId="17" applyFont="1" applyBorder="1" applyAlignment="1" applyProtection="1">
      <alignment horizontal="left" vertical="justify"/>
    </xf>
    <xf numFmtId="169" fontId="31" fillId="25" borderId="1" xfId="17" applyNumberFormat="1" applyFont="1" applyFill="1" applyBorder="1" applyAlignment="1" applyProtection="1">
      <alignment horizontal="center" vertical="top"/>
    </xf>
    <xf numFmtId="0" fontId="31" fillId="25" borderId="1" xfId="17" applyFont="1" applyFill="1" applyBorder="1" applyAlignment="1" applyProtection="1">
      <alignment horizontal="center" vertical="center" wrapText="1"/>
    </xf>
    <xf numFmtId="1" fontId="31" fillId="0" borderId="1" xfId="17" applyNumberFormat="1" applyFont="1" applyBorder="1" applyAlignment="1" applyProtection="1">
      <alignment horizontal="center" vertical="top"/>
    </xf>
    <xf numFmtId="0" fontId="27" fillId="0" borderId="1" xfId="17" applyFont="1" applyBorder="1" applyAlignment="1" applyProtection="1">
      <alignment horizontal="center" vertical="top"/>
    </xf>
    <xf numFmtId="0" fontId="45" fillId="34" borderId="1" xfId="20" applyFont="1" applyFill="1" applyBorder="1" applyAlignment="1">
      <alignment horizontal="justify" vertical="top"/>
    </xf>
    <xf numFmtId="0" fontId="48" fillId="0" borderId="1" xfId="17" applyFont="1" applyBorder="1" applyAlignment="1" applyProtection="1">
      <alignment horizontal="center" vertical="center" wrapText="1"/>
    </xf>
    <xf numFmtId="0" fontId="30" fillId="0" borderId="1" xfId="20" applyFont="1" applyBorder="1" applyAlignment="1">
      <alignment horizontal="center" vertical="center" wrapText="1"/>
    </xf>
    <xf numFmtId="0" fontId="31" fillId="0" borderId="1" xfId="17" applyFont="1" applyBorder="1" applyAlignment="1" applyProtection="1">
      <alignment horizontal="left" vertical="top" wrapText="1"/>
    </xf>
    <xf numFmtId="0" fontId="26" fillId="35" borderId="1" xfId="6" applyNumberFormat="1" applyFont="1" applyFill="1" applyBorder="1" applyAlignment="1" applyProtection="1">
      <alignment horizontal="center" vertical="top"/>
    </xf>
    <xf numFmtId="0" fontId="26" fillId="0" borderId="1" xfId="0" quotePrefix="1" applyFont="1" applyBorder="1" applyAlignment="1" applyProtection="1">
      <alignment horizontal="center" vertical="top"/>
      <protection locked="0"/>
    </xf>
    <xf numFmtId="0" fontId="29" fillId="0" borderId="1" xfId="0" applyFont="1" applyBorder="1" applyAlignment="1" applyProtection="1">
      <alignment horizontal="justify" vertical="top"/>
      <protection locked="0"/>
    </xf>
    <xf numFmtId="0" fontId="28" fillId="0" borderId="1" xfId="0" applyFont="1" applyBorder="1" applyAlignment="1" applyProtection="1">
      <alignment horizontal="center" vertical="center"/>
      <protection locked="0"/>
    </xf>
    <xf numFmtId="0" fontId="31" fillId="0" borderId="1" xfId="17" applyFont="1" applyBorder="1" applyAlignment="1" applyProtection="1">
      <alignment horizontal="justify" vertical="center"/>
      <protection locked="0"/>
    </xf>
    <xf numFmtId="0" fontId="30" fillId="0" borderId="1" xfId="20" applyFont="1" applyBorder="1" applyAlignment="1" applyProtection="1">
      <alignment horizontal="center" vertical="center" wrapText="1"/>
      <protection locked="0"/>
    </xf>
    <xf numFmtId="0" fontId="47" fillId="37" borderId="1" xfId="6" applyNumberFormat="1" applyFont="1" applyFill="1" applyBorder="1" applyAlignment="1" applyProtection="1">
      <alignment horizontal="center" vertical="center" wrapText="1"/>
    </xf>
    <xf numFmtId="0" fontId="47" fillId="36" borderId="1" xfId="0" applyFont="1" applyFill="1" applyBorder="1" applyAlignment="1">
      <alignment horizontal="justify" vertical="center" wrapText="1"/>
    </xf>
    <xf numFmtId="165" fontId="48" fillId="36" borderId="1" xfId="6" applyFont="1" applyFill="1" applyBorder="1" applyAlignment="1" applyProtection="1">
      <alignment horizontal="center" vertical="center" wrapText="1"/>
    </xf>
    <xf numFmtId="165" fontId="47" fillId="36" borderId="1" xfId="6" applyFont="1" applyFill="1" applyBorder="1" applyAlignment="1" applyProtection="1">
      <alignment horizontal="center" vertical="center" wrapText="1"/>
    </xf>
    <xf numFmtId="0" fontId="47" fillId="37" borderId="1" xfId="0" applyFont="1" applyFill="1" applyBorder="1" applyAlignment="1">
      <alignment horizontal="center" vertical="center" wrapText="1"/>
    </xf>
    <xf numFmtId="0" fontId="48" fillId="37" borderId="1" xfId="0" applyFont="1" applyFill="1" applyBorder="1" applyAlignment="1">
      <alignment horizontal="center" vertical="center" wrapText="1"/>
    </xf>
    <xf numFmtId="0" fontId="48" fillId="36" borderId="1" xfId="0" applyFont="1" applyFill="1" applyBorder="1" applyAlignment="1">
      <alignment horizontal="center" vertical="center" wrapText="1"/>
    </xf>
    <xf numFmtId="0" fontId="26" fillId="38" borderId="1" xfId="17" applyFont="1" applyFill="1" applyBorder="1" applyAlignment="1" applyProtection="1">
      <alignment horizontal="justify" vertical="top"/>
    </xf>
    <xf numFmtId="169" fontId="26" fillId="38" borderId="1" xfId="17" applyNumberFormat="1" applyFont="1" applyFill="1" applyBorder="1" applyAlignment="1" applyProtection="1">
      <alignment horizontal="center" vertical="top"/>
    </xf>
    <xf numFmtId="0" fontId="26" fillId="38" borderId="1" xfId="17" applyFont="1" applyFill="1" applyBorder="1" applyAlignment="1" applyProtection="1">
      <alignment horizontal="center" vertical="center" wrapText="1"/>
    </xf>
    <xf numFmtId="4" fontId="28" fillId="0" borderId="1" xfId="0" applyNumberFormat="1" applyFont="1" applyBorder="1"/>
    <xf numFmtId="0" fontId="28" fillId="0" borderId="0" xfId="37" applyFont="1"/>
    <xf numFmtId="0" fontId="59" fillId="39" borderId="1" xfId="37" applyFont="1" applyFill="1" applyBorder="1" applyAlignment="1">
      <alignment horizontal="left" vertical="top" wrapText="1"/>
    </xf>
    <xf numFmtId="0" fontId="30" fillId="0" borderId="1" xfId="38" applyFont="1" applyBorder="1" applyAlignment="1">
      <alignment vertical="center"/>
    </xf>
    <xf numFmtId="43" fontId="28" fillId="0" borderId="0" xfId="37" applyNumberFormat="1" applyFont="1"/>
    <xf numFmtId="0" fontId="25" fillId="15" borderId="1" xfId="38" applyFont="1" applyFill="1" applyBorder="1" applyAlignment="1">
      <alignment vertical="center"/>
    </xf>
    <xf numFmtId="0" fontId="25" fillId="0" borderId="1" xfId="38" applyFont="1" applyBorder="1" applyAlignment="1">
      <alignment horizontal="center"/>
    </xf>
    <xf numFmtId="0" fontId="56" fillId="0" borderId="1" xfId="37" applyFont="1" applyBorder="1"/>
    <xf numFmtId="0" fontId="30" fillId="0" borderId="1" xfId="38" applyFont="1" applyBorder="1"/>
    <xf numFmtId="174" fontId="30" fillId="0" borderId="1" xfId="39" applyNumberFormat="1" applyFont="1" applyFill="1" applyBorder="1" applyProtection="1"/>
    <xf numFmtId="0" fontId="28" fillId="0" borderId="1" xfId="37" applyFont="1" applyBorder="1"/>
    <xf numFmtId="0" fontId="30" fillId="0" borderId="1" xfId="37" applyFont="1" applyBorder="1" applyAlignment="1" applyProtection="1">
      <alignment vertical="center"/>
      <protection locked="0"/>
    </xf>
    <xf numFmtId="174" fontId="28" fillId="0" borderId="0" xfId="37" applyNumberFormat="1" applyFont="1"/>
    <xf numFmtId="0" fontId="30" fillId="0" borderId="1" xfId="38" applyFont="1" applyBorder="1" applyProtection="1">
      <protection locked="0"/>
    </xf>
    <xf numFmtId="0" fontId="30" fillId="2" borderId="1" xfId="38" applyFont="1" applyFill="1" applyBorder="1"/>
    <xf numFmtId="0" fontId="25" fillId="40" borderId="1" xfId="38" applyFont="1" applyFill="1" applyBorder="1" applyAlignment="1">
      <alignment vertical="center"/>
    </xf>
    <xf numFmtId="164" fontId="47" fillId="36" borderId="1" xfId="1" applyFont="1" applyFill="1" applyBorder="1" applyAlignment="1" applyProtection="1">
      <alignment horizontal="center" vertical="center"/>
    </xf>
    <xf numFmtId="164" fontId="47" fillId="36" borderId="1" xfId="1" applyFont="1" applyFill="1" applyBorder="1" applyAlignment="1" applyProtection="1">
      <alignment horizontal="center" vertical="center" wrapText="1"/>
    </xf>
    <xf numFmtId="0" fontId="47" fillId="36" borderId="1" xfId="0" applyFont="1" applyFill="1" applyBorder="1" applyAlignment="1">
      <alignment horizontal="center" vertical="center"/>
    </xf>
    <xf numFmtId="0" fontId="26" fillId="38" borderId="1" xfId="17" applyFont="1" applyFill="1" applyBorder="1" applyAlignment="1" applyProtection="1">
      <alignment horizontal="justify" vertical="center"/>
    </xf>
    <xf numFmtId="0" fontId="28" fillId="5" borderId="0" xfId="0" applyFont="1" applyFill="1" applyAlignment="1">
      <alignment vertical="center"/>
    </xf>
    <xf numFmtId="4" fontId="28" fillId="5" borderId="0" xfId="0" applyNumberFormat="1" applyFont="1" applyFill="1" applyAlignment="1">
      <alignment horizontal="center" vertical="center"/>
    </xf>
    <xf numFmtId="0" fontId="56" fillId="5" borderId="0" xfId="0" applyFont="1" applyFill="1" applyAlignment="1">
      <alignment vertical="center"/>
    </xf>
    <xf numFmtId="4" fontId="47" fillId="36" borderId="1" xfId="1" applyNumberFormat="1" applyFont="1" applyFill="1" applyBorder="1" applyAlignment="1" applyProtection="1">
      <alignment horizontal="center" vertical="center"/>
    </xf>
    <xf numFmtId="4" fontId="30" fillId="12" borderId="1" xfId="6" applyNumberFormat="1" applyFont="1" applyFill="1" applyBorder="1" applyAlignment="1" applyProtection="1">
      <alignment horizontal="center" vertical="center" wrapText="1"/>
    </xf>
    <xf numFmtId="4" fontId="30" fillId="15" borderId="1" xfId="6" applyNumberFormat="1" applyFont="1" applyFill="1" applyBorder="1" applyAlignment="1" applyProtection="1">
      <alignment horizontal="center" vertical="center" wrapText="1"/>
    </xf>
    <xf numFmtId="4" fontId="31" fillId="30" borderId="1" xfId="6" applyNumberFormat="1" applyFont="1" applyFill="1" applyBorder="1" applyAlignment="1" applyProtection="1">
      <alignment horizontal="center" vertical="center" wrapText="1"/>
    </xf>
    <xf numFmtId="4" fontId="30" fillId="0" borderId="1" xfId="0" applyNumberFormat="1" applyFont="1" applyBorder="1" applyAlignment="1">
      <alignment horizontal="center" vertical="center" wrapText="1"/>
    </xf>
    <xf numFmtId="4" fontId="30" fillId="0" borderId="1" xfId="6" applyNumberFormat="1" applyFont="1" applyBorder="1" applyAlignment="1" applyProtection="1">
      <alignment horizontal="center" vertical="center" wrapText="1"/>
    </xf>
    <xf numFmtId="4" fontId="30" fillId="18" borderId="1" xfId="6" applyNumberFormat="1" applyFont="1" applyFill="1" applyBorder="1" applyAlignment="1" applyProtection="1">
      <alignment horizontal="center" vertical="center" wrapText="1"/>
    </xf>
    <xf numFmtId="4" fontId="30" fillId="18" borderId="1" xfId="8" applyNumberFormat="1" applyFont="1" applyFill="1" applyBorder="1" applyAlignment="1" applyProtection="1">
      <alignment horizontal="center" vertical="center" wrapText="1"/>
    </xf>
    <xf numFmtId="4" fontId="30" fillId="0" borderId="1" xfId="8" applyNumberFormat="1" applyFont="1" applyBorder="1" applyAlignment="1" applyProtection="1">
      <alignment horizontal="center" vertical="center" wrapText="1"/>
    </xf>
    <xf numFmtId="4" fontId="32" fillId="0" borderId="1" xfId="0" applyNumberFormat="1" applyFont="1" applyBorder="1" applyAlignment="1">
      <alignment horizontal="justify" vertical="center" wrapText="1"/>
    </xf>
    <xf numFmtId="4" fontId="30" fillId="30" borderId="1" xfId="6" applyNumberFormat="1" applyFont="1" applyFill="1" applyBorder="1" applyAlignment="1" applyProtection="1">
      <alignment horizontal="center" vertical="center" wrapText="1"/>
    </xf>
    <xf numFmtId="4" fontId="30" fillId="30" borderId="1" xfId="0" applyNumberFormat="1" applyFont="1" applyFill="1" applyBorder="1" applyAlignment="1">
      <alignment horizontal="center" vertical="center" wrapText="1"/>
    </xf>
    <xf numFmtId="4" fontId="48" fillId="36" borderId="1" xfId="6" applyNumberFormat="1" applyFont="1" applyFill="1" applyBorder="1" applyAlignment="1" applyProtection="1">
      <alignment horizontal="center" vertical="center" wrapText="1"/>
    </xf>
    <xf numFmtId="4" fontId="31" fillId="0" borderId="1" xfId="0" applyNumberFormat="1" applyFont="1" applyBorder="1" applyAlignment="1">
      <alignment horizontal="center" vertical="center"/>
    </xf>
    <xf numFmtId="4" fontId="30" fillId="0" borderId="1" xfId="1" applyNumberFormat="1" applyFont="1" applyFill="1" applyBorder="1" applyAlignment="1" applyProtection="1">
      <alignment horizontal="center" vertical="center" wrapText="1"/>
    </xf>
    <xf numFmtId="4" fontId="30" fillId="0" borderId="1" xfId="0" applyNumberFormat="1" applyFont="1" applyBorder="1" applyAlignment="1">
      <alignment horizontal="center" vertical="center"/>
    </xf>
    <xf numFmtId="4" fontId="47" fillId="36" borderId="1" xfId="6" applyNumberFormat="1" applyFont="1" applyFill="1" applyBorder="1" applyAlignment="1" applyProtection="1">
      <alignment horizontal="center" vertical="center" wrapText="1"/>
    </xf>
    <xf numFmtId="4" fontId="28" fillId="0" borderId="1" xfId="0" applyNumberFormat="1" applyFont="1" applyBorder="1" applyAlignment="1">
      <alignment vertical="center"/>
    </xf>
    <xf numFmtId="4" fontId="25" fillId="12" borderId="1" xfId="6" applyNumberFormat="1" applyFont="1" applyFill="1" applyBorder="1" applyAlignment="1" applyProtection="1">
      <alignment horizontal="center" vertical="center" wrapText="1"/>
    </xf>
    <xf numFmtId="4" fontId="25" fillId="15" borderId="1" xfId="6" applyNumberFormat="1" applyFont="1" applyFill="1" applyBorder="1" applyAlignment="1" applyProtection="1">
      <alignment horizontal="center" vertical="center" wrapText="1"/>
    </xf>
    <xf numFmtId="4" fontId="25" fillId="20" borderId="1" xfId="6" applyNumberFormat="1" applyFont="1" applyFill="1" applyBorder="1" applyAlignment="1" applyProtection="1">
      <alignment horizontal="center" vertical="center" wrapText="1"/>
    </xf>
    <xf numFmtId="4" fontId="30" fillId="0" borderId="1" xfId="10" applyNumberFormat="1" applyFont="1" applyBorder="1" applyAlignment="1" applyProtection="1">
      <alignment horizontal="center" vertical="center" wrapText="1"/>
    </xf>
    <xf numFmtId="4" fontId="30" fillId="5" borderId="1" xfId="0" applyNumberFormat="1" applyFont="1" applyFill="1" applyBorder="1" applyAlignment="1">
      <alignment horizontal="center" vertical="center" wrapText="1"/>
    </xf>
    <xf numFmtId="4" fontId="30" fillId="0" borderId="1" xfId="10" applyNumberFormat="1" applyFont="1" applyBorder="1" applyAlignment="1" applyProtection="1">
      <alignment horizontal="center" vertical="center" wrapText="1"/>
      <protection locked="0"/>
    </xf>
    <xf numFmtId="4" fontId="52" fillId="0" borderId="1" xfId="0" applyNumberFormat="1" applyFont="1" applyBorder="1" applyAlignment="1">
      <alignment horizontal="center" vertical="center" wrapText="1"/>
    </xf>
    <xf numFmtId="4" fontId="47" fillId="36" borderId="1" xfId="0" applyNumberFormat="1" applyFont="1" applyFill="1" applyBorder="1" applyAlignment="1">
      <alignment horizontal="center" vertical="center" wrapText="1"/>
    </xf>
    <xf numFmtId="4" fontId="48" fillId="36" borderId="1" xfId="0" applyNumberFormat="1" applyFont="1" applyFill="1" applyBorder="1" applyAlignment="1">
      <alignment horizontal="center" vertical="center" wrapText="1"/>
    </xf>
    <xf numFmtId="4" fontId="25" fillId="0" borderId="1" xfId="6" applyNumberFormat="1" applyFont="1" applyBorder="1" applyAlignment="1" applyProtection="1">
      <alignment horizontal="center" vertical="center" wrapText="1"/>
    </xf>
    <xf numFmtId="4" fontId="30" fillId="15" borderId="1" xfId="10" applyNumberFormat="1" applyFont="1" applyFill="1" applyBorder="1" applyAlignment="1" applyProtection="1">
      <alignment horizontal="center" vertical="center" wrapText="1"/>
    </xf>
    <xf numFmtId="4" fontId="25" fillId="0" borderId="1" xfId="20" applyNumberFormat="1" applyFont="1" applyBorder="1" applyAlignment="1">
      <alignment horizontal="center" vertical="center"/>
    </xf>
    <xf numFmtId="4" fontId="30" fillId="33" borderId="1" xfId="6" applyNumberFormat="1" applyFont="1" applyFill="1" applyBorder="1" applyAlignment="1" applyProtection="1">
      <alignment horizontal="center" vertical="center"/>
    </xf>
    <xf numFmtId="4" fontId="31" fillId="0" borderId="1" xfId="17" applyNumberFormat="1" applyFont="1" applyBorder="1" applyAlignment="1" applyProtection="1">
      <alignment horizontal="center" vertical="center"/>
    </xf>
    <xf numFmtId="4" fontId="31" fillId="30" borderId="1" xfId="17" applyNumberFormat="1" applyFont="1" applyFill="1" applyBorder="1" applyAlignment="1" applyProtection="1">
      <alignment horizontal="center" vertical="center"/>
    </xf>
    <xf numFmtId="4" fontId="54" fillId="0" borderId="1" xfId="17" applyNumberFormat="1" applyFont="1" applyBorder="1" applyAlignment="1" applyProtection="1">
      <alignment horizontal="center" vertical="center"/>
    </xf>
    <xf numFmtId="4" fontId="26" fillId="38" borderId="1" xfId="17" applyNumberFormat="1" applyFont="1" applyFill="1" applyBorder="1" applyAlignment="1" applyProtection="1">
      <alignment horizontal="center" vertical="center"/>
    </xf>
    <xf numFmtId="4" fontId="55" fillId="0" borderId="1" xfId="17" applyNumberFormat="1" applyFont="1" applyBorder="1" applyAlignment="1" applyProtection="1">
      <alignment horizontal="center" vertical="center"/>
    </xf>
    <xf numFmtId="4" fontId="26" fillId="0" borderId="1" xfId="17" applyNumberFormat="1" applyFont="1" applyBorder="1" applyAlignment="1" applyProtection="1">
      <alignment horizontal="center" vertical="center"/>
    </xf>
    <xf numFmtId="4" fontId="31" fillId="15" borderId="1" xfId="17" applyNumberFormat="1" applyFont="1" applyFill="1" applyBorder="1" applyAlignment="1" applyProtection="1">
      <alignment horizontal="center" vertical="center"/>
    </xf>
    <xf numFmtId="4" fontId="30" fillId="0" borderId="1" xfId="17" applyNumberFormat="1" applyFont="1" applyBorder="1" applyAlignment="1" applyProtection="1">
      <alignment horizontal="center" vertical="center"/>
    </xf>
    <xf numFmtId="4" fontId="48" fillId="0" borderId="1" xfId="6" applyNumberFormat="1" applyFont="1" applyBorder="1" applyAlignment="1" applyProtection="1">
      <alignment horizontal="center" vertical="center"/>
      <protection locked="0"/>
    </xf>
    <xf numFmtId="4" fontId="30" fillId="0" borderId="1" xfId="20" applyNumberFormat="1" applyFont="1" applyBorder="1" applyAlignment="1">
      <alignment horizontal="center" vertical="center"/>
    </xf>
    <xf numFmtId="4" fontId="30" fillId="7" borderId="1" xfId="6" applyNumberFormat="1" applyFont="1" applyFill="1" applyBorder="1" applyAlignment="1" applyProtection="1">
      <alignment horizontal="center" vertical="center"/>
    </xf>
    <xf numFmtId="4" fontId="30" fillId="0" borderId="1" xfId="10" applyNumberFormat="1" applyFont="1" applyBorder="1" applyAlignment="1" applyProtection="1">
      <alignment horizontal="center" vertical="center"/>
      <protection locked="0"/>
    </xf>
    <xf numFmtId="4" fontId="30" fillId="30" borderId="1" xfId="10" applyNumberFormat="1" applyFont="1" applyFill="1" applyBorder="1" applyAlignment="1" applyProtection="1">
      <alignment horizontal="center" vertical="center"/>
      <protection locked="0"/>
    </xf>
    <xf numFmtId="4" fontId="28" fillId="5" borderId="0" xfId="0" applyNumberFormat="1" applyFont="1" applyFill="1" applyAlignment="1">
      <alignment vertical="center"/>
    </xf>
    <xf numFmtId="4" fontId="31" fillId="41" borderId="1" xfId="6" applyNumberFormat="1" applyFont="1" applyFill="1" applyBorder="1" applyAlignment="1" applyProtection="1">
      <alignment horizontal="center" vertical="center" wrapText="1"/>
    </xf>
    <xf numFmtId="4" fontId="31" fillId="31" borderId="1" xfId="6" applyNumberFormat="1" applyFont="1" applyFill="1" applyBorder="1" applyAlignment="1" applyProtection="1">
      <alignment horizontal="center" vertical="center" wrapText="1"/>
      <protection locked="0"/>
    </xf>
    <xf numFmtId="4" fontId="30" fillId="0" borderId="1" xfId="36" applyNumberFormat="1" applyFont="1" applyFill="1" applyBorder="1" applyAlignment="1" applyProtection="1">
      <alignment horizontal="center" vertical="center"/>
    </xf>
    <xf numFmtId="4" fontId="31" fillId="42" borderId="1" xfId="6" applyNumberFormat="1" applyFont="1" applyFill="1" applyBorder="1" applyAlignment="1" applyProtection="1">
      <alignment horizontal="center" vertical="center" wrapText="1"/>
    </xf>
    <xf numFmtId="4" fontId="30" fillId="31" borderId="1" xfId="0" applyNumberFormat="1" applyFont="1" applyFill="1" applyBorder="1" applyAlignment="1" applyProtection="1">
      <alignment horizontal="center" vertical="center" wrapText="1"/>
      <protection locked="0"/>
    </xf>
    <xf numFmtId="4" fontId="31" fillId="31" borderId="1" xfId="0" applyNumberFormat="1" applyFont="1" applyFill="1" applyBorder="1" applyAlignment="1" applyProtection="1">
      <alignment horizontal="center" vertical="center" wrapText="1"/>
      <protection locked="0"/>
    </xf>
    <xf numFmtId="4" fontId="30" fillId="31" borderId="1" xfId="6" applyNumberFormat="1" applyFont="1" applyFill="1" applyBorder="1" applyAlignment="1" applyProtection="1">
      <alignment horizontal="center" vertical="center" wrapText="1"/>
      <protection locked="0"/>
    </xf>
    <xf numFmtId="4" fontId="30" fillId="31" borderId="1" xfId="8" applyNumberFormat="1" applyFont="1" applyFill="1" applyBorder="1" applyAlignment="1" applyProtection="1">
      <alignment horizontal="center" vertical="center" wrapText="1"/>
      <protection locked="0"/>
    </xf>
    <xf numFmtId="4" fontId="30" fillId="41" borderId="1" xfId="6" applyNumberFormat="1" applyFont="1" applyFill="1" applyBorder="1" applyAlignment="1" applyProtection="1">
      <alignment horizontal="center" vertical="center" wrapText="1"/>
    </xf>
    <xf numFmtId="4" fontId="30" fillId="41" borderId="1" xfId="0" applyNumberFormat="1" applyFont="1" applyFill="1" applyBorder="1" applyAlignment="1">
      <alignment horizontal="center" vertical="center" wrapText="1"/>
    </xf>
    <xf numFmtId="4" fontId="30" fillId="42" borderId="1" xfId="6" applyNumberFormat="1" applyFont="1" applyFill="1" applyBorder="1" applyAlignment="1" applyProtection="1">
      <alignment horizontal="center" vertical="center" wrapText="1"/>
    </xf>
    <xf numFmtId="4" fontId="28" fillId="5" borderId="1" xfId="0" applyNumberFormat="1" applyFont="1" applyFill="1" applyBorder="1"/>
    <xf numFmtId="4" fontId="30" fillId="31" borderId="1" xfId="10" applyNumberFormat="1" applyFont="1" applyFill="1" applyBorder="1" applyAlignment="1" applyProtection="1">
      <alignment horizontal="center" vertical="center" wrapText="1"/>
    </xf>
    <xf numFmtId="4" fontId="30" fillId="31" borderId="1" xfId="10" applyNumberFormat="1" applyFont="1" applyFill="1" applyBorder="1" applyAlignment="1" applyProtection="1">
      <alignment horizontal="center" vertical="center" wrapText="1"/>
      <protection locked="0"/>
    </xf>
    <xf numFmtId="4" fontId="52" fillId="31" borderId="1" xfId="0" applyNumberFormat="1" applyFont="1" applyFill="1" applyBorder="1" applyAlignment="1" applyProtection="1">
      <alignment horizontal="center" vertical="center" wrapText="1"/>
      <protection locked="0"/>
    </xf>
    <xf numFmtId="4" fontId="31" fillId="41" borderId="1" xfId="17" applyNumberFormat="1" applyFont="1" applyFill="1" applyBorder="1" applyAlignment="1" applyProtection="1">
      <alignment horizontal="center" vertical="center"/>
    </xf>
    <xf numFmtId="4" fontId="31" fillId="31" borderId="1" xfId="6" applyNumberFormat="1" applyFont="1" applyFill="1" applyBorder="1" applyAlignment="1" applyProtection="1">
      <alignment horizontal="center" vertical="center"/>
      <protection locked="0"/>
    </xf>
    <xf numFmtId="4" fontId="31" fillId="42" borderId="1" xfId="17" applyNumberFormat="1" applyFont="1" applyFill="1" applyBorder="1" applyAlignment="1" applyProtection="1">
      <alignment horizontal="center" vertical="center"/>
    </xf>
    <xf numFmtId="4" fontId="31" fillId="31" borderId="1" xfId="6" applyNumberFormat="1" applyFont="1" applyFill="1" applyBorder="1" applyAlignment="1" applyProtection="1">
      <alignment horizontal="left" vertical="center" indent="1"/>
      <protection locked="0"/>
    </xf>
    <xf numFmtId="4" fontId="31" fillId="25" borderId="1" xfId="6" applyNumberFormat="1" applyFont="1" applyFill="1" applyBorder="1" applyAlignment="1" applyProtection="1">
      <alignment horizontal="center" vertical="center"/>
      <protection locked="0"/>
    </xf>
    <xf numFmtId="4" fontId="30" fillId="31" borderId="1" xfId="2" applyNumberFormat="1" applyFont="1" applyFill="1" applyBorder="1" applyAlignment="1" applyProtection="1">
      <alignment horizontal="center" vertical="center"/>
      <protection locked="0"/>
    </xf>
    <xf numFmtId="4" fontId="30" fillId="42" borderId="1" xfId="10" applyNumberFormat="1" applyFont="1" applyFill="1" applyBorder="1" applyAlignment="1" applyProtection="1">
      <alignment horizontal="center" vertical="center"/>
      <protection locked="0"/>
    </xf>
    <xf numFmtId="169" fontId="26" fillId="5" borderId="1" xfId="17" applyNumberFormat="1" applyFont="1" applyFill="1" applyBorder="1" applyAlignment="1" applyProtection="1">
      <alignment horizontal="center" vertical="top"/>
    </xf>
    <xf numFmtId="0" fontId="26" fillId="5" borderId="1" xfId="17" applyFont="1" applyFill="1" applyBorder="1" applyAlignment="1" applyProtection="1">
      <alignment horizontal="justify" vertical="top"/>
    </xf>
    <xf numFmtId="4" fontId="26" fillId="5" borderId="1" xfId="17" applyNumberFormat="1" applyFont="1" applyFill="1" applyBorder="1" applyAlignment="1" applyProtection="1">
      <alignment horizontal="center" vertical="center"/>
    </xf>
    <xf numFmtId="0" fontId="26" fillId="5" borderId="1" xfId="17" applyFont="1" applyFill="1" applyBorder="1" applyAlignment="1" applyProtection="1">
      <alignment horizontal="center" vertical="center" wrapText="1"/>
    </xf>
    <xf numFmtId="0" fontId="67" fillId="43" borderId="1" xfId="0" applyFont="1" applyFill="1" applyBorder="1" applyAlignment="1">
      <alignment horizontal="center" vertical="center" wrapText="1"/>
    </xf>
    <xf numFmtId="0" fontId="68" fillId="0" borderId="1" xfId="0" applyFont="1" applyBorder="1" applyAlignment="1">
      <alignment horizontal="center" vertical="center"/>
    </xf>
    <xf numFmtId="0" fontId="70" fillId="0" borderId="1" xfId="0" applyFont="1" applyBorder="1" applyAlignment="1">
      <alignment horizontal="center" vertical="center" wrapText="1"/>
    </xf>
    <xf numFmtId="2" fontId="71" fillId="30" borderId="1" xfId="36" applyNumberFormat="1" applyFont="1" applyFill="1" applyBorder="1" applyAlignment="1" applyProtection="1">
      <alignment horizontal="center" vertical="center"/>
    </xf>
    <xf numFmtId="43" fontId="68" fillId="0" borderId="1" xfId="36" applyFont="1" applyBorder="1" applyAlignment="1">
      <alignment horizontal="center" vertical="center"/>
    </xf>
    <xf numFmtId="4" fontId="71" fillId="0" borderId="1" xfId="6" applyNumberFormat="1" applyFont="1" applyBorder="1" applyAlignment="1" applyProtection="1">
      <alignment horizontal="center" vertical="center" wrapText="1"/>
    </xf>
    <xf numFmtId="4" fontId="70" fillId="31" borderId="1" xfId="0" applyNumberFormat="1" applyFont="1" applyFill="1" applyBorder="1" applyAlignment="1" applyProtection="1">
      <alignment horizontal="center" vertical="center" wrapText="1"/>
      <protection locked="0"/>
    </xf>
    <xf numFmtId="0" fontId="70" fillId="0" borderId="1" xfId="6" applyNumberFormat="1" applyFont="1" applyBorder="1" applyAlignment="1" applyProtection="1">
      <alignment horizontal="center" vertical="center" wrapText="1"/>
    </xf>
    <xf numFmtId="0" fontId="69" fillId="5" borderId="1" xfId="6" applyNumberFormat="1" applyFont="1" applyFill="1" applyBorder="1" applyAlignment="1" applyProtection="1">
      <alignment horizontal="center" vertical="center" wrapText="1"/>
    </xf>
    <xf numFmtId="0" fontId="71" fillId="5" borderId="1" xfId="0" applyFont="1" applyFill="1" applyBorder="1" applyAlignment="1">
      <alignment horizontal="center" vertical="center" wrapText="1"/>
    </xf>
    <xf numFmtId="169" fontId="69" fillId="0" borderId="1" xfId="17" applyNumberFormat="1" applyFont="1" applyBorder="1" applyAlignment="1" applyProtection="1">
      <alignment horizontal="center" vertical="center"/>
    </xf>
    <xf numFmtId="169" fontId="71" fillId="0" borderId="1" xfId="17" applyNumberFormat="1" applyFont="1" applyBorder="1" applyAlignment="1" applyProtection="1">
      <alignment horizontal="center" vertical="center"/>
    </xf>
    <xf numFmtId="0" fontId="73" fillId="0" borderId="1" xfId="17" applyFont="1" applyBorder="1" applyAlignment="1" applyProtection="1">
      <alignment horizontal="center" vertical="center"/>
    </xf>
    <xf numFmtId="0" fontId="68" fillId="0" borderId="0" xfId="0" applyFont="1" applyAlignment="1">
      <alignment horizontal="center" vertical="center"/>
    </xf>
    <xf numFmtId="4" fontId="71" fillId="31" borderId="1" xfId="6" applyNumberFormat="1" applyFont="1" applyFill="1" applyBorder="1" applyAlignment="1" applyProtection="1">
      <alignment horizontal="center" vertical="center"/>
      <protection locked="0"/>
    </xf>
    <xf numFmtId="0" fontId="75" fillId="44" borderId="1" xfId="0" applyFont="1" applyFill="1" applyBorder="1" applyAlignment="1">
      <alignment horizontal="center" vertical="center" wrapText="1"/>
    </xf>
    <xf numFmtId="0" fontId="76" fillId="25" borderId="1" xfId="0" applyFont="1" applyFill="1" applyBorder="1" applyAlignment="1">
      <alignment horizontal="center" vertical="center" wrapText="1"/>
    </xf>
    <xf numFmtId="0" fontId="75" fillId="45" borderId="1" xfId="0" applyFont="1" applyFill="1" applyBorder="1" applyAlignment="1">
      <alignment horizontal="center" vertical="center" wrapText="1"/>
    </xf>
    <xf numFmtId="0" fontId="31" fillId="0" borderId="1" xfId="17" applyFont="1" applyBorder="1" applyAlignment="1" applyProtection="1">
      <alignment vertical="center"/>
      <protection locked="0"/>
    </xf>
    <xf numFmtId="0" fontId="33" fillId="36" borderId="0" xfId="0" applyFont="1" applyFill="1" applyAlignment="1">
      <alignment vertical="center"/>
    </xf>
    <xf numFmtId="0" fontId="47" fillId="36" borderId="1" xfId="0" applyFont="1" applyFill="1" applyBorder="1" applyAlignment="1">
      <alignment vertical="center" wrapText="1"/>
    </xf>
    <xf numFmtId="0" fontId="31" fillId="0" borderId="1" xfId="0" applyFont="1" applyBorder="1" applyAlignment="1">
      <alignment vertical="center" wrapText="1"/>
    </xf>
    <xf numFmtId="0" fontId="26" fillId="0" borderId="1" xfId="17" applyFont="1" applyBorder="1" applyAlignment="1" applyProtection="1">
      <alignment vertical="center"/>
    </xf>
    <xf numFmtId="0" fontId="31" fillId="0" borderId="1" xfId="17" applyFont="1" applyBorder="1" applyAlignment="1" applyProtection="1">
      <alignment vertical="center"/>
    </xf>
    <xf numFmtId="0" fontId="32" fillId="0" borderId="1" xfId="0" applyFont="1" applyBorder="1" applyAlignment="1">
      <alignment vertical="center"/>
    </xf>
    <xf numFmtId="0" fontId="75" fillId="46" borderId="1" xfId="0" applyFont="1" applyFill="1" applyBorder="1" applyAlignment="1">
      <alignment horizontal="center" vertical="center" wrapText="1"/>
    </xf>
    <xf numFmtId="0" fontId="78" fillId="26" borderId="1" xfId="41" applyFont="1" applyFill="1" applyBorder="1" applyAlignment="1" applyProtection="1">
      <alignment horizontal="center" vertical="center" wrapText="1" shrinkToFit="1"/>
      <protection locked="0"/>
    </xf>
    <xf numFmtId="0" fontId="25" fillId="39" borderId="1" xfId="38" applyFont="1" applyFill="1" applyBorder="1" applyAlignment="1">
      <alignment horizontal="center" vertical="center"/>
    </xf>
    <xf numFmtId="0" fontId="30" fillId="0" borderId="1" xfId="38" applyFont="1" applyBorder="1" applyAlignment="1">
      <alignment horizontal="center" vertical="center"/>
    </xf>
    <xf numFmtId="0" fontId="25" fillId="15" borderId="1" xfId="38" applyFont="1" applyFill="1" applyBorder="1" applyAlignment="1">
      <alignment horizontal="center" vertical="center"/>
    </xf>
    <xf numFmtId="0" fontId="65" fillId="0" borderId="1" xfId="38" applyFont="1" applyBorder="1" applyAlignment="1" applyProtection="1">
      <alignment horizontal="center"/>
      <protection locked="0"/>
    </xf>
    <xf numFmtId="0" fontId="65" fillId="0" borderId="1" xfId="38" applyFont="1" applyBorder="1" applyAlignment="1" applyProtection="1">
      <alignment horizontal="right"/>
      <protection locked="0"/>
    </xf>
    <xf numFmtId="0" fontId="30" fillId="2" borderId="1" xfId="38" applyFont="1" applyFill="1" applyBorder="1" applyAlignment="1">
      <alignment horizontal="left"/>
    </xf>
    <xf numFmtId="0" fontId="25" fillId="40" borderId="1" xfId="38" applyFont="1" applyFill="1" applyBorder="1" applyAlignment="1">
      <alignment horizontal="center" vertical="center"/>
    </xf>
    <xf numFmtId="4" fontId="30" fillId="0" borderId="1" xfId="39" applyNumberFormat="1" applyFont="1" applyFill="1" applyBorder="1" applyAlignment="1" applyProtection="1">
      <alignment horizontal="center" vertical="center"/>
    </xf>
    <xf numFmtId="4" fontId="25" fillId="15" borderId="1" xfId="39" applyNumberFormat="1" applyFont="1" applyFill="1" applyBorder="1" applyAlignment="1" applyProtection="1">
      <alignment horizontal="center" vertical="center"/>
    </xf>
    <xf numFmtId="4" fontId="30" fillId="0" borderId="1" xfId="39" applyNumberFormat="1" applyFont="1" applyFill="1" applyBorder="1" applyAlignment="1" applyProtection="1">
      <alignment horizontal="center" vertical="center"/>
      <protection locked="0"/>
    </xf>
    <xf numFmtId="4" fontId="30" fillId="0" borderId="1" xfId="39" applyNumberFormat="1" applyFont="1" applyFill="1" applyBorder="1" applyAlignment="1" applyProtection="1">
      <alignment horizontal="center"/>
      <protection locked="0"/>
    </xf>
    <xf numFmtId="4" fontId="30" fillId="2" borderId="1" xfId="38" applyNumberFormat="1" applyFont="1" applyFill="1" applyBorder="1" applyAlignment="1">
      <alignment horizontal="center"/>
    </xf>
    <xf numFmtId="4" fontId="28" fillId="0" borderId="1" xfId="37" applyNumberFormat="1" applyFont="1" applyBorder="1" applyAlignment="1">
      <alignment horizontal="center"/>
    </xf>
    <xf numFmtId="4" fontId="25" fillId="40" borderId="1" xfId="40" applyNumberFormat="1" applyFont="1" applyFill="1" applyBorder="1" applyAlignment="1" applyProtection="1">
      <alignment horizontal="center" vertical="center"/>
    </xf>
    <xf numFmtId="4" fontId="25" fillId="40" borderId="1" xfId="39" applyNumberFormat="1" applyFont="1" applyFill="1" applyBorder="1" applyAlignment="1" applyProtection="1">
      <alignment horizontal="center" vertical="center"/>
    </xf>
    <xf numFmtId="0" fontId="79" fillId="36" borderId="1" xfId="0" applyFont="1" applyFill="1" applyBorder="1" applyAlignment="1">
      <alignment horizontal="center" vertical="center" wrapText="1"/>
    </xf>
    <xf numFmtId="0" fontId="80" fillId="0" borderId="1" xfId="0" applyFont="1" applyBorder="1" applyAlignment="1">
      <alignment horizontal="center" vertical="center"/>
    </xf>
    <xf numFmtId="0" fontId="81" fillId="48" borderId="1" xfId="0" applyFont="1" applyFill="1" applyBorder="1" applyAlignment="1">
      <alignment horizontal="center" vertical="center" wrapText="1"/>
    </xf>
    <xf numFmtId="4" fontId="80" fillId="0" borderId="1" xfId="36" applyNumberFormat="1" applyFont="1" applyFill="1" applyBorder="1" applyAlignment="1" applyProtection="1">
      <alignment horizontal="center" vertical="center" wrapText="1"/>
    </xf>
    <xf numFmtId="0" fontId="81" fillId="0" borderId="1" xfId="0" applyFont="1" applyBorder="1" applyAlignment="1">
      <alignment horizontal="center" vertical="center" wrapText="1"/>
    </xf>
    <xf numFmtId="0" fontId="82" fillId="0" borderId="1" xfId="0" applyFont="1" applyBorder="1" applyAlignment="1">
      <alignment horizontal="center" vertical="center"/>
    </xf>
    <xf numFmtId="0" fontId="80" fillId="0" borderId="1" xfId="0" applyFont="1" applyBorder="1" applyAlignment="1">
      <alignment horizontal="center" vertical="center" wrapText="1"/>
    </xf>
    <xf numFmtId="0" fontId="82" fillId="0" borderId="1" xfId="0" applyFont="1" applyBorder="1" applyAlignment="1">
      <alignment horizontal="center" vertical="top" wrapText="1"/>
    </xf>
    <xf numFmtId="0" fontId="80" fillId="0" borderId="1" xfId="0" applyFont="1" applyBorder="1" applyAlignment="1">
      <alignment horizontal="center" vertical="top"/>
    </xf>
    <xf numFmtId="0" fontId="80" fillId="0" borderId="1" xfId="0" applyFont="1" applyBorder="1" applyAlignment="1">
      <alignment horizontal="center" vertical="top" wrapText="1"/>
    </xf>
    <xf numFmtId="2" fontId="80" fillId="0" borderId="1" xfId="0" applyNumberFormat="1" applyFont="1" applyBorder="1" applyAlignment="1">
      <alignment horizontal="center" vertical="center"/>
    </xf>
    <xf numFmtId="2" fontId="84" fillId="0" borderId="1" xfId="0" applyNumberFormat="1" applyFont="1" applyBorder="1" applyAlignment="1">
      <alignment horizontal="center" vertical="center"/>
    </xf>
    <xf numFmtId="0" fontId="64" fillId="0" borderId="0" xfId="0" applyFont="1"/>
    <xf numFmtId="4" fontId="0" fillId="0" borderId="0" xfId="0" applyNumberFormat="1"/>
    <xf numFmtId="0" fontId="0" fillId="0" borderId="0" xfId="0" applyAlignment="1">
      <alignment wrapText="1"/>
    </xf>
    <xf numFmtId="0" fontId="25" fillId="12" borderId="1" xfId="38" applyFont="1" applyFill="1" applyBorder="1" applyAlignment="1">
      <alignment horizontal="center" vertical="center"/>
    </xf>
    <xf numFmtId="0" fontId="25" fillId="0" borderId="1" xfId="38" applyFont="1" applyBorder="1" applyAlignment="1">
      <alignment horizontal="center"/>
    </xf>
    <xf numFmtId="0" fontId="77" fillId="47" borderId="1" xfId="41" applyFont="1" applyFill="1" applyBorder="1" applyAlignment="1">
      <alignment horizontal="center"/>
    </xf>
    <xf numFmtId="0" fontId="78" fillId="26" borderId="1" xfId="41" applyFont="1" applyFill="1" applyBorder="1" applyAlignment="1" applyProtection="1">
      <alignment horizontal="center" shrinkToFit="1"/>
      <protection locked="0"/>
    </xf>
    <xf numFmtId="0" fontId="78" fillId="26" borderId="1" xfId="41" applyFont="1" applyFill="1" applyBorder="1" applyAlignment="1" applyProtection="1">
      <alignment horizontal="left" shrinkToFit="1"/>
      <protection locked="0"/>
    </xf>
    <xf numFmtId="0" fontId="78" fillId="26" borderId="1" xfId="41" applyFont="1" applyFill="1" applyBorder="1" applyAlignment="1" applyProtection="1">
      <alignment horizontal="left" vertical="center" wrapText="1" shrinkToFit="1"/>
      <protection locked="0"/>
    </xf>
    <xf numFmtId="49" fontId="78" fillId="26" borderId="1" xfId="41" applyNumberFormat="1" applyFont="1" applyFill="1" applyBorder="1" applyAlignment="1" applyProtection="1">
      <alignment horizontal="left" vertical="center" shrinkToFit="1"/>
      <protection locked="0"/>
    </xf>
    <xf numFmtId="3" fontId="78" fillId="26" borderId="3" xfId="41" applyNumberFormat="1" applyFont="1" applyFill="1" applyBorder="1" applyAlignment="1" applyProtection="1">
      <alignment horizontal="left" vertical="center" wrapText="1" shrinkToFit="1"/>
      <protection locked="0"/>
    </xf>
    <xf numFmtId="3" fontId="78" fillId="26" borderId="5" xfId="41" applyNumberFormat="1" applyFont="1" applyFill="1" applyBorder="1" applyAlignment="1" applyProtection="1">
      <alignment horizontal="left" vertical="center" wrapText="1" shrinkToFit="1"/>
      <protection locked="0"/>
    </xf>
    <xf numFmtId="3" fontId="78" fillId="26" borderId="4" xfId="41" applyNumberFormat="1" applyFont="1" applyFill="1" applyBorder="1" applyAlignment="1" applyProtection="1">
      <alignment horizontal="left" vertical="center" wrapText="1" shrinkToFit="1"/>
      <protection locked="0"/>
    </xf>
    <xf numFmtId="0" fontId="66" fillId="36" borderId="7" xfId="0" applyFont="1" applyFill="1" applyBorder="1" applyAlignment="1">
      <alignment horizontal="center" vertical="center"/>
    </xf>
    <xf numFmtId="0" fontId="66" fillId="36" borderId="8" xfId="0" applyFont="1" applyFill="1" applyBorder="1" applyAlignment="1">
      <alignment horizontal="center" vertical="center"/>
    </xf>
    <xf numFmtId="164" fontId="66" fillId="36" borderId="6" xfId="1" applyFont="1" applyFill="1" applyBorder="1" applyAlignment="1">
      <alignment horizontal="center" vertical="center"/>
    </xf>
    <xf numFmtId="169" fontId="25" fillId="0" borderId="1" xfId="0" applyNumberFormat="1" applyFont="1" applyBorder="1" applyAlignment="1">
      <alignment horizontal="center" vertical="top"/>
    </xf>
    <xf numFmtId="169" fontId="25" fillId="0" borderId="1" xfId="0" applyNumberFormat="1" applyFont="1" applyBorder="1" applyAlignment="1">
      <alignment horizontal="center" vertical="center"/>
    </xf>
    <xf numFmtId="0" fontId="25" fillId="0" borderId="1" xfId="8" applyNumberFormat="1" applyFont="1" applyBorder="1" applyAlignment="1">
      <alignment horizontal="center" vertical="top" wrapText="1"/>
    </xf>
    <xf numFmtId="0" fontId="83" fillId="48" borderId="1" xfId="0" applyFont="1" applyFill="1" applyBorder="1" applyAlignment="1">
      <alignment horizontal="center" vertical="center" wrapText="1"/>
    </xf>
    <xf numFmtId="0" fontId="83" fillId="0" borderId="1" xfId="0" applyFont="1" applyBorder="1" applyAlignment="1">
      <alignment horizontal="center" vertical="center" wrapText="1"/>
    </xf>
    <xf numFmtId="0" fontId="81" fillId="0" borderId="1" xfId="0" applyFont="1" applyBorder="1" applyAlignment="1">
      <alignment horizontal="center" vertical="center" wrapText="1"/>
    </xf>
    <xf numFmtId="164" fontId="4" fillId="2" borderId="1" xfId="12" applyFont="1" applyFill="1" applyBorder="1" applyAlignment="1">
      <alignment horizontal="center" vertical="top"/>
    </xf>
    <xf numFmtId="4" fontId="64" fillId="0" borderId="0" xfId="0" applyNumberFormat="1" applyFont="1"/>
  </cellXfs>
  <cellStyles count="42">
    <cellStyle name="0,0_x000a__x000a_NA_x000a__x000a_" xfId="3" xr:uid="{00000000-0005-0000-0000-000031000000}"/>
    <cellStyle name="0,0_x000a_NA_x000a_" xfId="4" xr:uid="{00000000-0005-0000-0000-000032000000}"/>
    <cellStyle name="0,0_x000d__x000a_NA_x000d__x000a_" xfId="5" xr:uid="{00000000-0005-0000-0000-000033000000}"/>
    <cellStyle name="Comma" xfId="1" builtinId="3"/>
    <cellStyle name="Comma 10" xfId="36" xr:uid="{4803D92D-62AD-4A04-B87A-E99131FA82C5}"/>
    <cellStyle name="Comma 2" xfId="6" xr:uid="{00000000-0005-0000-0000-000034000000}"/>
    <cellStyle name="Comma 2 2" xfId="7" xr:uid="{00000000-0005-0000-0000-000035000000}"/>
    <cellStyle name="Comma 2 3" xfId="8" xr:uid="{00000000-0005-0000-0000-000036000000}"/>
    <cellStyle name="Comma 2 3 2" xfId="9" xr:uid="{00000000-0005-0000-0000-000037000000}"/>
    <cellStyle name="Comma 2 4 2" xfId="40" xr:uid="{D08B8600-6FA5-4276-B80D-668AB76B390F}"/>
    <cellStyle name="Comma 3" xfId="10" xr:uid="{00000000-0005-0000-0000-000038000000}"/>
    <cellStyle name="Comma 4" xfId="11" xr:uid="{00000000-0005-0000-0000-000039000000}"/>
    <cellStyle name="Comma 5" xfId="12" xr:uid="{00000000-0005-0000-0000-00003A000000}"/>
    <cellStyle name="Comma 6" xfId="13" xr:uid="{00000000-0005-0000-0000-00003B000000}"/>
    <cellStyle name="Comma 7" xfId="14" xr:uid="{00000000-0005-0000-0000-00003C000000}"/>
    <cellStyle name="Comma 8" xfId="15" xr:uid="{00000000-0005-0000-0000-00003D000000}"/>
    <cellStyle name="Comma 8 2" xfId="39" xr:uid="{2C32E2CC-B9C0-4BCC-9598-82A2239D5A66}"/>
    <cellStyle name="Comma 9 2" xfId="34" xr:uid="{00000000-0005-0000-0000-000050000000}"/>
    <cellStyle name="Comma 9 2 2 2" xfId="35" xr:uid="{00000000-0005-0000-0000-000051000000}"/>
    <cellStyle name="Normal" xfId="0" builtinId="0"/>
    <cellStyle name="Normal 2" xfId="16" xr:uid="{00000000-0005-0000-0000-00003E000000}"/>
    <cellStyle name="Normal 2 2" xfId="17" xr:uid="{00000000-0005-0000-0000-00003F000000}"/>
    <cellStyle name="Normal 2 2 2" xfId="18" xr:uid="{00000000-0005-0000-0000-000040000000}"/>
    <cellStyle name="Normal 2 2 2 2" xfId="19" xr:uid="{00000000-0005-0000-0000-000041000000}"/>
    <cellStyle name="Normal 2 2 2 2 2" xfId="38" xr:uid="{9E170CE1-9669-4BE9-941D-26BB569149AF}"/>
    <cellStyle name="Normal 2 2 2 3 2" xfId="29" xr:uid="{00000000-0005-0000-0000-00004B000000}"/>
    <cellStyle name="Normal 2 2 3 2" xfId="32" xr:uid="{00000000-0005-0000-0000-00004E000000}"/>
    <cellStyle name="Normal 3" xfId="20" xr:uid="{00000000-0005-0000-0000-000042000000}"/>
    <cellStyle name="Normal 3 2 2" xfId="31" xr:uid="{00000000-0005-0000-0000-00004D000000}"/>
    <cellStyle name="Normal 3 3" xfId="33" xr:uid="{00000000-0005-0000-0000-00004F000000}"/>
    <cellStyle name="Normal 4" xfId="21" xr:uid="{00000000-0005-0000-0000-000043000000}"/>
    <cellStyle name="Normal 49" xfId="41" xr:uid="{0A44C087-601C-41C5-9EAB-8B2F94AC9C36}"/>
    <cellStyle name="Normal 5" xfId="22" xr:uid="{00000000-0005-0000-0000-000044000000}"/>
    <cellStyle name="Normal 5 2 2" xfId="30" xr:uid="{00000000-0005-0000-0000-00004C000000}"/>
    <cellStyle name="Normal 6" xfId="23" xr:uid="{00000000-0005-0000-0000-000045000000}"/>
    <cellStyle name="Normal 6 2" xfId="24" xr:uid="{00000000-0005-0000-0000-000046000000}"/>
    <cellStyle name="Normal 7 2" xfId="37" xr:uid="{7F4F1080-BD98-4137-BD31-21C020FA25AC}"/>
    <cellStyle name="Normal_Sheet1" xfId="25" xr:uid="{00000000-0005-0000-0000-000047000000}"/>
    <cellStyle name="Percent" xfId="2" builtinId="5"/>
    <cellStyle name="Percent 2" xfId="26" xr:uid="{00000000-0005-0000-0000-000048000000}"/>
    <cellStyle name="Percent 3" xfId="27" xr:uid="{00000000-0005-0000-0000-000049000000}"/>
    <cellStyle name="Style 1" xfId="28" xr:uid="{00000000-0005-0000-0000-00004A000000}"/>
  </cellStyles>
  <dxfs count="0"/>
  <tableStyles count="0" defaultTableStyle="TableStyleMedium2" defaultPivotStyle="PivotStyleLight16"/>
  <colors>
    <mruColors>
      <color rgb="FFFFFF99"/>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970998</xdr:colOff>
      <xdr:row>88</xdr:row>
      <xdr:rowOff>22603</xdr:rowOff>
    </xdr:from>
    <xdr:to>
      <xdr:col>10</xdr:col>
      <xdr:colOff>285210</xdr:colOff>
      <xdr:row>96</xdr:row>
      <xdr:rowOff>79191</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8670925" y="62273815"/>
          <a:ext cx="3467100" cy="2014855"/>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DetEst"/>
      <sheetName val="labour"/>
      <sheetName val="MEASUREMENT SHEET"/>
      <sheetName val="Civil work"/>
      <sheetName val="POP Work"/>
      <sheetName val="Carpentry work"/>
      <sheetName val="Painting work"/>
      <sheetName val="ROLLING SHUTTER AND MS WORK"/>
      <sheetName val="Electric work"/>
      <sheetName val="Data"/>
      <sheetName val="Lead"/>
      <sheetName val="factors"/>
      <sheetName val="GBW"/>
      <sheetName val="Sheet2"/>
      <sheetName val="Fill this out first..."/>
      <sheetName val="Names&amp;Cases"/>
      <sheetName val="Meas.-Hotel Part"/>
      <sheetName val="Wag&amp;Sal"/>
      <sheetName val="seT"/>
      <sheetName val="Item Detail &amp; Play"/>
      <sheetName val="Download DATA"/>
      <sheetName val="civil_ms"/>
      <sheetName val="ms_carp"/>
      <sheetName val="elec_bill"/>
      <sheetName val="External_work"/>
      <sheetName val="external_ms"/>
      <sheetName val="Extra_Civil_work"/>
      <sheetName val="Extra_Civil_Work_Ms"/>
      <sheetName val="Staircase_ms"/>
      <sheetName val="extra_work_elec_bill_"/>
      <sheetName val="electrical_panel_bill_"/>
      <sheetName val="MEASUREMENT_SHEET"/>
      <sheetName val="Civil_work"/>
      <sheetName val="POP_Work"/>
      <sheetName val="Carpentry_work"/>
      <sheetName val="Painting_work"/>
      <sheetName val="ROLLING_SHUTTER_AND_MS_WORK"/>
      <sheetName val="Electric_work"/>
      <sheetName val="Fill_this_out_first___"/>
      <sheetName val="Meas_-Hotel_Part"/>
      <sheetName val="civil_ms1"/>
      <sheetName val="ms_carp1"/>
      <sheetName val="elec_bill1"/>
      <sheetName val="External_work1"/>
      <sheetName val="external_ms1"/>
      <sheetName val="Extra_Civil_work1"/>
      <sheetName val="Extra_Civil_Work_Ms1"/>
      <sheetName val="Staircase_ms1"/>
      <sheetName val="extra_work_elec_bill_1"/>
      <sheetName val="electrical_panel_bill_1"/>
      <sheetName val="MEASUREMENT_SHEET1"/>
      <sheetName val="Civil_work1"/>
      <sheetName val="POP_Work1"/>
      <sheetName val="Carpentry_work1"/>
      <sheetName val="Painting_work1"/>
      <sheetName val="ROLLING_SHUTTER_AND_MS_WORK1"/>
      <sheetName val="Electric_work1"/>
      <sheetName val="Fill_this_out_first___1"/>
      <sheetName val="Meas_-Hotel_Part1"/>
      <sheetName val="civil_ms2"/>
      <sheetName val="ms_carp2"/>
      <sheetName val="elec_bill2"/>
      <sheetName val="External_work2"/>
      <sheetName val="external_ms2"/>
      <sheetName val="Extra_Civil_work2"/>
      <sheetName val="Extra_Civil_Work_Ms2"/>
      <sheetName val="Staircase_ms2"/>
      <sheetName val="extra_work_elec_bill_2"/>
      <sheetName val="electrical_panel_bill_2"/>
      <sheetName val="MEASUREMENT_SHEET2"/>
      <sheetName val="Civil_work2"/>
      <sheetName val="POP_Work2"/>
      <sheetName val="Carpentry_work2"/>
      <sheetName val="Painting_work2"/>
      <sheetName val="ROLLING_SHUTTER_AND_MS_WORK2"/>
      <sheetName val="Electric_work2"/>
      <sheetName val="Fill_this_out_first___2"/>
      <sheetName val="Meas_-Hotel_Part2"/>
      <sheetName val="Item_Detail_&amp;_Play"/>
      <sheetName val="Download_DATA"/>
      <sheetName val="currency"/>
      <sheetName val="SAF"/>
      <sheetName val="civil_ms3"/>
      <sheetName val="ms_carp3"/>
      <sheetName val="elec_bill3"/>
      <sheetName val="External_work3"/>
      <sheetName val="external_ms3"/>
      <sheetName val="Extra_Civil_work3"/>
      <sheetName val="Extra_Civil_Work_Ms3"/>
      <sheetName val="Staircase_ms3"/>
      <sheetName val="extra_work_elec_bill_3"/>
      <sheetName val="electrical_panel_bill_3"/>
      <sheetName val="MEASUREMENT_SHEET3"/>
      <sheetName val="Civil_work3"/>
      <sheetName val="POP_Work3"/>
      <sheetName val="Carpentry_work3"/>
      <sheetName val="Painting_work3"/>
      <sheetName val="ROLLING_SHUTTER_AND_MS_WORK3"/>
      <sheetName val="Electric_work3"/>
      <sheetName val="Fill_this_out_first___3"/>
      <sheetName val="Meas_-Hotel_Part3"/>
      <sheetName val="Item_Detail_&amp;_Play1"/>
      <sheetName val="Download_DATA1"/>
      <sheetName val="final abstract"/>
      <sheetName val="Sheet1"/>
      <sheetName val="Quant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AF96-33EF-4AE9-9C3A-0B42471A29B1}">
  <sheetPr codeName="Sheet1"/>
  <dimension ref="A1:I31"/>
  <sheetViews>
    <sheetView zoomScale="115" workbookViewId="0">
      <selection activeCell="A17" sqref="A17"/>
    </sheetView>
  </sheetViews>
  <sheetFormatPr defaultRowHeight="13.8"/>
  <cols>
    <col min="1" max="1" width="10.44140625" style="369" bestFit="1" customWidth="1"/>
    <col min="2" max="2" width="39.77734375" style="369" bestFit="1" customWidth="1"/>
    <col min="3" max="4" width="13.77734375" style="369" bestFit="1" customWidth="1"/>
    <col min="5" max="5" width="12.5546875" style="369" bestFit="1" customWidth="1"/>
    <col min="6" max="6" width="13.77734375" style="369" bestFit="1" customWidth="1"/>
    <col min="7" max="7" width="12.5546875" style="369" bestFit="1" customWidth="1"/>
    <col min="8" max="8" width="8.88671875" style="369"/>
    <col min="9" max="9" width="12.77734375" style="369" bestFit="1" customWidth="1"/>
    <col min="10" max="16384" width="8.88671875" style="369"/>
  </cols>
  <sheetData>
    <row r="1" spans="1:7">
      <c r="A1" s="521" t="s">
        <v>1623</v>
      </c>
      <c r="B1" s="521"/>
      <c r="C1" s="521"/>
      <c r="D1" s="521"/>
      <c r="E1" s="521"/>
      <c r="F1" s="521"/>
      <c r="G1" s="521"/>
    </row>
    <row r="2" spans="1:7">
      <c r="A2" s="522"/>
      <c r="B2" s="522"/>
      <c r="C2" s="522"/>
      <c r="D2" s="522"/>
      <c r="E2" s="522"/>
      <c r="F2" s="522"/>
      <c r="G2" s="522"/>
    </row>
    <row r="3" spans="1:7">
      <c r="A3" s="488" t="s">
        <v>1614</v>
      </c>
      <c r="B3" s="523" t="s">
        <v>1618</v>
      </c>
      <c r="C3" s="523"/>
      <c r="D3" s="523"/>
      <c r="E3" s="523"/>
      <c r="F3" s="523"/>
      <c r="G3" s="523"/>
    </row>
    <row r="4" spans="1:7">
      <c r="A4" s="488" t="s">
        <v>1615</v>
      </c>
      <c r="B4" s="524" t="s">
        <v>1620</v>
      </c>
      <c r="C4" s="524"/>
      <c r="D4" s="524"/>
      <c r="E4" s="524"/>
      <c r="F4" s="524"/>
      <c r="G4" s="524"/>
    </row>
    <row r="5" spans="1:7">
      <c r="A5" s="488" t="s">
        <v>1616</v>
      </c>
      <c r="B5" s="526" t="s">
        <v>1655</v>
      </c>
      <c r="C5" s="527"/>
      <c r="D5" s="527"/>
      <c r="E5" s="527"/>
      <c r="F5" s="527"/>
      <c r="G5" s="528"/>
    </row>
    <row r="6" spans="1:7">
      <c r="A6" s="488" t="s">
        <v>1617</v>
      </c>
      <c r="B6" s="525" t="s">
        <v>1619</v>
      </c>
      <c r="C6" s="525"/>
      <c r="D6" s="525"/>
      <c r="E6" s="525"/>
      <c r="F6" s="525"/>
      <c r="G6" s="525"/>
    </row>
    <row r="7" spans="1:7">
      <c r="A7" s="488" t="s">
        <v>1622</v>
      </c>
      <c r="B7" s="525" t="s">
        <v>1621</v>
      </c>
      <c r="C7" s="525"/>
      <c r="D7" s="525"/>
      <c r="E7" s="525"/>
      <c r="F7" s="525"/>
      <c r="G7" s="525"/>
    </row>
    <row r="8" spans="1:7">
      <c r="A8" s="519" t="s">
        <v>1567</v>
      </c>
      <c r="B8" s="519"/>
      <c r="C8" s="519"/>
      <c r="D8" s="519"/>
      <c r="E8" s="519"/>
      <c r="F8" s="519"/>
      <c r="G8" s="519"/>
    </row>
    <row r="9" spans="1:7">
      <c r="A9" s="489" t="s">
        <v>10</v>
      </c>
      <c r="B9" s="370" t="s">
        <v>11</v>
      </c>
      <c r="C9" s="489" t="s">
        <v>1568</v>
      </c>
      <c r="D9" s="489" t="s">
        <v>1540</v>
      </c>
      <c r="E9" s="489" t="s">
        <v>1548</v>
      </c>
      <c r="F9" s="489" t="s">
        <v>1569</v>
      </c>
      <c r="G9" s="489" t="s">
        <v>1550</v>
      </c>
    </row>
    <row r="10" spans="1:7">
      <c r="A10" s="490" t="s">
        <v>1</v>
      </c>
      <c r="B10" s="371" t="s">
        <v>1570</v>
      </c>
      <c r="C10" s="496">
        <f>BOQ!$F$200</f>
        <v>1504620</v>
      </c>
      <c r="D10" s="496">
        <f>BOQ!$I$200</f>
        <v>1444213.22</v>
      </c>
      <c r="E10" s="496">
        <f>BOQ!L200</f>
        <v>102419.15</v>
      </c>
      <c r="F10" s="496">
        <f>BOQ!M200</f>
        <v>-162825.93000000002</v>
      </c>
      <c r="G10" s="496">
        <f>BOQ!N200</f>
        <v>-60406.780000000035</v>
      </c>
    </row>
    <row r="11" spans="1:7">
      <c r="A11" s="490" t="s">
        <v>3</v>
      </c>
      <c r="B11" s="371" t="s">
        <v>1571</v>
      </c>
      <c r="C11" s="496">
        <f>BOQ!$F$217</f>
        <v>324120</v>
      </c>
      <c r="D11" s="496">
        <f>BOQ!$I$217</f>
        <v>295074.12</v>
      </c>
      <c r="E11" s="496">
        <f>BOQ!L217</f>
        <v>21427.64</v>
      </c>
      <c r="F11" s="496">
        <f>BOQ!M217</f>
        <v>-50473.52</v>
      </c>
      <c r="G11" s="496">
        <f>BOQ!N217</f>
        <v>-29045.879999999997</v>
      </c>
    </row>
    <row r="12" spans="1:7">
      <c r="A12" s="490" t="s">
        <v>4</v>
      </c>
      <c r="B12" s="371" t="s">
        <v>1572</v>
      </c>
      <c r="C12" s="496">
        <f>BOQ!$F$456</f>
        <v>2147140</v>
      </c>
      <c r="D12" s="496">
        <f>BOQ!$I$456</f>
        <v>1999427.5899999999</v>
      </c>
      <c r="E12" s="496">
        <f>BOQ!L456</f>
        <v>364478.61</v>
      </c>
      <c r="F12" s="496">
        <f>BOQ!M456</f>
        <v>-512191.02</v>
      </c>
      <c r="G12" s="496">
        <f>BOQ!N456</f>
        <v>-147712.41000000006</v>
      </c>
    </row>
    <row r="13" spans="1:7">
      <c r="A13" s="490" t="s">
        <v>5</v>
      </c>
      <c r="B13" s="371" t="s">
        <v>1573</v>
      </c>
      <c r="C13" s="496">
        <f>BOQ!$F$481</f>
        <v>69930</v>
      </c>
      <c r="D13" s="496">
        <f>BOQ!$I$481</f>
        <v>79262</v>
      </c>
      <c r="E13" s="496">
        <f>BOQ!L481</f>
        <v>31362.25</v>
      </c>
      <c r="F13" s="496">
        <f>BOQ!M481</f>
        <v>-22030.25</v>
      </c>
      <c r="G13" s="496">
        <f>BOQ!N481</f>
        <v>9332</v>
      </c>
    </row>
    <row r="14" spans="1:7">
      <c r="A14" s="490" t="s">
        <v>7</v>
      </c>
      <c r="B14" s="371" t="s">
        <v>1574</v>
      </c>
      <c r="C14" s="496">
        <f>BOQ!$F$509</f>
        <v>28800</v>
      </c>
      <c r="D14" s="496">
        <f>BOQ!$I$509</f>
        <v>0</v>
      </c>
      <c r="E14" s="496">
        <f>BOQ!L509</f>
        <v>0</v>
      </c>
      <c r="F14" s="496">
        <f>BOQ!M509</f>
        <v>-28800</v>
      </c>
      <c r="G14" s="496">
        <f>BOQ!N509</f>
        <v>-28800</v>
      </c>
    </row>
    <row r="15" spans="1:7">
      <c r="A15" s="490" t="s">
        <v>8</v>
      </c>
      <c r="B15" s="371" t="s">
        <v>1575</v>
      </c>
      <c r="C15" s="496">
        <f>BOQ!$F$1148</f>
        <v>1106859</v>
      </c>
      <c r="D15" s="496">
        <f>BOQ!$I$1148</f>
        <v>793654.56</v>
      </c>
      <c r="E15" s="496">
        <f>BOQ!L1148</f>
        <v>105439</v>
      </c>
      <c r="F15" s="496">
        <f>BOQ!M1148</f>
        <v>-418643.44</v>
      </c>
      <c r="G15" s="496">
        <f>BOQ!N1148</f>
        <v>-313204.44</v>
      </c>
    </row>
    <row r="16" spans="1:7">
      <c r="A16" s="490" t="s">
        <v>9</v>
      </c>
      <c r="B16" s="371" t="s">
        <v>1576</v>
      </c>
      <c r="C16" s="496">
        <f>BOQ!$F$1163</f>
        <v>0</v>
      </c>
      <c r="D16" s="496">
        <f>BOQ!$I$1163</f>
        <v>162810.6</v>
      </c>
      <c r="E16" s="496">
        <f>BOQ!L1163</f>
        <v>162810.6</v>
      </c>
      <c r="F16" s="496">
        <f>BOQ!M1163</f>
        <v>0</v>
      </c>
      <c r="G16" s="496">
        <f>BOQ!N1163</f>
        <v>162810.6</v>
      </c>
    </row>
    <row r="17" spans="1:9">
      <c r="A17" s="491" t="s">
        <v>1577</v>
      </c>
      <c r="B17" s="373" t="s">
        <v>1578</v>
      </c>
      <c r="C17" s="497">
        <f>SUM(C10:C16)</f>
        <v>5181469</v>
      </c>
      <c r="D17" s="497">
        <f>SUM(D10:D16)</f>
        <v>4774442.09</v>
      </c>
      <c r="E17" s="497">
        <f>SUM(E10:E16)</f>
        <v>787937.24999999988</v>
      </c>
      <c r="F17" s="497">
        <f>SUM(F10:F16)</f>
        <v>-1194964.1599999999</v>
      </c>
      <c r="G17" s="497">
        <f>SUM(G10:G16)</f>
        <v>-407026.91000000015</v>
      </c>
      <c r="I17" s="372"/>
    </row>
    <row r="18" spans="1:9">
      <c r="A18" s="520" t="s">
        <v>1579</v>
      </c>
      <c r="B18" s="520" t="s">
        <v>1580</v>
      </c>
      <c r="C18" s="520"/>
      <c r="D18" s="382"/>
      <c r="E18" s="375"/>
      <c r="F18" s="375"/>
      <c r="G18" s="378"/>
    </row>
    <row r="19" spans="1:9">
      <c r="A19" s="374"/>
      <c r="B19" s="376" t="s">
        <v>1589</v>
      </c>
      <c r="C19" s="377"/>
      <c r="D19" s="382"/>
      <c r="E19" s="378"/>
      <c r="F19" s="378"/>
      <c r="G19" s="378"/>
    </row>
    <row r="20" spans="1:9">
      <c r="A20" s="492" t="s">
        <v>1581</v>
      </c>
      <c r="B20" s="379" t="s">
        <v>1582</v>
      </c>
      <c r="C20" s="498">
        <f>C17*9%</f>
        <v>466332.20999999996</v>
      </c>
      <c r="D20" s="498">
        <f>D17*9%</f>
        <v>429699.78809999995</v>
      </c>
      <c r="E20" s="498">
        <f t="shared" ref="E20:G20" si="0">E17*9%</f>
        <v>70914.352499999994</v>
      </c>
      <c r="F20" s="498">
        <f t="shared" si="0"/>
        <v>-107546.77439999999</v>
      </c>
      <c r="G20" s="498">
        <f t="shared" si="0"/>
        <v>-36632.421900000008</v>
      </c>
    </row>
    <row r="21" spans="1:9">
      <c r="A21" s="492" t="s">
        <v>1583</v>
      </c>
      <c r="B21" s="379" t="s">
        <v>1584</v>
      </c>
      <c r="C21" s="498">
        <f>C17*9%</f>
        <v>466332.20999999996</v>
      </c>
      <c r="D21" s="498">
        <f>D17*9%</f>
        <v>429699.78809999995</v>
      </c>
      <c r="E21" s="498">
        <f t="shared" ref="E21:G21" si="1">E17*9%</f>
        <v>70914.352499999994</v>
      </c>
      <c r="F21" s="498">
        <f t="shared" si="1"/>
        <v>-107546.77439999999</v>
      </c>
      <c r="G21" s="498">
        <f t="shared" si="1"/>
        <v>-36632.421900000008</v>
      </c>
      <c r="I21" s="380"/>
    </row>
    <row r="22" spans="1:9">
      <c r="A22" s="492" t="s">
        <v>1585</v>
      </c>
      <c r="B22" s="381"/>
      <c r="C22" s="499"/>
      <c r="D22" s="500"/>
      <c r="E22" s="501"/>
      <c r="F22" s="501"/>
      <c r="G22" s="501"/>
    </row>
    <row r="23" spans="1:9">
      <c r="A23" s="493"/>
      <c r="B23" s="381"/>
      <c r="C23" s="499"/>
      <c r="D23" s="500"/>
      <c r="E23" s="501"/>
      <c r="F23" s="501"/>
      <c r="G23" s="501"/>
    </row>
    <row r="24" spans="1:9">
      <c r="A24" s="491" t="s">
        <v>1586</v>
      </c>
      <c r="B24" s="373" t="s">
        <v>1550</v>
      </c>
      <c r="C24" s="497">
        <f>SUM(C19:C23)</f>
        <v>932664.41999999993</v>
      </c>
      <c r="D24" s="497">
        <f>SUM(D19:D23)</f>
        <v>859399.57619999989</v>
      </c>
      <c r="E24" s="497">
        <f>SUM(E20:E23)</f>
        <v>141828.70499999999</v>
      </c>
      <c r="F24" s="497">
        <f>SUM(F19:F23)</f>
        <v>-215093.54879999999</v>
      </c>
      <c r="G24" s="497">
        <f>SUM(G19:G23)</f>
        <v>-73264.843800000017</v>
      </c>
    </row>
    <row r="25" spans="1:9">
      <c r="A25" s="494"/>
      <c r="B25" s="382"/>
      <c r="C25" s="500"/>
      <c r="D25" s="500"/>
      <c r="E25" s="501"/>
      <c r="F25" s="501"/>
      <c r="G25" s="501"/>
    </row>
    <row r="26" spans="1:9">
      <c r="A26" s="495" t="s">
        <v>1587</v>
      </c>
      <c r="B26" s="383" t="s">
        <v>1588</v>
      </c>
      <c r="C26" s="502">
        <f>C17+C24</f>
        <v>6114133.4199999999</v>
      </c>
      <c r="D26" s="503">
        <f>D17+D24</f>
        <v>5633841.6661999999</v>
      </c>
      <c r="E26" s="497">
        <f>SUM(E19:E25)</f>
        <v>283657.40999999997</v>
      </c>
      <c r="F26" s="497">
        <f>SUM(F19:F25)</f>
        <v>-430187.09759999998</v>
      </c>
      <c r="G26" s="497">
        <f>SUM(G19:G25)</f>
        <v>-146529.68760000003</v>
      </c>
    </row>
    <row r="31" spans="1:9">
      <c r="E31" s="372"/>
    </row>
  </sheetData>
  <mergeCells count="9">
    <mergeCell ref="A8:G8"/>
    <mergeCell ref="A18:C18"/>
    <mergeCell ref="A1:G1"/>
    <mergeCell ref="A2:G2"/>
    <mergeCell ref="B3:G3"/>
    <mergeCell ref="B4:G4"/>
    <mergeCell ref="B6:G6"/>
    <mergeCell ref="B5:G5"/>
    <mergeCell ref="B7:G7"/>
  </mergeCells>
  <dataValidations count="1">
    <dataValidation operator="equal" showDropDown="1" promptTitle="HDFC Bank Ltd." sqref="A1" xr:uid="{18471EE1-F4AF-4CB9-BEAB-B7C78DEB2FF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89410-F772-4AC5-A871-CFD2F5BABDFF}">
  <dimension ref="A1:I1568"/>
  <sheetViews>
    <sheetView workbookViewId="0"/>
  </sheetViews>
  <sheetFormatPr defaultRowHeight="14.4"/>
  <cols>
    <col min="1" max="1" width="7.6640625" bestFit="1" customWidth="1"/>
    <col min="2" max="3" width="32.88671875" bestFit="1" customWidth="1"/>
    <col min="4" max="4" width="255.77734375" bestFit="1" customWidth="1"/>
    <col min="5" max="5" width="7" bestFit="1" customWidth="1"/>
    <col min="6" max="6" width="15" bestFit="1" customWidth="1"/>
    <col min="7" max="7" width="19" bestFit="1" customWidth="1"/>
    <col min="8" max="8" width="14.33203125" bestFit="1" customWidth="1"/>
    <col min="9" max="9" width="18.77734375" bestFit="1" customWidth="1"/>
  </cols>
  <sheetData>
    <row r="1" spans="1:9" s="516" customFormat="1">
      <c r="A1" s="516" t="s">
        <v>1907</v>
      </c>
      <c r="B1" s="516" t="s">
        <v>1908</v>
      </c>
      <c r="C1" s="516" t="s">
        <v>1909</v>
      </c>
      <c r="D1" s="516" t="s">
        <v>11</v>
      </c>
      <c r="E1" s="516" t="s">
        <v>1544</v>
      </c>
      <c r="F1" s="516" t="s">
        <v>1656</v>
      </c>
      <c r="G1" s="516" t="s">
        <v>1910</v>
      </c>
      <c r="H1" s="516" t="s">
        <v>1911</v>
      </c>
      <c r="I1" s="516" t="s">
        <v>1543</v>
      </c>
    </row>
    <row r="2" spans="1:9">
      <c r="A2" t="s">
        <v>10</v>
      </c>
      <c r="B2" t="s">
        <v>1912</v>
      </c>
      <c r="C2" t="s">
        <v>1913</v>
      </c>
      <c r="D2" t="s">
        <v>11</v>
      </c>
      <c r="E2">
        <v>0</v>
      </c>
      <c r="F2">
        <v>0</v>
      </c>
      <c r="G2">
        <v>0</v>
      </c>
      <c r="H2">
        <v>0</v>
      </c>
      <c r="I2" t="s">
        <v>1543</v>
      </c>
    </row>
    <row r="3" spans="1:9">
      <c r="A3" t="s">
        <v>1</v>
      </c>
      <c r="B3" t="s">
        <v>1912</v>
      </c>
      <c r="C3" t="s">
        <v>1913</v>
      </c>
      <c r="D3" t="s">
        <v>2</v>
      </c>
      <c r="E3">
        <v>0</v>
      </c>
      <c r="F3">
        <v>0</v>
      </c>
      <c r="G3">
        <v>0</v>
      </c>
      <c r="H3">
        <v>0</v>
      </c>
    </row>
    <row r="4" spans="1:9">
      <c r="A4">
        <v>1</v>
      </c>
      <c r="B4" t="s">
        <v>1912</v>
      </c>
      <c r="C4" t="s">
        <v>1913</v>
      </c>
      <c r="D4" t="s">
        <v>13</v>
      </c>
      <c r="E4">
        <v>0</v>
      </c>
      <c r="F4">
        <v>0</v>
      </c>
      <c r="G4">
        <v>0</v>
      </c>
      <c r="H4">
        <v>0</v>
      </c>
    </row>
    <row r="5" spans="1:9">
      <c r="A5" t="s">
        <v>14</v>
      </c>
      <c r="B5" t="s">
        <v>1912</v>
      </c>
      <c r="C5" t="s">
        <v>1913</v>
      </c>
      <c r="D5" t="s">
        <v>15</v>
      </c>
      <c r="E5">
        <v>0</v>
      </c>
      <c r="F5">
        <v>0</v>
      </c>
      <c r="G5">
        <v>0</v>
      </c>
      <c r="H5">
        <v>0</v>
      </c>
    </row>
    <row r="6" spans="1:9">
      <c r="A6" t="s">
        <v>16</v>
      </c>
      <c r="B6" t="s">
        <v>1912</v>
      </c>
      <c r="C6" t="s">
        <v>1913</v>
      </c>
      <c r="D6" t="s">
        <v>17</v>
      </c>
      <c r="E6">
        <v>12</v>
      </c>
      <c r="F6">
        <v>0</v>
      </c>
      <c r="G6">
        <v>0</v>
      </c>
      <c r="H6">
        <v>0</v>
      </c>
      <c r="I6" t="s">
        <v>18</v>
      </c>
    </row>
    <row r="7" spans="1:9">
      <c r="A7" t="s">
        <v>19</v>
      </c>
      <c r="B7" t="s">
        <v>1914</v>
      </c>
      <c r="C7" t="s">
        <v>1739</v>
      </c>
      <c r="D7" t="s">
        <v>20</v>
      </c>
      <c r="E7">
        <v>11</v>
      </c>
      <c r="F7">
        <v>932.39</v>
      </c>
      <c r="G7">
        <v>10256.290000000001</v>
      </c>
      <c r="H7">
        <v>4.5</v>
      </c>
      <c r="I7" t="s">
        <v>18</v>
      </c>
    </row>
    <row r="8" spans="1:9">
      <c r="A8" t="s">
        <v>21</v>
      </c>
      <c r="B8" t="s">
        <v>149</v>
      </c>
      <c r="C8" t="s">
        <v>148</v>
      </c>
      <c r="D8" t="s">
        <v>22</v>
      </c>
      <c r="E8">
        <v>11</v>
      </c>
      <c r="F8">
        <v>459.73</v>
      </c>
      <c r="G8">
        <v>5057.03</v>
      </c>
      <c r="H8">
        <v>2.2200000000000002</v>
      </c>
      <c r="I8" t="s">
        <v>18</v>
      </c>
    </row>
    <row r="9" spans="1:9">
      <c r="A9" t="s">
        <v>23</v>
      </c>
      <c r="B9" t="s">
        <v>6</v>
      </c>
      <c r="C9" t="s">
        <v>6</v>
      </c>
      <c r="D9" t="s">
        <v>24</v>
      </c>
      <c r="E9">
        <v>16</v>
      </c>
      <c r="F9">
        <v>540.83000000000004</v>
      </c>
      <c r="G9">
        <v>8653.2800000000007</v>
      </c>
      <c r="H9">
        <v>3.8</v>
      </c>
      <c r="I9" t="s">
        <v>18</v>
      </c>
    </row>
    <row r="10" spans="1:9">
      <c r="A10" t="s">
        <v>25</v>
      </c>
      <c r="B10" t="s">
        <v>289</v>
      </c>
      <c r="C10" t="s">
        <v>289</v>
      </c>
      <c r="D10" t="s">
        <v>26</v>
      </c>
      <c r="E10">
        <v>381</v>
      </c>
      <c r="F10">
        <v>16</v>
      </c>
      <c r="G10">
        <v>6096</v>
      </c>
      <c r="H10">
        <v>2.67</v>
      </c>
      <c r="I10" t="s">
        <v>27</v>
      </c>
    </row>
    <row r="11" spans="1:9">
      <c r="A11" t="s">
        <v>28</v>
      </c>
      <c r="B11" t="s">
        <v>301</v>
      </c>
      <c r="C11" t="s">
        <v>301</v>
      </c>
      <c r="D11" t="s">
        <v>29</v>
      </c>
      <c r="E11">
        <v>1199</v>
      </c>
      <c r="F11">
        <v>0</v>
      </c>
      <c r="G11">
        <v>0</v>
      </c>
      <c r="H11">
        <v>0</v>
      </c>
      <c r="I11" t="s">
        <v>27</v>
      </c>
    </row>
    <row r="12" spans="1:9">
      <c r="A12" t="s">
        <v>30</v>
      </c>
      <c r="B12" t="s">
        <v>301</v>
      </c>
      <c r="C12" t="s">
        <v>301</v>
      </c>
      <c r="D12" t="s">
        <v>31</v>
      </c>
      <c r="E12">
        <v>11</v>
      </c>
      <c r="F12">
        <v>0</v>
      </c>
      <c r="G12">
        <v>0</v>
      </c>
      <c r="H12">
        <v>0</v>
      </c>
      <c r="I12" t="s">
        <v>18</v>
      </c>
    </row>
    <row r="13" spans="1:9">
      <c r="A13" t="s">
        <v>32</v>
      </c>
      <c r="B13" t="s">
        <v>301</v>
      </c>
      <c r="C13" t="s">
        <v>301</v>
      </c>
      <c r="D13" t="s">
        <v>33</v>
      </c>
      <c r="E13">
        <v>3</v>
      </c>
      <c r="F13">
        <v>0</v>
      </c>
      <c r="G13">
        <v>0</v>
      </c>
      <c r="H13">
        <v>0</v>
      </c>
      <c r="I13" t="s">
        <v>18</v>
      </c>
    </row>
    <row r="14" spans="1:9">
      <c r="A14" t="s">
        <v>272</v>
      </c>
      <c r="B14" t="s">
        <v>301</v>
      </c>
      <c r="C14" t="s">
        <v>301</v>
      </c>
      <c r="D14" t="s">
        <v>35</v>
      </c>
      <c r="E14">
        <v>10</v>
      </c>
      <c r="F14">
        <v>0</v>
      </c>
      <c r="G14">
        <v>0</v>
      </c>
      <c r="H14">
        <v>0</v>
      </c>
      <c r="I14" t="s">
        <v>18</v>
      </c>
    </row>
    <row r="15" spans="1:9">
      <c r="A15" t="s">
        <v>36</v>
      </c>
      <c r="B15" t="s">
        <v>301</v>
      </c>
      <c r="C15" t="s">
        <v>301</v>
      </c>
      <c r="D15" t="s">
        <v>37</v>
      </c>
      <c r="E15">
        <v>11</v>
      </c>
      <c r="F15">
        <v>0</v>
      </c>
      <c r="G15">
        <v>0</v>
      </c>
      <c r="H15">
        <v>0</v>
      </c>
      <c r="I15" t="s">
        <v>18</v>
      </c>
    </row>
    <row r="16" spans="1:9">
      <c r="A16" t="s">
        <v>38</v>
      </c>
      <c r="B16" t="s">
        <v>301</v>
      </c>
      <c r="C16" t="s">
        <v>301</v>
      </c>
      <c r="D16" t="s">
        <v>39</v>
      </c>
      <c r="E16">
        <v>487</v>
      </c>
      <c r="F16">
        <v>0</v>
      </c>
      <c r="G16">
        <v>0</v>
      </c>
      <c r="H16">
        <v>0</v>
      </c>
      <c r="I16" t="s">
        <v>27</v>
      </c>
    </row>
    <row r="17" spans="1:9">
      <c r="A17" t="s">
        <v>40</v>
      </c>
      <c r="B17" t="s">
        <v>301</v>
      </c>
      <c r="C17" t="s">
        <v>301</v>
      </c>
      <c r="D17" t="s">
        <v>41</v>
      </c>
      <c r="E17">
        <v>84</v>
      </c>
      <c r="F17">
        <v>2</v>
      </c>
      <c r="G17">
        <v>168</v>
      </c>
      <c r="H17">
        <v>7.0000000000000007E-2</v>
      </c>
      <c r="I17" t="s">
        <v>18</v>
      </c>
    </row>
    <row r="18" spans="1:9">
      <c r="A18">
        <v>2</v>
      </c>
      <c r="B18" t="s">
        <v>301</v>
      </c>
      <c r="C18" t="s">
        <v>301</v>
      </c>
      <c r="D18" t="s">
        <v>42</v>
      </c>
      <c r="E18">
        <v>0</v>
      </c>
      <c r="F18">
        <v>0</v>
      </c>
      <c r="G18">
        <v>0</v>
      </c>
      <c r="H18">
        <v>0</v>
      </c>
    </row>
    <row r="19" spans="1:9">
      <c r="A19" t="s">
        <v>14</v>
      </c>
      <c r="B19" t="s">
        <v>301</v>
      </c>
      <c r="C19" t="s">
        <v>301</v>
      </c>
      <c r="D19" t="s">
        <v>43</v>
      </c>
      <c r="E19">
        <v>114</v>
      </c>
      <c r="F19">
        <v>0</v>
      </c>
      <c r="G19">
        <v>0</v>
      </c>
      <c r="H19">
        <v>0</v>
      </c>
      <c r="I19" t="s">
        <v>18</v>
      </c>
    </row>
    <row r="20" spans="1:9">
      <c r="A20" t="s">
        <v>44</v>
      </c>
      <c r="B20" t="s">
        <v>301</v>
      </c>
      <c r="C20" t="s">
        <v>301</v>
      </c>
      <c r="D20" t="s">
        <v>45</v>
      </c>
      <c r="E20">
        <v>150</v>
      </c>
      <c r="F20">
        <v>0</v>
      </c>
      <c r="G20">
        <v>0</v>
      </c>
      <c r="H20">
        <v>0</v>
      </c>
      <c r="I20" t="s">
        <v>18</v>
      </c>
    </row>
    <row r="21" spans="1:9">
      <c r="A21" t="s">
        <v>46</v>
      </c>
      <c r="B21" t="s">
        <v>301</v>
      </c>
      <c r="C21" t="s">
        <v>301</v>
      </c>
      <c r="D21" t="s">
        <v>1657</v>
      </c>
      <c r="E21">
        <v>124</v>
      </c>
      <c r="F21">
        <v>0</v>
      </c>
      <c r="G21">
        <v>0</v>
      </c>
      <c r="H21">
        <v>0</v>
      </c>
      <c r="I21" t="s">
        <v>18</v>
      </c>
    </row>
    <row r="22" spans="1:9">
      <c r="A22" t="s">
        <v>47</v>
      </c>
      <c r="B22" t="s">
        <v>301</v>
      </c>
      <c r="C22" t="s">
        <v>301</v>
      </c>
      <c r="D22" t="s">
        <v>1658</v>
      </c>
      <c r="E22">
        <v>129</v>
      </c>
      <c r="F22">
        <v>851.4</v>
      </c>
      <c r="G22">
        <v>109830.6</v>
      </c>
      <c r="H22">
        <v>48.17</v>
      </c>
      <c r="I22" t="s">
        <v>18</v>
      </c>
    </row>
    <row r="23" spans="1:9">
      <c r="A23">
        <v>3</v>
      </c>
      <c r="B23" t="s">
        <v>301</v>
      </c>
      <c r="C23" t="s">
        <v>301</v>
      </c>
      <c r="D23" t="s">
        <v>48</v>
      </c>
      <c r="E23">
        <v>0</v>
      </c>
      <c r="F23">
        <v>0</v>
      </c>
      <c r="G23">
        <v>0</v>
      </c>
      <c r="H23">
        <v>0</v>
      </c>
    </row>
    <row r="24" spans="1:9">
      <c r="A24" t="s">
        <v>14</v>
      </c>
      <c r="B24" t="s">
        <v>301</v>
      </c>
      <c r="C24" t="s">
        <v>301</v>
      </c>
      <c r="D24" t="s">
        <v>1659</v>
      </c>
      <c r="E24">
        <v>444</v>
      </c>
      <c r="F24">
        <v>0</v>
      </c>
      <c r="G24">
        <v>0</v>
      </c>
      <c r="H24">
        <v>0</v>
      </c>
      <c r="I24" t="s">
        <v>18</v>
      </c>
    </row>
    <row r="25" spans="1:9">
      <c r="A25" t="s">
        <v>44</v>
      </c>
      <c r="B25" t="s">
        <v>301</v>
      </c>
      <c r="C25" t="s">
        <v>301</v>
      </c>
      <c r="D25" t="s">
        <v>1660</v>
      </c>
      <c r="E25">
        <v>699</v>
      </c>
      <c r="F25">
        <v>0</v>
      </c>
      <c r="G25">
        <v>0</v>
      </c>
      <c r="H25">
        <v>0</v>
      </c>
      <c r="I25" t="s">
        <v>18</v>
      </c>
    </row>
    <row r="26" spans="1:9">
      <c r="A26" t="s">
        <v>46</v>
      </c>
      <c r="B26" t="s">
        <v>301</v>
      </c>
      <c r="C26" t="s">
        <v>301</v>
      </c>
      <c r="D26" t="s">
        <v>49</v>
      </c>
      <c r="E26">
        <v>198</v>
      </c>
      <c r="F26">
        <v>0</v>
      </c>
      <c r="G26">
        <v>0</v>
      </c>
      <c r="H26">
        <v>0</v>
      </c>
      <c r="I26" t="s">
        <v>18</v>
      </c>
    </row>
    <row r="27" spans="1:9">
      <c r="A27" t="s">
        <v>47</v>
      </c>
      <c r="B27" t="s">
        <v>301</v>
      </c>
      <c r="C27" t="s">
        <v>301</v>
      </c>
      <c r="D27" t="s">
        <v>1661</v>
      </c>
      <c r="E27">
        <v>330</v>
      </c>
      <c r="F27">
        <v>0</v>
      </c>
      <c r="G27">
        <v>0</v>
      </c>
      <c r="H27">
        <v>0</v>
      </c>
      <c r="I27" t="s">
        <v>18</v>
      </c>
    </row>
    <row r="28" spans="1:9">
      <c r="A28" t="s">
        <v>50</v>
      </c>
      <c r="B28" t="s">
        <v>301</v>
      </c>
      <c r="C28" t="s">
        <v>301</v>
      </c>
      <c r="D28" t="s">
        <v>51</v>
      </c>
      <c r="E28">
        <v>336</v>
      </c>
      <c r="F28">
        <v>0</v>
      </c>
      <c r="G28">
        <v>0</v>
      </c>
      <c r="H28">
        <v>0</v>
      </c>
      <c r="I28" t="s">
        <v>18</v>
      </c>
    </row>
    <row r="29" spans="1:9">
      <c r="A29" t="s">
        <v>52</v>
      </c>
      <c r="B29" t="s">
        <v>301</v>
      </c>
      <c r="C29" t="s">
        <v>301</v>
      </c>
      <c r="D29" t="s">
        <v>1662</v>
      </c>
      <c r="E29">
        <v>453</v>
      </c>
      <c r="F29">
        <v>0</v>
      </c>
      <c r="G29">
        <v>0</v>
      </c>
      <c r="H29">
        <v>0</v>
      </c>
      <c r="I29" t="s">
        <v>18</v>
      </c>
    </row>
    <row r="30" spans="1:9">
      <c r="A30" t="s">
        <v>53</v>
      </c>
      <c r="B30" t="s">
        <v>301</v>
      </c>
      <c r="C30" t="s">
        <v>301</v>
      </c>
      <c r="D30" t="s">
        <v>54</v>
      </c>
      <c r="E30">
        <v>129</v>
      </c>
      <c r="F30">
        <v>0</v>
      </c>
      <c r="G30">
        <v>0</v>
      </c>
      <c r="H30">
        <v>0</v>
      </c>
      <c r="I30" t="s">
        <v>18</v>
      </c>
    </row>
    <row r="31" spans="1:9">
      <c r="A31" t="s">
        <v>16</v>
      </c>
      <c r="B31" t="s">
        <v>301</v>
      </c>
      <c r="C31" t="s">
        <v>301</v>
      </c>
      <c r="D31" t="s">
        <v>1663</v>
      </c>
      <c r="E31">
        <v>389</v>
      </c>
      <c r="F31">
        <v>0</v>
      </c>
      <c r="G31">
        <v>0</v>
      </c>
      <c r="H31">
        <v>0</v>
      </c>
      <c r="I31" t="s">
        <v>18</v>
      </c>
    </row>
    <row r="32" spans="1:9">
      <c r="A32" t="s">
        <v>55</v>
      </c>
      <c r="B32" t="s">
        <v>301</v>
      </c>
      <c r="C32" t="s">
        <v>301</v>
      </c>
      <c r="D32" t="s">
        <v>56</v>
      </c>
      <c r="E32">
        <v>468</v>
      </c>
      <c r="F32">
        <v>0</v>
      </c>
      <c r="G32">
        <v>0</v>
      </c>
      <c r="H32">
        <v>0</v>
      </c>
      <c r="I32" t="s">
        <v>18</v>
      </c>
    </row>
    <row r="33" spans="1:9">
      <c r="A33" t="s">
        <v>57</v>
      </c>
      <c r="B33" t="s">
        <v>301</v>
      </c>
      <c r="C33" t="s">
        <v>301</v>
      </c>
      <c r="D33" t="s">
        <v>58</v>
      </c>
      <c r="E33">
        <v>8559</v>
      </c>
      <c r="F33">
        <v>0</v>
      </c>
      <c r="G33">
        <v>0</v>
      </c>
      <c r="H33">
        <v>0</v>
      </c>
      <c r="I33" t="s">
        <v>59</v>
      </c>
    </row>
    <row r="34" spans="1:9">
      <c r="A34" t="s">
        <v>60</v>
      </c>
      <c r="B34" t="s">
        <v>301</v>
      </c>
      <c r="C34" t="s">
        <v>301</v>
      </c>
      <c r="D34" t="s">
        <v>61</v>
      </c>
      <c r="E34">
        <v>5720</v>
      </c>
      <c r="F34">
        <v>0</v>
      </c>
      <c r="G34">
        <v>0</v>
      </c>
      <c r="H34">
        <v>0</v>
      </c>
      <c r="I34" t="s">
        <v>59</v>
      </c>
    </row>
    <row r="35" spans="1:9">
      <c r="A35">
        <v>4</v>
      </c>
      <c r="B35" t="s">
        <v>301</v>
      </c>
      <c r="C35" t="s">
        <v>301</v>
      </c>
      <c r="D35" t="s">
        <v>62</v>
      </c>
      <c r="E35">
        <v>0</v>
      </c>
      <c r="F35">
        <v>0</v>
      </c>
      <c r="G35">
        <v>0</v>
      </c>
      <c r="H35">
        <v>0</v>
      </c>
    </row>
    <row r="36" spans="1:9">
      <c r="A36" t="s">
        <v>14</v>
      </c>
      <c r="B36" t="s">
        <v>301</v>
      </c>
      <c r="C36" t="s">
        <v>301</v>
      </c>
      <c r="D36" t="s">
        <v>1664</v>
      </c>
      <c r="E36">
        <v>46</v>
      </c>
      <c r="F36">
        <v>2317.13</v>
      </c>
      <c r="G36">
        <v>106587.98</v>
      </c>
      <c r="H36">
        <v>46.75</v>
      </c>
      <c r="I36" t="s">
        <v>18</v>
      </c>
    </row>
    <row r="37" spans="1:9">
      <c r="A37" t="s">
        <v>44</v>
      </c>
      <c r="B37" t="s">
        <v>301</v>
      </c>
      <c r="C37" t="s">
        <v>301</v>
      </c>
      <c r="D37" t="s">
        <v>1665</v>
      </c>
      <c r="E37">
        <v>62</v>
      </c>
      <c r="F37">
        <v>0</v>
      </c>
      <c r="G37">
        <v>0</v>
      </c>
      <c r="H37">
        <v>0</v>
      </c>
      <c r="I37" t="s">
        <v>18</v>
      </c>
    </row>
    <row r="38" spans="1:9">
      <c r="A38">
        <v>5</v>
      </c>
      <c r="B38" t="s">
        <v>301</v>
      </c>
      <c r="C38" t="s">
        <v>301</v>
      </c>
      <c r="D38" t="s">
        <v>63</v>
      </c>
      <c r="E38">
        <v>0</v>
      </c>
      <c r="F38">
        <v>0</v>
      </c>
      <c r="G38">
        <v>0</v>
      </c>
      <c r="H38">
        <v>0</v>
      </c>
    </row>
    <row r="39" spans="1:9">
      <c r="A39" t="s">
        <v>14</v>
      </c>
      <c r="B39" t="s">
        <v>301</v>
      </c>
      <c r="C39" t="s">
        <v>301</v>
      </c>
      <c r="D39" t="s">
        <v>64</v>
      </c>
      <c r="E39">
        <v>45</v>
      </c>
      <c r="F39">
        <v>285.08</v>
      </c>
      <c r="G39">
        <v>12828.6</v>
      </c>
      <c r="H39">
        <v>5.63</v>
      </c>
      <c r="I39" t="s">
        <v>18</v>
      </c>
    </row>
    <row r="40" spans="1:9">
      <c r="A40">
        <v>6</v>
      </c>
      <c r="B40" t="s">
        <v>301</v>
      </c>
      <c r="C40" t="s">
        <v>301</v>
      </c>
      <c r="D40" t="s">
        <v>65</v>
      </c>
      <c r="E40">
        <v>0</v>
      </c>
      <c r="F40">
        <v>0</v>
      </c>
      <c r="G40">
        <v>0</v>
      </c>
      <c r="H40">
        <v>0</v>
      </c>
    </row>
    <row r="41" spans="1:9">
      <c r="A41" t="s">
        <v>14</v>
      </c>
      <c r="B41" t="s">
        <v>301</v>
      </c>
      <c r="C41" t="s">
        <v>301</v>
      </c>
      <c r="D41" t="s">
        <v>66</v>
      </c>
      <c r="E41">
        <v>88</v>
      </c>
      <c r="F41">
        <v>109.28</v>
      </c>
      <c r="G41">
        <v>9616.64</v>
      </c>
      <c r="H41">
        <v>4.22</v>
      </c>
      <c r="I41" t="s">
        <v>18</v>
      </c>
    </row>
    <row r="42" spans="1:9">
      <c r="A42">
        <v>7</v>
      </c>
      <c r="B42" t="s">
        <v>301</v>
      </c>
      <c r="C42" t="s">
        <v>301</v>
      </c>
      <c r="D42" t="s">
        <v>67</v>
      </c>
      <c r="E42">
        <v>0</v>
      </c>
      <c r="F42">
        <v>0</v>
      </c>
      <c r="G42">
        <v>0</v>
      </c>
      <c r="H42">
        <v>0</v>
      </c>
    </row>
    <row r="43" spans="1:9">
      <c r="A43" t="s">
        <v>14</v>
      </c>
      <c r="B43" t="s">
        <v>301</v>
      </c>
      <c r="C43" t="s">
        <v>301</v>
      </c>
      <c r="D43" t="s">
        <v>1666</v>
      </c>
      <c r="E43">
        <v>50</v>
      </c>
      <c r="F43">
        <v>534.5</v>
      </c>
      <c r="G43">
        <v>26725</v>
      </c>
      <c r="H43">
        <v>11.72</v>
      </c>
      <c r="I43" t="s">
        <v>18</v>
      </c>
    </row>
    <row r="44" spans="1:9">
      <c r="A44" t="s">
        <v>44</v>
      </c>
      <c r="B44" t="s">
        <v>301</v>
      </c>
      <c r="C44" t="s">
        <v>301</v>
      </c>
      <c r="D44" t="s">
        <v>68</v>
      </c>
      <c r="E44">
        <v>105</v>
      </c>
      <c r="F44">
        <v>0</v>
      </c>
      <c r="G44">
        <v>0</v>
      </c>
      <c r="H44">
        <v>0</v>
      </c>
      <c r="I44" t="s">
        <v>18</v>
      </c>
    </row>
    <row r="45" spans="1:9">
      <c r="A45" t="s">
        <v>46</v>
      </c>
      <c r="B45" t="s">
        <v>301</v>
      </c>
      <c r="C45" t="s">
        <v>301</v>
      </c>
      <c r="D45" t="s">
        <v>1667</v>
      </c>
      <c r="E45">
        <v>72</v>
      </c>
      <c r="F45">
        <v>0</v>
      </c>
      <c r="G45">
        <v>0</v>
      </c>
      <c r="H45">
        <v>0</v>
      </c>
      <c r="I45" t="s">
        <v>18</v>
      </c>
    </row>
    <row r="46" spans="1:9">
      <c r="A46" t="s">
        <v>47</v>
      </c>
      <c r="B46" t="s">
        <v>301</v>
      </c>
      <c r="C46" t="s">
        <v>301</v>
      </c>
      <c r="D46" t="s">
        <v>1668</v>
      </c>
      <c r="E46">
        <v>139</v>
      </c>
      <c r="F46">
        <v>0</v>
      </c>
      <c r="G46">
        <v>0</v>
      </c>
      <c r="H46">
        <v>0</v>
      </c>
      <c r="I46" t="s">
        <v>18</v>
      </c>
    </row>
    <row r="47" spans="1:9">
      <c r="A47" t="s">
        <v>50</v>
      </c>
      <c r="B47" t="s">
        <v>301</v>
      </c>
      <c r="C47" t="s">
        <v>301</v>
      </c>
      <c r="D47" t="s">
        <v>1669</v>
      </c>
      <c r="E47">
        <v>64</v>
      </c>
      <c r="F47">
        <v>0</v>
      </c>
      <c r="G47">
        <v>0</v>
      </c>
      <c r="H47">
        <v>0</v>
      </c>
      <c r="I47" t="s">
        <v>18</v>
      </c>
    </row>
    <row r="48" spans="1:9">
      <c r="A48" t="s">
        <v>52</v>
      </c>
      <c r="B48" t="s">
        <v>301</v>
      </c>
      <c r="C48" t="s">
        <v>301</v>
      </c>
      <c r="D48" t="s">
        <v>1670</v>
      </c>
      <c r="E48">
        <v>80</v>
      </c>
      <c r="F48">
        <v>0</v>
      </c>
      <c r="G48">
        <v>0</v>
      </c>
      <c r="H48">
        <v>0</v>
      </c>
      <c r="I48" t="s">
        <v>18</v>
      </c>
    </row>
    <row r="49" spans="1:9">
      <c r="A49" t="s">
        <v>53</v>
      </c>
      <c r="B49" t="s">
        <v>301</v>
      </c>
      <c r="C49" t="s">
        <v>301</v>
      </c>
      <c r="D49" t="s">
        <v>1671</v>
      </c>
      <c r="E49">
        <v>38</v>
      </c>
      <c r="F49">
        <v>0</v>
      </c>
      <c r="G49">
        <v>0</v>
      </c>
      <c r="H49">
        <v>0</v>
      </c>
      <c r="I49" t="s">
        <v>18</v>
      </c>
    </row>
    <row r="50" spans="1:9">
      <c r="A50">
        <v>8</v>
      </c>
      <c r="B50" t="s">
        <v>301</v>
      </c>
      <c r="C50" t="s">
        <v>301</v>
      </c>
      <c r="D50" t="s">
        <v>69</v>
      </c>
      <c r="E50">
        <v>0</v>
      </c>
      <c r="F50">
        <v>0</v>
      </c>
      <c r="G50">
        <v>0</v>
      </c>
      <c r="H50">
        <v>0</v>
      </c>
    </row>
    <row r="51" spans="1:9" ht="409.6">
      <c r="A51" t="s">
        <v>14</v>
      </c>
      <c r="B51" t="s">
        <v>301</v>
      </c>
      <c r="C51" t="s">
        <v>301</v>
      </c>
      <c r="D51" s="518" t="s">
        <v>1672</v>
      </c>
      <c r="E51">
        <v>160</v>
      </c>
      <c r="F51">
        <v>0</v>
      </c>
      <c r="G51">
        <v>0</v>
      </c>
      <c r="H51">
        <v>0</v>
      </c>
      <c r="I51" t="s">
        <v>18</v>
      </c>
    </row>
    <row r="52" spans="1:9">
      <c r="A52" t="s">
        <v>44</v>
      </c>
      <c r="B52" t="s">
        <v>301</v>
      </c>
      <c r="C52" t="s">
        <v>301</v>
      </c>
      <c r="D52" t="s">
        <v>1673</v>
      </c>
      <c r="E52">
        <v>254</v>
      </c>
      <c r="F52">
        <v>0</v>
      </c>
      <c r="G52">
        <v>0</v>
      </c>
      <c r="H52">
        <v>0</v>
      </c>
      <c r="I52" t="s">
        <v>18</v>
      </c>
    </row>
    <row r="53" spans="1:9">
      <c r="A53">
        <v>9</v>
      </c>
      <c r="B53" t="s">
        <v>301</v>
      </c>
      <c r="C53" t="s">
        <v>301</v>
      </c>
      <c r="D53" t="s">
        <v>70</v>
      </c>
      <c r="E53">
        <v>0</v>
      </c>
      <c r="F53">
        <v>0</v>
      </c>
      <c r="G53">
        <v>0</v>
      </c>
      <c r="H53">
        <v>0</v>
      </c>
    </row>
    <row r="54" spans="1:9">
      <c r="A54" t="s">
        <v>14</v>
      </c>
      <c r="B54" t="s">
        <v>301</v>
      </c>
      <c r="C54" t="s">
        <v>301</v>
      </c>
      <c r="D54" t="s">
        <v>71</v>
      </c>
      <c r="E54">
        <v>0</v>
      </c>
      <c r="F54">
        <v>0</v>
      </c>
      <c r="G54">
        <v>0</v>
      </c>
      <c r="H54">
        <v>0</v>
      </c>
    </row>
    <row r="55" spans="1:9">
      <c r="A55" t="s">
        <v>16</v>
      </c>
      <c r="B55" t="s">
        <v>301</v>
      </c>
      <c r="C55" t="s">
        <v>301</v>
      </c>
      <c r="D55" t="s">
        <v>72</v>
      </c>
      <c r="E55">
        <v>152</v>
      </c>
      <c r="F55">
        <v>2009.78</v>
      </c>
      <c r="G55">
        <v>305486.56</v>
      </c>
      <c r="H55">
        <v>133.99</v>
      </c>
      <c r="I55" t="s">
        <v>18</v>
      </c>
    </row>
    <row r="56" spans="1:9">
      <c r="A56" t="s">
        <v>19</v>
      </c>
      <c r="B56" t="s">
        <v>1914</v>
      </c>
      <c r="C56" t="s">
        <v>1739</v>
      </c>
      <c r="D56" t="s">
        <v>73</v>
      </c>
      <c r="E56">
        <v>66</v>
      </c>
      <c r="F56">
        <v>86.45</v>
      </c>
      <c r="G56">
        <v>5705.7</v>
      </c>
      <c r="H56">
        <v>2.5</v>
      </c>
      <c r="I56" t="s">
        <v>74</v>
      </c>
    </row>
    <row r="57" spans="1:9">
      <c r="A57" t="s">
        <v>21</v>
      </c>
      <c r="B57" t="s">
        <v>149</v>
      </c>
      <c r="C57" t="s">
        <v>148</v>
      </c>
      <c r="D57" t="s">
        <v>1674</v>
      </c>
      <c r="E57">
        <v>102</v>
      </c>
      <c r="F57">
        <v>1359.32</v>
      </c>
      <c r="G57">
        <v>138650.64000000001</v>
      </c>
      <c r="H57">
        <v>60.81</v>
      </c>
      <c r="I57" t="s">
        <v>18</v>
      </c>
    </row>
    <row r="58" spans="1:9">
      <c r="A58" t="s">
        <v>23</v>
      </c>
      <c r="B58" t="s">
        <v>6</v>
      </c>
      <c r="C58" t="s">
        <v>6</v>
      </c>
      <c r="D58" t="s">
        <v>75</v>
      </c>
      <c r="E58">
        <v>57</v>
      </c>
      <c r="F58">
        <v>129.88999999999999</v>
      </c>
      <c r="G58">
        <v>7403.73</v>
      </c>
      <c r="H58">
        <v>3.25</v>
      </c>
      <c r="I58" t="s">
        <v>74</v>
      </c>
    </row>
    <row r="59" spans="1:9">
      <c r="A59" t="s">
        <v>44</v>
      </c>
      <c r="B59" t="s">
        <v>6</v>
      </c>
      <c r="C59" t="s">
        <v>6</v>
      </c>
      <c r="D59" t="s">
        <v>76</v>
      </c>
      <c r="E59">
        <v>0</v>
      </c>
      <c r="F59">
        <v>0</v>
      </c>
      <c r="G59">
        <v>0</v>
      </c>
      <c r="H59">
        <v>0</v>
      </c>
    </row>
    <row r="60" spans="1:9">
      <c r="A60" t="s">
        <v>16</v>
      </c>
      <c r="B60" t="s">
        <v>6</v>
      </c>
      <c r="C60" t="s">
        <v>6</v>
      </c>
      <c r="D60" t="s">
        <v>1675</v>
      </c>
      <c r="E60">
        <v>76</v>
      </c>
      <c r="F60">
        <v>0</v>
      </c>
      <c r="G60">
        <v>0</v>
      </c>
      <c r="H60">
        <v>0</v>
      </c>
      <c r="I60" t="s">
        <v>18</v>
      </c>
    </row>
    <row r="61" spans="1:9">
      <c r="A61" t="s">
        <v>19</v>
      </c>
      <c r="B61" t="s">
        <v>1914</v>
      </c>
      <c r="C61" t="s">
        <v>1739</v>
      </c>
      <c r="D61" t="s">
        <v>77</v>
      </c>
      <c r="E61">
        <v>38</v>
      </c>
      <c r="F61">
        <v>0</v>
      </c>
      <c r="G61">
        <v>0</v>
      </c>
      <c r="H61">
        <v>0</v>
      </c>
      <c r="I61" t="s">
        <v>74</v>
      </c>
    </row>
    <row r="62" spans="1:9">
      <c r="A62" t="s">
        <v>46</v>
      </c>
      <c r="B62" t="s">
        <v>1914</v>
      </c>
      <c r="C62" t="s">
        <v>1739</v>
      </c>
      <c r="D62" t="s">
        <v>78</v>
      </c>
      <c r="E62">
        <v>0</v>
      </c>
      <c r="F62">
        <v>0</v>
      </c>
      <c r="G62">
        <v>0</v>
      </c>
      <c r="H62">
        <v>0</v>
      </c>
    </row>
    <row r="63" spans="1:9">
      <c r="A63" t="s">
        <v>16</v>
      </c>
      <c r="B63" t="s">
        <v>1914</v>
      </c>
      <c r="C63" t="s">
        <v>1739</v>
      </c>
      <c r="D63" t="s">
        <v>1676</v>
      </c>
      <c r="E63">
        <v>317</v>
      </c>
      <c r="F63">
        <v>0</v>
      </c>
      <c r="G63">
        <v>0</v>
      </c>
      <c r="H63">
        <v>0</v>
      </c>
      <c r="I63" t="s">
        <v>18</v>
      </c>
    </row>
    <row r="64" spans="1:9">
      <c r="A64" t="s">
        <v>19</v>
      </c>
      <c r="B64" t="s">
        <v>1914</v>
      </c>
      <c r="C64" t="s">
        <v>1739</v>
      </c>
      <c r="D64" t="s">
        <v>79</v>
      </c>
      <c r="E64">
        <v>128</v>
      </c>
      <c r="F64">
        <v>0</v>
      </c>
      <c r="G64">
        <v>0</v>
      </c>
      <c r="H64">
        <v>0</v>
      </c>
      <c r="I64" t="s">
        <v>74</v>
      </c>
    </row>
    <row r="65" spans="1:9">
      <c r="A65" t="s">
        <v>47</v>
      </c>
      <c r="B65" t="s">
        <v>1914</v>
      </c>
      <c r="C65" t="s">
        <v>1739</v>
      </c>
      <c r="D65" t="s">
        <v>1677</v>
      </c>
      <c r="E65">
        <v>0</v>
      </c>
      <c r="F65">
        <v>0</v>
      </c>
      <c r="G65">
        <v>0</v>
      </c>
      <c r="H65">
        <v>0</v>
      </c>
    </row>
    <row r="66" spans="1:9">
      <c r="A66" t="s">
        <v>16</v>
      </c>
      <c r="B66" t="s">
        <v>1914</v>
      </c>
      <c r="C66" t="s">
        <v>1739</v>
      </c>
      <c r="D66" t="s">
        <v>1678</v>
      </c>
      <c r="E66">
        <v>122</v>
      </c>
      <c r="F66">
        <v>0</v>
      </c>
      <c r="G66">
        <v>0</v>
      </c>
      <c r="H66">
        <v>0</v>
      </c>
      <c r="I66" t="s">
        <v>18</v>
      </c>
    </row>
    <row r="67" spans="1:9">
      <c r="A67" t="s">
        <v>50</v>
      </c>
      <c r="B67" t="s">
        <v>1914</v>
      </c>
      <c r="C67" t="s">
        <v>1739</v>
      </c>
      <c r="D67" t="s">
        <v>1679</v>
      </c>
      <c r="E67">
        <v>0</v>
      </c>
      <c r="F67">
        <v>0</v>
      </c>
      <c r="G67">
        <v>0</v>
      </c>
      <c r="H67">
        <v>0</v>
      </c>
    </row>
    <row r="68" spans="1:9">
      <c r="A68" t="s">
        <v>16</v>
      </c>
      <c r="B68" t="s">
        <v>1914</v>
      </c>
      <c r="C68" t="s">
        <v>1739</v>
      </c>
      <c r="D68" t="s">
        <v>1680</v>
      </c>
      <c r="E68">
        <v>152</v>
      </c>
      <c r="F68">
        <v>0</v>
      </c>
      <c r="G68">
        <v>0</v>
      </c>
      <c r="H68">
        <v>0</v>
      </c>
      <c r="I68" t="s">
        <v>18</v>
      </c>
    </row>
    <row r="69" spans="1:9">
      <c r="A69" t="s">
        <v>52</v>
      </c>
      <c r="B69" t="s">
        <v>1914</v>
      </c>
      <c r="C69" t="s">
        <v>1739</v>
      </c>
      <c r="D69" t="s">
        <v>80</v>
      </c>
      <c r="E69">
        <v>0</v>
      </c>
      <c r="F69">
        <v>0</v>
      </c>
      <c r="G69">
        <v>0</v>
      </c>
      <c r="H69">
        <v>0</v>
      </c>
    </row>
    <row r="70" spans="1:9">
      <c r="A70" t="s">
        <v>16</v>
      </c>
      <c r="B70" t="s">
        <v>1914</v>
      </c>
      <c r="C70" t="s">
        <v>1739</v>
      </c>
      <c r="D70" t="s">
        <v>81</v>
      </c>
      <c r="E70">
        <v>105</v>
      </c>
      <c r="F70">
        <v>418.52</v>
      </c>
      <c r="G70">
        <v>43944.6</v>
      </c>
      <c r="H70">
        <v>19.27</v>
      </c>
      <c r="I70" t="s">
        <v>18</v>
      </c>
    </row>
    <row r="71" spans="1:9">
      <c r="A71" t="s">
        <v>53</v>
      </c>
      <c r="B71" t="s">
        <v>1914</v>
      </c>
      <c r="C71" t="s">
        <v>1739</v>
      </c>
      <c r="D71" t="s">
        <v>82</v>
      </c>
      <c r="E71">
        <v>0</v>
      </c>
      <c r="F71">
        <v>0</v>
      </c>
      <c r="G71">
        <v>0</v>
      </c>
      <c r="H71">
        <v>0</v>
      </c>
    </row>
    <row r="72" spans="1:9">
      <c r="A72" t="s">
        <v>16</v>
      </c>
      <c r="B72" t="s">
        <v>1914</v>
      </c>
      <c r="C72" t="s">
        <v>1739</v>
      </c>
      <c r="D72" t="s">
        <v>83</v>
      </c>
      <c r="E72">
        <v>339</v>
      </c>
      <c r="F72">
        <v>73.319999999999993</v>
      </c>
      <c r="G72">
        <v>24855.48</v>
      </c>
      <c r="H72">
        <v>10.9</v>
      </c>
      <c r="I72" t="s">
        <v>18</v>
      </c>
    </row>
    <row r="73" spans="1:9">
      <c r="A73" t="s">
        <v>19</v>
      </c>
      <c r="B73" t="s">
        <v>1914</v>
      </c>
      <c r="C73" t="s">
        <v>1739</v>
      </c>
      <c r="D73" t="s">
        <v>84</v>
      </c>
      <c r="E73">
        <v>350</v>
      </c>
      <c r="F73">
        <v>0</v>
      </c>
      <c r="G73">
        <v>0</v>
      </c>
      <c r="H73">
        <v>0</v>
      </c>
      <c r="I73" t="s">
        <v>18</v>
      </c>
    </row>
    <row r="74" spans="1:9">
      <c r="A74" t="s">
        <v>85</v>
      </c>
      <c r="B74" t="s">
        <v>1914</v>
      </c>
      <c r="C74" t="s">
        <v>1739</v>
      </c>
      <c r="D74" t="s">
        <v>86</v>
      </c>
      <c r="E74">
        <v>0</v>
      </c>
      <c r="F74">
        <v>0</v>
      </c>
      <c r="G74">
        <v>0</v>
      </c>
      <c r="H74">
        <v>0</v>
      </c>
    </row>
    <row r="75" spans="1:9">
      <c r="A75" t="s">
        <v>16</v>
      </c>
      <c r="B75" t="s">
        <v>1914</v>
      </c>
      <c r="C75" t="s">
        <v>1739</v>
      </c>
      <c r="D75" t="s">
        <v>87</v>
      </c>
      <c r="E75">
        <v>12</v>
      </c>
      <c r="F75">
        <v>0</v>
      </c>
      <c r="G75">
        <v>0</v>
      </c>
      <c r="H75">
        <v>0</v>
      </c>
      <c r="I75" t="s">
        <v>18</v>
      </c>
    </row>
    <row r="76" spans="1:9">
      <c r="A76" t="s">
        <v>19</v>
      </c>
      <c r="B76" t="s">
        <v>1914</v>
      </c>
      <c r="C76" t="s">
        <v>1739</v>
      </c>
      <c r="D76" t="s">
        <v>88</v>
      </c>
      <c r="E76">
        <v>12</v>
      </c>
      <c r="F76">
        <v>2049.09</v>
      </c>
      <c r="G76">
        <v>24589.08</v>
      </c>
      <c r="H76">
        <v>10.78</v>
      </c>
      <c r="I76" t="s">
        <v>18</v>
      </c>
    </row>
    <row r="77" spans="1:9">
      <c r="A77" t="s">
        <v>16</v>
      </c>
      <c r="B77" t="s">
        <v>1914</v>
      </c>
      <c r="C77" t="s">
        <v>1739</v>
      </c>
      <c r="D77" t="s">
        <v>89</v>
      </c>
      <c r="E77">
        <v>0</v>
      </c>
      <c r="F77">
        <v>0</v>
      </c>
      <c r="G77">
        <v>0</v>
      </c>
      <c r="H77">
        <v>0</v>
      </c>
    </row>
    <row r="78" spans="1:9">
      <c r="A78" t="s">
        <v>16</v>
      </c>
      <c r="B78" t="s">
        <v>1914</v>
      </c>
      <c r="C78" t="s">
        <v>1739</v>
      </c>
      <c r="D78" t="s">
        <v>1681</v>
      </c>
      <c r="E78">
        <v>76</v>
      </c>
      <c r="F78">
        <v>0</v>
      </c>
      <c r="G78">
        <v>0</v>
      </c>
      <c r="H78">
        <v>0</v>
      </c>
      <c r="I78" t="s">
        <v>18</v>
      </c>
    </row>
    <row r="79" spans="1:9">
      <c r="A79" t="s">
        <v>19</v>
      </c>
      <c r="B79" t="s">
        <v>1914</v>
      </c>
      <c r="C79" t="s">
        <v>1739</v>
      </c>
      <c r="D79" t="s">
        <v>1682</v>
      </c>
      <c r="E79">
        <v>99</v>
      </c>
      <c r="F79">
        <v>0</v>
      </c>
      <c r="G79">
        <v>0</v>
      </c>
      <c r="H79">
        <v>0</v>
      </c>
      <c r="I79" t="s">
        <v>18</v>
      </c>
    </row>
    <row r="80" spans="1:9">
      <c r="A80">
        <v>10</v>
      </c>
      <c r="B80" t="s">
        <v>1914</v>
      </c>
      <c r="C80" t="s">
        <v>1739</v>
      </c>
      <c r="D80" t="s">
        <v>90</v>
      </c>
      <c r="E80">
        <v>0</v>
      </c>
      <c r="F80">
        <v>0</v>
      </c>
      <c r="G80">
        <v>0</v>
      </c>
      <c r="H80">
        <v>0</v>
      </c>
    </row>
    <row r="81" spans="1:9">
      <c r="A81" t="s">
        <v>14</v>
      </c>
      <c r="B81" t="s">
        <v>1914</v>
      </c>
      <c r="C81" t="s">
        <v>1739</v>
      </c>
      <c r="D81" t="s">
        <v>1683</v>
      </c>
      <c r="E81">
        <v>2796</v>
      </c>
      <c r="F81">
        <v>20</v>
      </c>
      <c r="G81">
        <v>55920</v>
      </c>
      <c r="H81">
        <v>24.53</v>
      </c>
      <c r="I81" t="s">
        <v>74</v>
      </c>
    </row>
    <row r="82" spans="1:9">
      <c r="A82" t="s">
        <v>44</v>
      </c>
      <c r="B82" t="s">
        <v>1914</v>
      </c>
      <c r="C82" t="s">
        <v>1739</v>
      </c>
      <c r="D82" t="s">
        <v>1684</v>
      </c>
      <c r="E82">
        <v>1483</v>
      </c>
      <c r="F82">
        <v>0</v>
      </c>
      <c r="G82">
        <v>0</v>
      </c>
      <c r="H82">
        <v>0</v>
      </c>
      <c r="I82" t="s">
        <v>74</v>
      </c>
    </row>
    <row r="83" spans="1:9">
      <c r="A83" t="s">
        <v>46</v>
      </c>
      <c r="B83" t="s">
        <v>1914</v>
      </c>
      <c r="C83" t="s">
        <v>1739</v>
      </c>
      <c r="D83" t="s">
        <v>1685</v>
      </c>
      <c r="E83">
        <v>1815</v>
      </c>
      <c r="F83">
        <v>0</v>
      </c>
      <c r="G83">
        <v>0</v>
      </c>
      <c r="H83">
        <v>0</v>
      </c>
      <c r="I83" t="s">
        <v>74</v>
      </c>
    </row>
    <row r="84" spans="1:9">
      <c r="A84" t="s">
        <v>47</v>
      </c>
      <c r="B84" t="s">
        <v>1914</v>
      </c>
      <c r="C84" t="s">
        <v>1739</v>
      </c>
      <c r="D84" t="s">
        <v>1686</v>
      </c>
      <c r="E84">
        <v>1716</v>
      </c>
      <c r="F84">
        <v>1</v>
      </c>
      <c r="G84">
        <v>1716</v>
      </c>
      <c r="H84">
        <v>0.75</v>
      </c>
      <c r="I84" t="s">
        <v>27</v>
      </c>
    </row>
    <row r="85" spans="1:9">
      <c r="A85" t="s">
        <v>50</v>
      </c>
      <c r="B85" t="s">
        <v>1914</v>
      </c>
      <c r="C85" t="s">
        <v>1739</v>
      </c>
      <c r="D85" t="s">
        <v>1687</v>
      </c>
      <c r="E85">
        <v>211</v>
      </c>
      <c r="F85">
        <v>29.41</v>
      </c>
      <c r="G85">
        <v>6205.51</v>
      </c>
      <c r="H85">
        <v>2.72</v>
      </c>
      <c r="I85" t="s">
        <v>74</v>
      </c>
    </row>
    <row r="86" spans="1:9">
      <c r="A86" t="s">
        <v>52</v>
      </c>
      <c r="B86" t="s">
        <v>1914</v>
      </c>
      <c r="C86" t="s">
        <v>1739</v>
      </c>
      <c r="D86" t="s">
        <v>1688</v>
      </c>
      <c r="E86">
        <v>177</v>
      </c>
      <c r="F86">
        <v>11.5</v>
      </c>
      <c r="G86">
        <v>2035.5</v>
      </c>
      <c r="H86">
        <v>0.89</v>
      </c>
      <c r="I86" t="s">
        <v>74</v>
      </c>
    </row>
    <row r="87" spans="1:9">
      <c r="A87">
        <v>11</v>
      </c>
      <c r="B87" t="s">
        <v>1914</v>
      </c>
      <c r="C87" t="s">
        <v>1739</v>
      </c>
      <c r="D87" t="s">
        <v>91</v>
      </c>
      <c r="E87">
        <v>0</v>
      </c>
      <c r="F87">
        <v>0</v>
      </c>
      <c r="G87">
        <v>0</v>
      </c>
      <c r="H87">
        <v>0</v>
      </c>
    </row>
    <row r="88" spans="1:9">
      <c r="A88" t="s">
        <v>14</v>
      </c>
      <c r="B88" t="s">
        <v>1914</v>
      </c>
      <c r="C88" t="s">
        <v>1739</v>
      </c>
      <c r="D88" t="s">
        <v>1689</v>
      </c>
      <c r="E88">
        <v>91</v>
      </c>
      <c r="F88">
        <v>0</v>
      </c>
      <c r="G88">
        <v>0</v>
      </c>
      <c r="H88">
        <v>0</v>
      </c>
      <c r="I88" t="s">
        <v>18</v>
      </c>
    </row>
    <row r="89" spans="1:9">
      <c r="A89" t="s">
        <v>44</v>
      </c>
      <c r="B89" t="s">
        <v>1914</v>
      </c>
      <c r="C89" t="s">
        <v>1739</v>
      </c>
      <c r="D89" t="s">
        <v>1690</v>
      </c>
      <c r="E89">
        <v>98</v>
      </c>
      <c r="F89">
        <v>0</v>
      </c>
      <c r="G89">
        <v>0</v>
      </c>
      <c r="H89">
        <v>0</v>
      </c>
      <c r="I89" t="s">
        <v>18</v>
      </c>
    </row>
    <row r="90" spans="1:9">
      <c r="A90" t="s">
        <v>46</v>
      </c>
      <c r="B90" t="s">
        <v>1914</v>
      </c>
      <c r="C90" t="s">
        <v>1739</v>
      </c>
      <c r="D90" t="s">
        <v>1691</v>
      </c>
      <c r="E90">
        <v>110</v>
      </c>
      <c r="F90">
        <v>0</v>
      </c>
      <c r="G90">
        <v>0</v>
      </c>
      <c r="H90">
        <v>0</v>
      </c>
      <c r="I90" t="s">
        <v>18</v>
      </c>
    </row>
    <row r="91" spans="1:9">
      <c r="A91" t="s">
        <v>47</v>
      </c>
      <c r="B91" t="s">
        <v>1914</v>
      </c>
      <c r="C91" t="s">
        <v>1739</v>
      </c>
      <c r="D91" t="s">
        <v>1692</v>
      </c>
      <c r="E91">
        <v>314</v>
      </c>
      <c r="F91">
        <v>0</v>
      </c>
      <c r="G91">
        <v>0</v>
      </c>
      <c r="H91">
        <v>0</v>
      </c>
      <c r="I91" t="s">
        <v>18</v>
      </c>
    </row>
    <row r="92" spans="1:9">
      <c r="A92" t="s">
        <v>50</v>
      </c>
      <c r="B92" t="s">
        <v>1914</v>
      </c>
      <c r="C92" t="s">
        <v>1739</v>
      </c>
      <c r="D92" t="s">
        <v>1693</v>
      </c>
      <c r="E92">
        <v>194</v>
      </c>
      <c r="F92">
        <v>85.04</v>
      </c>
      <c r="G92">
        <v>16497.759999999998</v>
      </c>
      <c r="H92">
        <v>7.24</v>
      </c>
      <c r="I92" t="s">
        <v>74</v>
      </c>
    </row>
    <row r="93" spans="1:9">
      <c r="A93" t="s">
        <v>52</v>
      </c>
      <c r="B93" t="s">
        <v>1914</v>
      </c>
      <c r="C93" t="s">
        <v>1739</v>
      </c>
      <c r="D93" t="s">
        <v>1694</v>
      </c>
      <c r="E93">
        <v>385</v>
      </c>
      <c r="F93">
        <v>84</v>
      </c>
      <c r="G93">
        <v>32340</v>
      </c>
      <c r="H93">
        <v>14.18</v>
      </c>
      <c r="I93" t="s">
        <v>74</v>
      </c>
    </row>
    <row r="94" spans="1:9">
      <c r="A94" t="s">
        <v>53</v>
      </c>
      <c r="B94" t="s">
        <v>1914</v>
      </c>
      <c r="C94" t="s">
        <v>1739</v>
      </c>
      <c r="D94" t="s">
        <v>1695</v>
      </c>
      <c r="E94">
        <v>396</v>
      </c>
      <c r="F94">
        <v>0</v>
      </c>
      <c r="G94">
        <v>0</v>
      </c>
      <c r="H94">
        <v>0</v>
      </c>
      <c r="I94" t="s">
        <v>18</v>
      </c>
    </row>
    <row r="95" spans="1:9">
      <c r="A95">
        <v>12</v>
      </c>
      <c r="B95" t="s">
        <v>1914</v>
      </c>
      <c r="C95" t="s">
        <v>1739</v>
      </c>
      <c r="D95" t="s">
        <v>92</v>
      </c>
      <c r="E95">
        <v>0</v>
      </c>
      <c r="F95">
        <v>0</v>
      </c>
      <c r="G95">
        <v>0</v>
      </c>
      <c r="H95">
        <v>0</v>
      </c>
    </row>
    <row r="96" spans="1:9">
      <c r="A96" t="s">
        <v>14</v>
      </c>
      <c r="B96" t="s">
        <v>1914</v>
      </c>
      <c r="C96" t="s">
        <v>1739</v>
      </c>
      <c r="D96" t="s">
        <v>93</v>
      </c>
      <c r="E96">
        <v>474</v>
      </c>
      <c r="F96">
        <v>0</v>
      </c>
      <c r="G96">
        <v>0</v>
      </c>
      <c r="H96">
        <v>0</v>
      </c>
      <c r="I96" t="s">
        <v>18</v>
      </c>
    </row>
    <row r="97" spans="1:9">
      <c r="A97">
        <v>13</v>
      </c>
      <c r="B97" t="s">
        <v>1914</v>
      </c>
      <c r="C97" t="s">
        <v>1739</v>
      </c>
      <c r="D97" t="s">
        <v>94</v>
      </c>
      <c r="E97">
        <v>0</v>
      </c>
      <c r="F97">
        <v>0</v>
      </c>
      <c r="G97">
        <v>0</v>
      </c>
      <c r="H97">
        <v>0</v>
      </c>
    </row>
    <row r="98" spans="1:9">
      <c r="A98" t="s">
        <v>14</v>
      </c>
      <c r="B98" t="s">
        <v>1914</v>
      </c>
      <c r="C98" t="s">
        <v>1739</v>
      </c>
      <c r="D98" t="s">
        <v>1696</v>
      </c>
      <c r="E98">
        <v>1114</v>
      </c>
      <c r="F98">
        <v>0</v>
      </c>
      <c r="G98">
        <v>0</v>
      </c>
      <c r="H98">
        <v>0</v>
      </c>
      <c r="I98" t="s">
        <v>74</v>
      </c>
    </row>
    <row r="99" spans="1:9">
      <c r="A99" t="s">
        <v>44</v>
      </c>
      <c r="B99" t="s">
        <v>1914</v>
      </c>
      <c r="C99" t="s">
        <v>1739</v>
      </c>
      <c r="D99" t="s">
        <v>1697</v>
      </c>
      <c r="E99">
        <v>271</v>
      </c>
      <c r="F99">
        <v>0</v>
      </c>
      <c r="G99">
        <v>0</v>
      </c>
      <c r="H99">
        <v>0</v>
      </c>
      <c r="I99" t="s">
        <v>18</v>
      </c>
    </row>
    <row r="100" spans="1:9">
      <c r="A100">
        <v>14</v>
      </c>
      <c r="B100" t="s">
        <v>1914</v>
      </c>
      <c r="C100" t="s">
        <v>1739</v>
      </c>
      <c r="D100" t="s">
        <v>95</v>
      </c>
      <c r="E100">
        <v>0</v>
      </c>
      <c r="F100">
        <v>0</v>
      </c>
      <c r="G100">
        <v>0</v>
      </c>
      <c r="H100">
        <v>0</v>
      </c>
    </row>
    <row r="101" spans="1:9">
      <c r="A101" t="s">
        <v>14</v>
      </c>
      <c r="B101" t="s">
        <v>1914</v>
      </c>
      <c r="C101" t="s">
        <v>1739</v>
      </c>
      <c r="D101" t="s">
        <v>1698</v>
      </c>
      <c r="E101">
        <v>305</v>
      </c>
      <c r="F101">
        <v>0</v>
      </c>
      <c r="G101">
        <v>0</v>
      </c>
      <c r="H101">
        <v>0</v>
      </c>
      <c r="I101" t="s">
        <v>18</v>
      </c>
    </row>
    <row r="102" spans="1:9">
      <c r="A102" t="s">
        <v>44</v>
      </c>
      <c r="B102" t="s">
        <v>1914</v>
      </c>
      <c r="C102" t="s">
        <v>1739</v>
      </c>
      <c r="D102" t="s">
        <v>1699</v>
      </c>
      <c r="E102">
        <v>345</v>
      </c>
      <c r="F102">
        <v>0</v>
      </c>
      <c r="G102">
        <v>0</v>
      </c>
      <c r="H102">
        <v>0</v>
      </c>
      <c r="I102" t="s">
        <v>18</v>
      </c>
    </row>
    <row r="103" spans="1:9">
      <c r="A103">
        <v>15</v>
      </c>
      <c r="B103" t="s">
        <v>1914</v>
      </c>
      <c r="C103" t="s">
        <v>1739</v>
      </c>
      <c r="D103" t="s">
        <v>96</v>
      </c>
      <c r="E103">
        <v>0</v>
      </c>
      <c r="F103">
        <v>0</v>
      </c>
      <c r="G103">
        <v>0</v>
      </c>
      <c r="H103">
        <v>0</v>
      </c>
    </row>
    <row r="104" spans="1:9">
      <c r="A104" t="s">
        <v>14</v>
      </c>
      <c r="B104" t="s">
        <v>1914</v>
      </c>
      <c r="C104" t="s">
        <v>1739</v>
      </c>
      <c r="D104" t="s">
        <v>97</v>
      </c>
      <c r="E104">
        <v>11441</v>
      </c>
      <c r="F104">
        <v>1.25</v>
      </c>
      <c r="G104">
        <v>14301.25</v>
      </c>
      <c r="H104">
        <v>6.27</v>
      </c>
      <c r="I104" t="s">
        <v>98</v>
      </c>
    </row>
    <row r="105" spans="1:9">
      <c r="A105" t="s">
        <v>44</v>
      </c>
      <c r="B105" t="s">
        <v>1914</v>
      </c>
      <c r="C105" t="s">
        <v>1739</v>
      </c>
      <c r="D105" t="s">
        <v>99</v>
      </c>
      <c r="E105">
        <v>11017</v>
      </c>
      <c r="F105">
        <v>1</v>
      </c>
      <c r="G105">
        <v>11017</v>
      </c>
      <c r="H105">
        <v>4.83</v>
      </c>
      <c r="I105" t="s">
        <v>98</v>
      </c>
    </row>
    <row r="106" spans="1:9">
      <c r="A106" t="s">
        <v>46</v>
      </c>
      <c r="B106" t="s">
        <v>1914</v>
      </c>
      <c r="C106" t="s">
        <v>1739</v>
      </c>
      <c r="D106" t="s">
        <v>1700</v>
      </c>
      <c r="E106">
        <v>2012</v>
      </c>
      <c r="F106">
        <v>1</v>
      </c>
      <c r="G106">
        <v>2012</v>
      </c>
      <c r="H106">
        <v>0.88</v>
      </c>
      <c r="I106" t="s">
        <v>27</v>
      </c>
    </row>
    <row r="107" spans="1:9">
      <c r="A107" t="s">
        <v>47</v>
      </c>
      <c r="B107" t="s">
        <v>1914</v>
      </c>
      <c r="C107" t="s">
        <v>1739</v>
      </c>
      <c r="D107" t="s">
        <v>1701</v>
      </c>
      <c r="E107">
        <v>6073</v>
      </c>
      <c r="F107">
        <v>1</v>
      </c>
      <c r="G107">
        <v>6073</v>
      </c>
      <c r="H107">
        <v>2.66</v>
      </c>
      <c r="I107" t="s">
        <v>1915</v>
      </c>
    </row>
    <row r="108" spans="1:9">
      <c r="A108" t="s">
        <v>50</v>
      </c>
      <c r="B108" t="s">
        <v>1914</v>
      </c>
      <c r="C108" t="s">
        <v>1739</v>
      </c>
      <c r="D108" t="s">
        <v>1702</v>
      </c>
      <c r="E108">
        <v>1207</v>
      </c>
      <c r="F108">
        <v>4</v>
      </c>
      <c r="G108">
        <v>4828</v>
      </c>
      <c r="H108">
        <v>2.12</v>
      </c>
      <c r="I108" t="s">
        <v>27</v>
      </c>
    </row>
    <row r="109" spans="1:9" ht="409.6">
      <c r="A109" t="s">
        <v>52</v>
      </c>
      <c r="B109" t="s">
        <v>1914</v>
      </c>
      <c r="C109" t="s">
        <v>1739</v>
      </c>
      <c r="D109" s="518" t="s">
        <v>1703</v>
      </c>
      <c r="E109">
        <v>3919</v>
      </c>
      <c r="F109">
        <v>1</v>
      </c>
      <c r="G109">
        <v>3919</v>
      </c>
      <c r="H109">
        <v>1.72</v>
      </c>
      <c r="I109" t="s">
        <v>27</v>
      </c>
    </row>
    <row r="110" spans="1:9">
      <c r="A110">
        <v>16</v>
      </c>
      <c r="B110" t="s">
        <v>1914</v>
      </c>
      <c r="C110" t="s">
        <v>1739</v>
      </c>
      <c r="D110" t="s">
        <v>102</v>
      </c>
      <c r="E110">
        <v>0</v>
      </c>
      <c r="F110">
        <v>0</v>
      </c>
      <c r="G110">
        <v>0</v>
      </c>
      <c r="H110">
        <v>0</v>
      </c>
    </row>
    <row r="111" spans="1:9">
      <c r="A111" t="s">
        <v>14</v>
      </c>
      <c r="B111" t="s">
        <v>1914</v>
      </c>
      <c r="C111" t="s">
        <v>1739</v>
      </c>
      <c r="D111" t="s">
        <v>1704</v>
      </c>
      <c r="E111">
        <v>14831</v>
      </c>
      <c r="F111">
        <v>2</v>
      </c>
      <c r="G111">
        <v>29662</v>
      </c>
      <c r="H111">
        <v>13.01</v>
      </c>
      <c r="I111" t="s">
        <v>27</v>
      </c>
    </row>
    <row r="112" spans="1:9">
      <c r="A112" t="s">
        <v>44</v>
      </c>
      <c r="B112" t="s">
        <v>1914</v>
      </c>
      <c r="C112" t="s">
        <v>1739</v>
      </c>
      <c r="D112" t="s">
        <v>1705</v>
      </c>
      <c r="E112">
        <v>15305</v>
      </c>
      <c r="F112">
        <v>0</v>
      </c>
      <c r="G112">
        <v>0</v>
      </c>
      <c r="H112">
        <v>0</v>
      </c>
      <c r="I112" t="s">
        <v>27</v>
      </c>
    </row>
    <row r="113" spans="1:9">
      <c r="A113" t="s">
        <v>46</v>
      </c>
      <c r="B113" t="s">
        <v>1914</v>
      </c>
      <c r="C113" t="s">
        <v>1739</v>
      </c>
      <c r="D113" t="s">
        <v>1706</v>
      </c>
      <c r="E113">
        <v>11059</v>
      </c>
      <c r="F113">
        <v>0</v>
      </c>
      <c r="G113">
        <v>0</v>
      </c>
      <c r="H113">
        <v>0</v>
      </c>
      <c r="I113" t="s">
        <v>27</v>
      </c>
    </row>
    <row r="114" spans="1:9">
      <c r="A114" t="s">
        <v>47</v>
      </c>
      <c r="B114" t="s">
        <v>1914</v>
      </c>
      <c r="C114" t="s">
        <v>1739</v>
      </c>
      <c r="D114" t="s">
        <v>1707</v>
      </c>
      <c r="E114">
        <v>7627</v>
      </c>
      <c r="F114">
        <v>2</v>
      </c>
      <c r="G114">
        <v>15254</v>
      </c>
      <c r="H114">
        <v>6.69</v>
      </c>
      <c r="I114" t="s">
        <v>27</v>
      </c>
    </row>
    <row r="115" spans="1:9">
      <c r="A115" t="s">
        <v>50</v>
      </c>
      <c r="B115" t="s">
        <v>1914</v>
      </c>
      <c r="C115" t="s">
        <v>1739</v>
      </c>
      <c r="D115" t="s">
        <v>1708</v>
      </c>
      <c r="E115">
        <v>7203</v>
      </c>
      <c r="F115">
        <v>4</v>
      </c>
      <c r="G115">
        <v>28812</v>
      </c>
      <c r="H115">
        <v>12.64</v>
      </c>
      <c r="I115" t="s">
        <v>27</v>
      </c>
    </row>
    <row r="116" spans="1:9">
      <c r="A116" t="s">
        <v>52</v>
      </c>
      <c r="B116" t="s">
        <v>1914</v>
      </c>
      <c r="C116" t="s">
        <v>1739</v>
      </c>
      <c r="D116" t="s">
        <v>1709</v>
      </c>
      <c r="E116">
        <v>7398</v>
      </c>
      <c r="F116">
        <v>0</v>
      </c>
      <c r="G116">
        <v>0</v>
      </c>
      <c r="H116">
        <v>0</v>
      </c>
      <c r="I116" t="s">
        <v>27</v>
      </c>
    </row>
    <row r="117" spans="1:9">
      <c r="A117" t="s">
        <v>53</v>
      </c>
      <c r="B117" t="s">
        <v>1914</v>
      </c>
      <c r="C117" t="s">
        <v>1739</v>
      </c>
      <c r="D117" t="s">
        <v>1710</v>
      </c>
      <c r="E117">
        <v>2118</v>
      </c>
      <c r="F117">
        <v>0</v>
      </c>
      <c r="G117">
        <v>0</v>
      </c>
      <c r="H117">
        <v>0</v>
      </c>
      <c r="I117" t="s">
        <v>27</v>
      </c>
    </row>
    <row r="118" spans="1:9">
      <c r="A118" t="s">
        <v>85</v>
      </c>
      <c r="B118" t="s">
        <v>1914</v>
      </c>
      <c r="C118" t="s">
        <v>1739</v>
      </c>
      <c r="D118" t="s">
        <v>1711</v>
      </c>
      <c r="E118">
        <v>7013</v>
      </c>
      <c r="F118">
        <v>0</v>
      </c>
      <c r="G118">
        <v>0</v>
      </c>
      <c r="H118">
        <v>0</v>
      </c>
      <c r="I118" t="s">
        <v>27</v>
      </c>
    </row>
    <row r="119" spans="1:9">
      <c r="A119">
        <v>17</v>
      </c>
      <c r="B119" t="s">
        <v>1914</v>
      </c>
      <c r="C119" t="s">
        <v>1739</v>
      </c>
      <c r="D119" t="s">
        <v>103</v>
      </c>
      <c r="E119">
        <v>0</v>
      </c>
      <c r="F119">
        <v>0</v>
      </c>
      <c r="G119">
        <v>0</v>
      </c>
      <c r="H119">
        <v>0</v>
      </c>
    </row>
    <row r="120" spans="1:9">
      <c r="A120" t="s">
        <v>14</v>
      </c>
      <c r="B120" t="s">
        <v>1914</v>
      </c>
      <c r="C120" t="s">
        <v>1739</v>
      </c>
      <c r="D120" t="s">
        <v>1712</v>
      </c>
      <c r="E120">
        <v>1716</v>
      </c>
      <c r="F120">
        <v>0</v>
      </c>
      <c r="G120">
        <v>0</v>
      </c>
      <c r="H120">
        <v>0</v>
      </c>
      <c r="I120" t="s">
        <v>27</v>
      </c>
    </row>
    <row r="121" spans="1:9">
      <c r="A121" t="s">
        <v>44</v>
      </c>
      <c r="B121" t="s">
        <v>1914</v>
      </c>
      <c r="C121" t="s">
        <v>1739</v>
      </c>
      <c r="D121" t="s">
        <v>1713</v>
      </c>
      <c r="E121">
        <v>1222</v>
      </c>
      <c r="F121">
        <v>6</v>
      </c>
      <c r="G121">
        <v>7332</v>
      </c>
      <c r="H121">
        <v>3.22</v>
      </c>
      <c r="I121" t="s">
        <v>27</v>
      </c>
    </row>
    <row r="122" spans="1:9">
      <c r="A122" t="s">
        <v>46</v>
      </c>
      <c r="B122" t="s">
        <v>1914</v>
      </c>
      <c r="C122" t="s">
        <v>1739</v>
      </c>
      <c r="D122" t="s">
        <v>1714</v>
      </c>
      <c r="E122">
        <v>2008</v>
      </c>
      <c r="F122">
        <v>2</v>
      </c>
      <c r="G122">
        <v>4016</v>
      </c>
      <c r="H122">
        <v>1.76</v>
      </c>
      <c r="I122" t="s">
        <v>27</v>
      </c>
    </row>
    <row r="123" spans="1:9">
      <c r="A123" t="s">
        <v>47</v>
      </c>
      <c r="B123" t="s">
        <v>1914</v>
      </c>
      <c r="C123" t="s">
        <v>1739</v>
      </c>
      <c r="D123" t="s">
        <v>1715</v>
      </c>
      <c r="E123">
        <v>1716</v>
      </c>
      <c r="F123">
        <v>4</v>
      </c>
      <c r="G123">
        <v>6864</v>
      </c>
      <c r="H123">
        <v>3.01</v>
      </c>
      <c r="I123" t="s">
        <v>27</v>
      </c>
    </row>
    <row r="124" spans="1:9">
      <c r="A124" t="s">
        <v>50</v>
      </c>
      <c r="B124" t="s">
        <v>1914</v>
      </c>
      <c r="C124" t="s">
        <v>1739</v>
      </c>
      <c r="D124" t="s">
        <v>1716</v>
      </c>
      <c r="E124">
        <v>2309</v>
      </c>
      <c r="F124">
        <v>4</v>
      </c>
      <c r="G124">
        <v>9236</v>
      </c>
      <c r="H124">
        <v>4.05</v>
      </c>
      <c r="I124" t="s">
        <v>27</v>
      </c>
    </row>
    <row r="125" spans="1:9">
      <c r="A125" t="s">
        <v>52</v>
      </c>
      <c r="B125" t="s">
        <v>1914</v>
      </c>
      <c r="C125" t="s">
        <v>1739</v>
      </c>
      <c r="D125" t="s">
        <v>1717</v>
      </c>
      <c r="E125">
        <v>10000</v>
      </c>
      <c r="F125">
        <v>0</v>
      </c>
      <c r="G125">
        <v>0</v>
      </c>
      <c r="H125">
        <v>0</v>
      </c>
      <c r="I125" t="s">
        <v>27</v>
      </c>
    </row>
    <row r="126" spans="1:9">
      <c r="A126" t="s">
        <v>53</v>
      </c>
      <c r="B126" t="s">
        <v>1914</v>
      </c>
      <c r="C126" t="s">
        <v>1739</v>
      </c>
      <c r="D126" t="s">
        <v>1718</v>
      </c>
      <c r="E126">
        <v>228</v>
      </c>
      <c r="F126">
        <v>0</v>
      </c>
      <c r="G126">
        <v>0</v>
      </c>
      <c r="H126">
        <v>0</v>
      </c>
      <c r="I126" t="s">
        <v>27</v>
      </c>
    </row>
    <row r="127" spans="1:9">
      <c r="A127" t="s">
        <v>85</v>
      </c>
      <c r="B127" t="s">
        <v>1914</v>
      </c>
      <c r="C127" t="s">
        <v>1739</v>
      </c>
      <c r="D127" t="s">
        <v>1719</v>
      </c>
      <c r="E127">
        <v>1716</v>
      </c>
      <c r="F127">
        <v>2</v>
      </c>
      <c r="G127">
        <v>3432</v>
      </c>
      <c r="H127">
        <v>1.51</v>
      </c>
      <c r="I127" t="s">
        <v>27</v>
      </c>
    </row>
    <row r="128" spans="1:9">
      <c r="A128">
        <v>18</v>
      </c>
      <c r="B128" t="s">
        <v>1914</v>
      </c>
      <c r="C128" t="s">
        <v>1739</v>
      </c>
      <c r="D128" t="s">
        <v>104</v>
      </c>
      <c r="E128">
        <v>0</v>
      </c>
      <c r="F128">
        <v>0</v>
      </c>
      <c r="G128">
        <v>0</v>
      </c>
      <c r="H128">
        <v>0</v>
      </c>
    </row>
    <row r="129" spans="1:9">
      <c r="A129" t="s">
        <v>14</v>
      </c>
      <c r="B129" t="s">
        <v>1914</v>
      </c>
      <c r="C129" t="s">
        <v>1739</v>
      </c>
      <c r="D129" t="s">
        <v>1720</v>
      </c>
      <c r="E129">
        <v>1207</v>
      </c>
      <c r="F129">
        <v>4</v>
      </c>
      <c r="G129">
        <v>4828</v>
      </c>
      <c r="H129">
        <v>2.12</v>
      </c>
      <c r="I129" t="s">
        <v>27</v>
      </c>
    </row>
    <row r="130" spans="1:9">
      <c r="A130" t="s">
        <v>44</v>
      </c>
      <c r="B130" t="s">
        <v>1914</v>
      </c>
      <c r="C130" t="s">
        <v>1739</v>
      </c>
      <c r="D130" t="s">
        <v>1721</v>
      </c>
      <c r="E130">
        <v>762</v>
      </c>
      <c r="F130">
        <v>2</v>
      </c>
      <c r="G130">
        <v>1524</v>
      </c>
      <c r="H130">
        <v>0.67</v>
      </c>
      <c r="I130" t="s">
        <v>27</v>
      </c>
    </row>
    <row r="131" spans="1:9">
      <c r="A131" t="s">
        <v>46</v>
      </c>
      <c r="B131" t="s">
        <v>1914</v>
      </c>
      <c r="C131" t="s">
        <v>1739</v>
      </c>
      <c r="D131" t="s">
        <v>1722</v>
      </c>
      <c r="E131">
        <v>495</v>
      </c>
      <c r="F131">
        <v>2</v>
      </c>
      <c r="G131">
        <v>990</v>
      </c>
      <c r="H131">
        <v>0.43</v>
      </c>
      <c r="I131" t="s">
        <v>27</v>
      </c>
    </row>
    <row r="132" spans="1:9">
      <c r="A132" t="s">
        <v>47</v>
      </c>
      <c r="B132" t="s">
        <v>1914</v>
      </c>
      <c r="C132" t="s">
        <v>1739</v>
      </c>
      <c r="D132" t="s">
        <v>1723</v>
      </c>
      <c r="E132">
        <v>805</v>
      </c>
      <c r="F132">
        <v>4</v>
      </c>
      <c r="G132">
        <v>3220</v>
      </c>
      <c r="H132">
        <v>1.41</v>
      </c>
      <c r="I132" t="s">
        <v>27</v>
      </c>
    </row>
    <row r="133" spans="1:9">
      <c r="A133">
        <v>19</v>
      </c>
      <c r="B133" t="s">
        <v>1914</v>
      </c>
      <c r="C133" t="s">
        <v>1739</v>
      </c>
      <c r="D133" t="s">
        <v>105</v>
      </c>
      <c r="E133">
        <v>0</v>
      </c>
      <c r="F133">
        <v>0</v>
      </c>
      <c r="G133">
        <v>0</v>
      </c>
      <c r="H133">
        <v>0</v>
      </c>
    </row>
    <row r="134" spans="1:9">
      <c r="A134" t="s">
        <v>14</v>
      </c>
      <c r="B134" t="s">
        <v>1914</v>
      </c>
      <c r="C134" t="s">
        <v>1739</v>
      </c>
      <c r="D134" t="s">
        <v>1724</v>
      </c>
      <c r="E134">
        <v>0</v>
      </c>
      <c r="F134">
        <v>0</v>
      </c>
      <c r="G134">
        <v>0</v>
      </c>
      <c r="H134">
        <v>0</v>
      </c>
    </row>
    <row r="135" spans="1:9">
      <c r="A135" t="s">
        <v>16</v>
      </c>
      <c r="B135" t="s">
        <v>1914</v>
      </c>
      <c r="C135" t="s">
        <v>1739</v>
      </c>
      <c r="D135" t="s">
        <v>107</v>
      </c>
      <c r="E135">
        <v>94</v>
      </c>
      <c r="F135">
        <v>0</v>
      </c>
      <c r="G135">
        <v>0</v>
      </c>
      <c r="H135">
        <v>0</v>
      </c>
      <c r="I135" t="s">
        <v>74</v>
      </c>
    </row>
    <row r="136" spans="1:9">
      <c r="A136" t="s">
        <v>19</v>
      </c>
      <c r="B136" t="s">
        <v>1914</v>
      </c>
      <c r="C136" t="s">
        <v>1739</v>
      </c>
      <c r="D136" t="s">
        <v>108</v>
      </c>
      <c r="E136">
        <v>106</v>
      </c>
      <c r="F136">
        <v>0</v>
      </c>
      <c r="G136">
        <v>0</v>
      </c>
      <c r="H136">
        <v>0</v>
      </c>
      <c r="I136" t="s">
        <v>74</v>
      </c>
    </row>
    <row r="137" spans="1:9">
      <c r="A137" t="s">
        <v>21</v>
      </c>
      <c r="B137" t="s">
        <v>149</v>
      </c>
      <c r="C137" t="s">
        <v>148</v>
      </c>
      <c r="D137" t="s">
        <v>109</v>
      </c>
      <c r="E137">
        <v>131</v>
      </c>
      <c r="F137">
        <v>5</v>
      </c>
      <c r="G137">
        <v>655</v>
      </c>
      <c r="H137">
        <v>0.28999999999999998</v>
      </c>
      <c r="I137" t="s">
        <v>74</v>
      </c>
    </row>
    <row r="138" spans="1:9">
      <c r="A138" t="s">
        <v>23</v>
      </c>
      <c r="B138" t="s">
        <v>6</v>
      </c>
      <c r="C138" t="s">
        <v>6</v>
      </c>
      <c r="D138" t="s">
        <v>110</v>
      </c>
      <c r="E138">
        <v>150</v>
      </c>
      <c r="F138">
        <v>0</v>
      </c>
      <c r="G138">
        <v>0</v>
      </c>
      <c r="H138">
        <v>0</v>
      </c>
      <c r="I138" t="s">
        <v>74</v>
      </c>
    </row>
    <row r="139" spans="1:9">
      <c r="A139" t="s">
        <v>44</v>
      </c>
      <c r="B139" t="s">
        <v>6</v>
      </c>
      <c r="C139" t="s">
        <v>6</v>
      </c>
      <c r="D139" t="s">
        <v>111</v>
      </c>
      <c r="E139">
        <v>0</v>
      </c>
      <c r="F139">
        <v>0</v>
      </c>
      <c r="G139">
        <v>0</v>
      </c>
      <c r="H139">
        <v>0</v>
      </c>
    </row>
    <row r="140" spans="1:9">
      <c r="A140" t="s">
        <v>16</v>
      </c>
      <c r="B140" t="s">
        <v>6</v>
      </c>
      <c r="C140" t="s">
        <v>6</v>
      </c>
      <c r="D140" t="s">
        <v>112</v>
      </c>
      <c r="E140">
        <v>93</v>
      </c>
      <c r="F140">
        <v>0</v>
      </c>
      <c r="G140">
        <v>0</v>
      </c>
      <c r="H140">
        <v>0</v>
      </c>
      <c r="I140" t="s">
        <v>74</v>
      </c>
    </row>
    <row r="141" spans="1:9">
      <c r="A141" t="s">
        <v>19</v>
      </c>
      <c r="B141" t="s">
        <v>1914</v>
      </c>
      <c r="C141" t="s">
        <v>1739</v>
      </c>
      <c r="D141" t="s">
        <v>113</v>
      </c>
      <c r="E141">
        <v>156</v>
      </c>
      <c r="F141">
        <v>30</v>
      </c>
      <c r="G141">
        <v>4680</v>
      </c>
      <c r="H141">
        <v>2.0499999999999998</v>
      </c>
      <c r="I141" t="s">
        <v>74</v>
      </c>
    </row>
    <row r="142" spans="1:9">
      <c r="A142" t="s">
        <v>21</v>
      </c>
      <c r="B142" t="s">
        <v>149</v>
      </c>
      <c r="C142" t="s">
        <v>148</v>
      </c>
      <c r="D142" t="s">
        <v>114</v>
      </c>
      <c r="E142">
        <v>159</v>
      </c>
      <c r="F142">
        <v>0</v>
      </c>
      <c r="G142">
        <v>0</v>
      </c>
      <c r="H142">
        <v>0</v>
      </c>
      <c r="I142" t="s">
        <v>74</v>
      </c>
    </row>
    <row r="143" spans="1:9">
      <c r="A143" t="s">
        <v>46</v>
      </c>
      <c r="B143" t="s">
        <v>149</v>
      </c>
      <c r="C143" t="s">
        <v>148</v>
      </c>
      <c r="D143" t="s">
        <v>1725</v>
      </c>
      <c r="E143">
        <v>0</v>
      </c>
      <c r="F143">
        <v>0</v>
      </c>
      <c r="G143">
        <v>0</v>
      </c>
      <c r="H143">
        <v>0</v>
      </c>
    </row>
    <row r="144" spans="1:9">
      <c r="A144" t="s">
        <v>16</v>
      </c>
      <c r="B144" t="s">
        <v>149</v>
      </c>
      <c r="C144" t="s">
        <v>148</v>
      </c>
      <c r="D144" t="s">
        <v>115</v>
      </c>
      <c r="E144">
        <v>805</v>
      </c>
      <c r="F144">
        <v>0</v>
      </c>
      <c r="G144">
        <v>0</v>
      </c>
      <c r="H144">
        <v>0</v>
      </c>
      <c r="I144" t="s">
        <v>74</v>
      </c>
    </row>
    <row r="145" spans="1:9">
      <c r="A145" t="s">
        <v>47</v>
      </c>
      <c r="B145" t="s">
        <v>149</v>
      </c>
      <c r="C145" t="s">
        <v>148</v>
      </c>
      <c r="D145" t="s">
        <v>116</v>
      </c>
      <c r="E145">
        <v>0</v>
      </c>
      <c r="F145">
        <v>0</v>
      </c>
      <c r="G145">
        <v>0</v>
      </c>
      <c r="H145">
        <v>0</v>
      </c>
    </row>
    <row r="146" spans="1:9">
      <c r="A146" t="s">
        <v>16</v>
      </c>
      <c r="B146" t="s">
        <v>149</v>
      </c>
      <c r="C146" t="s">
        <v>148</v>
      </c>
      <c r="D146" t="s">
        <v>115</v>
      </c>
      <c r="E146">
        <v>141</v>
      </c>
      <c r="F146">
        <v>0</v>
      </c>
      <c r="G146">
        <v>0</v>
      </c>
      <c r="H146">
        <v>0</v>
      </c>
      <c r="I146" t="s">
        <v>74</v>
      </c>
    </row>
    <row r="147" spans="1:9">
      <c r="A147" t="s">
        <v>19</v>
      </c>
      <c r="B147" t="s">
        <v>1914</v>
      </c>
      <c r="C147" t="s">
        <v>1739</v>
      </c>
      <c r="D147" t="s">
        <v>114</v>
      </c>
      <c r="E147">
        <v>152</v>
      </c>
      <c r="F147">
        <v>0</v>
      </c>
      <c r="G147">
        <v>0</v>
      </c>
      <c r="H147">
        <v>0</v>
      </c>
      <c r="I147" t="s">
        <v>74</v>
      </c>
    </row>
    <row r="148" spans="1:9">
      <c r="A148" t="s">
        <v>50</v>
      </c>
      <c r="B148" t="s">
        <v>1914</v>
      </c>
      <c r="C148" t="s">
        <v>1739</v>
      </c>
      <c r="D148" t="s">
        <v>117</v>
      </c>
      <c r="E148">
        <v>2966</v>
      </c>
      <c r="F148">
        <v>0</v>
      </c>
      <c r="G148">
        <v>0</v>
      </c>
      <c r="H148">
        <v>0</v>
      </c>
      <c r="I148" t="s">
        <v>27</v>
      </c>
    </row>
    <row r="149" spans="1:9">
      <c r="A149" t="s">
        <v>52</v>
      </c>
      <c r="B149" t="s">
        <v>1914</v>
      </c>
      <c r="C149" t="s">
        <v>1739</v>
      </c>
      <c r="D149" t="s">
        <v>118</v>
      </c>
      <c r="E149">
        <v>6356</v>
      </c>
      <c r="F149">
        <v>0</v>
      </c>
      <c r="G149">
        <v>0</v>
      </c>
      <c r="H149">
        <v>0</v>
      </c>
      <c r="I149" t="s">
        <v>27</v>
      </c>
    </row>
    <row r="150" spans="1:9">
      <c r="A150">
        <v>20</v>
      </c>
      <c r="B150" t="s">
        <v>1914</v>
      </c>
      <c r="C150" t="s">
        <v>1739</v>
      </c>
      <c r="D150" t="s">
        <v>119</v>
      </c>
      <c r="E150">
        <v>0</v>
      </c>
      <c r="F150">
        <v>0</v>
      </c>
      <c r="G150">
        <v>0</v>
      </c>
      <c r="H150">
        <v>0</v>
      </c>
    </row>
    <row r="151" spans="1:9">
      <c r="A151" t="s">
        <v>14</v>
      </c>
      <c r="B151" t="s">
        <v>1914</v>
      </c>
      <c r="C151" t="s">
        <v>1739</v>
      </c>
      <c r="D151" t="s">
        <v>1726</v>
      </c>
      <c r="E151">
        <v>18</v>
      </c>
      <c r="F151">
        <v>2280</v>
      </c>
      <c r="G151">
        <v>41040</v>
      </c>
      <c r="H151">
        <v>18</v>
      </c>
      <c r="I151" t="s">
        <v>18</v>
      </c>
    </row>
    <row r="152" spans="1:9">
      <c r="A152">
        <v>21</v>
      </c>
      <c r="B152" t="s">
        <v>1914</v>
      </c>
      <c r="C152" t="s">
        <v>1739</v>
      </c>
      <c r="D152" t="s">
        <v>120</v>
      </c>
      <c r="E152">
        <v>0</v>
      </c>
      <c r="F152">
        <v>0</v>
      </c>
      <c r="G152">
        <v>0</v>
      </c>
      <c r="H152">
        <v>0</v>
      </c>
    </row>
    <row r="153" spans="1:9">
      <c r="A153" t="s">
        <v>14</v>
      </c>
      <c r="B153" t="s">
        <v>1914</v>
      </c>
      <c r="C153" t="s">
        <v>1739</v>
      </c>
      <c r="D153" t="s">
        <v>1727</v>
      </c>
      <c r="E153">
        <v>72</v>
      </c>
      <c r="F153">
        <v>0</v>
      </c>
      <c r="G153">
        <v>0</v>
      </c>
      <c r="H153">
        <v>0</v>
      </c>
      <c r="I153" t="s">
        <v>74</v>
      </c>
    </row>
    <row r="154" spans="1:9">
      <c r="A154" t="s">
        <v>44</v>
      </c>
      <c r="B154" t="s">
        <v>1914</v>
      </c>
      <c r="C154" t="s">
        <v>1739</v>
      </c>
      <c r="D154" t="s">
        <v>1728</v>
      </c>
      <c r="E154">
        <v>132</v>
      </c>
      <c r="F154">
        <v>190</v>
      </c>
      <c r="G154">
        <v>25080</v>
      </c>
      <c r="H154">
        <v>11</v>
      </c>
      <c r="I154" t="s">
        <v>74</v>
      </c>
    </row>
    <row r="155" spans="1:9">
      <c r="A155" t="s">
        <v>46</v>
      </c>
      <c r="B155" t="s">
        <v>1914</v>
      </c>
      <c r="C155" t="s">
        <v>1739</v>
      </c>
      <c r="D155" t="s">
        <v>121</v>
      </c>
      <c r="E155">
        <v>320</v>
      </c>
      <c r="F155">
        <v>1</v>
      </c>
      <c r="G155">
        <v>320</v>
      </c>
      <c r="H155">
        <v>0.14000000000000001</v>
      </c>
      <c r="I155" t="s">
        <v>27</v>
      </c>
    </row>
    <row r="156" spans="1:9">
      <c r="A156" t="s">
        <v>47</v>
      </c>
      <c r="B156" t="s">
        <v>1914</v>
      </c>
      <c r="C156" t="s">
        <v>1739</v>
      </c>
      <c r="D156" t="s">
        <v>1729</v>
      </c>
      <c r="E156">
        <v>5525</v>
      </c>
      <c r="F156">
        <v>0</v>
      </c>
      <c r="G156">
        <v>0</v>
      </c>
      <c r="H156">
        <v>0</v>
      </c>
      <c r="I156" t="s">
        <v>1916</v>
      </c>
    </row>
    <row r="157" spans="1:9">
      <c r="A157" t="s">
        <v>50</v>
      </c>
      <c r="B157" t="s">
        <v>1914</v>
      </c>
      <c r="C157" t="s">
        <v>1739</v>
      </c>
      <c r="D157" t="s">
        <v>124</v>
      </c>
      <c r="E157">
        <v>17161</v>
      </c>
      <c r="F157">
        <v>0</v>
      </c>
      <c r="G157">
        <v>0</v>
      </c>
      <c r="H157">
        <v>0</v>
      </c>
      <c r="I157" t="s">
        <v>1915</v>
      </c>
    </row>
    <row r="158" spans="1:9">
      <c r="A158" t="s">
        <v>52</v>
      </c>
      <c r="B158" t="s">
        <v>1914</v>
      </c>
      <c r="C158" t="s">
        <v>1739</v>
      </c>
      <c r="D158" t="s">
        <v>1730</v>
      </c>
      <c r="E158">
        <v>19068</v>
      </c>
      <c r="F158">
        <v>0</v>
      </c>
      <c r="G158">
        <v>0</v>
      </c>
      <c r="H158">
        <v>0</v>
      </c>
      <c r="I158" t="s">
        <v>1917</v>
      </c>
    </row>
    <row r="159" spans="1:9">
      <c r="A159" t="s">
        <v>53</v>
      </c>
      <c r="B159" t="s">
        <v>1914</v>
      </c>
      <c r="C159" t="s">
        <v>1739</v>
      </c>
      <c r="D159" t="s">
        <v>127</v>
      </c>
      <c r="E159">
        <v>823</v>
      </c>
      <c r="F159">
        <v>34.5</v>
      </c>
      <c r="G159">
        <v>28393.5</v>
      </c>
      <c r="H159">
        <v>12.45</v>
      </c>
      <c r="I159" t="s">
        <v>18</v>
      </c>
    </row>
    <row r="160" spans="1:9">
      <c r="A160" t="s">
        <v>85</v>
      </c>
      <c r="B160" t="s">
        <v>1914</v>
      </c>
      <c r="C160" t="s">
        <v>1739</v>
      </c>
      <c r="D160" t="s">
        <v>128</v>
      </c>
      <c r="E160">
        <v>104</v>
      </c>
      <c r="F160">
        <v>0</v>
      </c>
      <c r="G160">
        <v>0</v>
      </c>
      <c r="H160">
        <v>0</v>
      </c>
      <c r="I160" t="s">
        <v>27</v>
      </c>
    </row>
    <row r="161" spans="1:9">
      <c r="A161" t="s">
        <v>16</v>
      </c>
      <c r="B161" t="s">
        <v>1914</v>
      </c>
      <c r="C161" t="s">
        <v>1739</v>
      </c>
      <c r="D161" t="s">
        <v>1731</v>
      </c>
      <c r="E161">
        <v>1695</v>
      </c>
      <c r="F161">
        <v>0</v>
      </c>
      <c r="G161">
        <v>0</v>
      </c>
      <c r="H161">
        <v>0</v>
      </c>
      <c r="I161" t="s">
        <v>27</v>
      </c>
    </row>
    <row r="162" spans="1:9">
      <c r="A162" t="s">
        <v>19</v>
      </c>
      <c r="B162" t="s">
        <v>1914</v>
      </c>
      <c r="C162" t="s">
        <v>1739</v>
      </c>
      <c r="D162" t="s">
        <v>1732</v>
      </c>
      <c r="E162">
        <v>2067</v>
      </c>
      <c r="F162">
        <v>0</v>
      </c>
      <c r="G162">
        <v>0</v>
      </c>
      <c r="H162">
        <v>0</v>
      </c>
      <c r="I162" t="s">
        <v>27</v>
      </c>
    </row>
    <row r="163" spans="1:9">
      <c r="A163" t="s">
        <v>21</v>
      </c>
      <c r="B163" t="s">
        <v>149</v>
      </c>
      <c r="C163" t="s">
        <v>148</v>
      </c>
      <c r="D163" t="s">
        <v>1733</v>
      </c>
      <c r="E163">
        <v>2584</v>
      </c>
      <c r="F163">
        <v>1</v>
      </c>
      <c r="G163">
        <v>2584</v>
      </c>
      <c r="H163">
        <v>1.1299999999999999</v>
      </c>
      <c r="I163" t="s">
        <v>27</v>
      </c>
    </row>
    <row r="164" spans="1:9">
      <c r="A164" t="s">
        <v>16</v>
      </c>
      <c r="B164" t="s">
        <v>149</v>
      </c>
      <c r="C164" t="s">
        <v>148</v>
      </c>
      <c r="D164" t="s">
        <v>1734</v>
      </c>
      <c r="E164">
        <v>76</v>
      </c>
      <c r="F164">
        <v>350</v>
      </c>
      <c r="G164">
        <v>26600</v>
      </c>
      <c r="H164">
        <v>11.67</v>
      </c>
      <c r="I164" t="s">
        <v>18</v>
      </c>
    </row>
    <row r="165" spans="1:9">
      <c r="A165" t="s">
        <v>55</v>
      </c>
      <c r="B165" t="s">
        <v>149</v>
      </c>
      <c r="C165" t="s">
        <v>148</v>
      </c>
      <c r="D165" t="s">
        <v>1735</v>
      </c>
      <c r="E165">
        <v>15255</v>
      </c>
      <c r="F165">
        <v>0</v>
      </c>
      <c r="G165">
        <v>0</v>
      </c>
      <c r="H165">
        <v>0</v>
      </c>
      <c r="I165" t="s">
        <v>27</v>
      </c>
    </row>
    <row r="166" spans="1:9" ht="409.6">
      <c r="A166" t="s">
        <v>57</v>
      </c>
      <c r="B166" t="s">
        <v>149</v>
      </c>
      <c r="C166" t="s">
        <v>148</v>
      </c>
      <c r="D166" s="518" t="s">
        <v>134</v>
      </c>
      <c r="E166">
        <v>15560</v>
      </c>
      <c r="F166">
        <v>1</v>
      </c>
      <c r="G166">
        <v>15560</v>
      </c>
      <c r="H166">
        <v>6.82</v>
      </c>
      <c r="I166" t="s">
        <v>1915</v>
      </c>
    </row>
    <row r="167" spans="1:9">
      <c r="A167" t="s">
        <v>60</v>
      </c>
      <c r="B167" t="s">
        <v>149</v>
      </c>
      <c r="C167" t="s">
        <v>148</v>
      </c>
      <c r="D167" t="s">
        <v>1736</v>
      </c>
      <c r="E167">
        <v>10212</v>
      </c>
      <c r="F167">
        <v>1</v>
      </c>
      <c r="G167">
        <v>10212</v>
      </c>
      <c r="H167">
        <v>4.4800000000000004</v>
      </c>
      <c r="I167" t="s">
        <v>59</v>
      </c>
    </row>
    <row r="168" spans="1:9">
      <c r="A168" t="s">
        <v>135</v>
      </c>
      <c r="B168" t="s">
        <v>149</v>
      </c>
      <c r="C168" t="s">
        <v>148</v>
      </c>
      <c r="D168" t="s">
        <v>1737</v>
      </c>
      <c r="E168">
        <v>11441</v>
      </c>
      <c r="F168">
        <v>3</v>
      </c>
      <c r="G168">
        <v>34323</v>
      </c>
      <c r="H168">
        <v>15.05</v>
      </c>
      <c r="I168" t="s">
        <v>27</v>
      </c>
    </row>
    <row r="169" spans="1:9">
      <c r="A169" t="s">
        <v>136</v>
      </c>
      <c r="B169" t="s">
        <v>149</v>
      </c>
      <c r="C169" t="s">
        <v>148</v>
      </c>
      <c r="D169" t="s">
        <v>1738</v>
      </c>
      <c r="E169">
        <v>1296</v>
      </c>
      <c r="F169">
        <v>30</v>
      </c>
      <c r="G169">
        <v>38880</v>
      </c>
      <c r="H169">
        <v>17.05</v>
      </c>
      <c r="I169" t="s">
        <v>27</v>
      </c>
    </row>
    <row r="170" spans="1:9">
      <c r="A170" t="s">
        <v>16</v>
      </c>
      <c r="B170" t="s">
        <v>149</v>
      </c>
      <c r="C170" t="s">
        <v>148</v>
      </c>
      <c r="D170" t="s">
        <v>138</v>
      </c>
      <c r="E170">
        <v>211</v>
      </c>
      <c r="F170">
        <v>461.59</v>
      </c>
      <c r="G170">
        <v>97395.49</v>
      </c>
      <c r="H170">
        <v>42.72</v>
      </c>
      <c r="I170" t="s">
        <v>139</v>
      </c>
    </row>
    <row r="171" spans="1:9">
      <c r="A171" t="s">
        <v>3</v>
      </c>
      <c r="B171" t="s">
        <v>1914</v>
      </c>
      <c r="C171" t="s">
        <v>1739</v>
      </c>
      <c r="D171" t="s">
        <v>1739</v>
      </c>
      <c r="E171">
        <v>0</v>
      </c>
      <c r="F171">
        <v>0</v>
      </c>
      <c r="G171">
        <v>0</v>
      </c>
      <c r="H171">
        <v>0</v>
      </c>
    </row>
    <row r="172" spans="1:9">
      <c r="A172">
        <v>1</v>
      </c>
      <c r="B172" t="s">
        <v>1914</v>
      </c>
      <c r="C172" t="s">
        <v>1739</v>
      </c>
      <c r="D172" t="s">
        <v>142</v>
      </c>
      <c r="E172">
        <v>0</v>
      </c>
      <c r="F172">
        <v>0</v>
      </c>
      <c r="G172">
        <v>0</v>
      </c>
      <c r="H172">
        <v>0</v>
      </c>
    </row>
    <row r="173" spans="1:9">
      <c r="A173" t="s">
        <v>14</v>
      </c>
      <c r="B173" t="s">
        <v>1914</v>
      </c>
      <c r="C173" t="s">
        <v>1739</v>
      </c>
      <c r="D173" t="s">
        <v>1740</v>
      </c>
      <c r="E173">
        <v>28</v>
      </c>
      <c r="F173">
        <v>1047.19</v>
      </c>
      <c r="G173">
        <v>29321.32</v>
      </c>
      <c r="H173">
        <v>12.86</v>
      </c>
      <c r="I173" t="s">
        <v>18</v>
      </c>
    </row>
    <row r="174" spans="1:9">
      <c r="A174">
        <v>2</v>
      </c>
      <c r="B174" t="s">
        <v>1914</v>
      </c>
      <c r="C174" t="s">
        <v>1739</v>
      </c>
      <c r="D174" t="s">
        <v>143</v>
      </c>
      <c r="E174">
        <v>0</v>
      </c>
      <c r="F174">
        <v>0</v>
      </c>
      <c r="G174">
        <v>0</v>
      </c>
      <c r="H174">
        <v>0</v>
      </c>
    </row>
    <row r="175" spans="1:9">
      <c r="A175" t="s">
        <v>14</v>
      </c>
      <c r="B175" t="s">
        <v>1914</v>
      </c>
      <c r="C175" t="s">
        <v>1739</v>
      </c>
      <c r="D175" t="s">
        <v>1741</v>
      </c>
      <c r="E175">
        <v>76</v>
      </c>
      <c r="F175">
        <v>528.89</v>
      </c>
      <c r="G175">
        <v>40195.64</v>
      </c>
      <c r="H175">
        <v>17.63</v>
      </c>
      <c r="I175" t="s">
        <v>18</v>
      </c>
    </row>
    <row r="176" spans="1:9" ht="409.6">
      <c r="A176" t="s">
        <v>44</v>
      </c>
      <c r="B176" t="s">
        <v>1914</v>
      </c>
      <c r="C176" t="s">
        <v>1739</v>
      </c>
      <c r="D176" s="518" t="s">
        <v>1742</v>
      </c>
      <c r="E176">
        <v>114</v>
      </c>
      <c r="F176">
        <v>1917.94</v>
      </c>
      <c r="G176">
        <v>218645.16</v>
      </c>
      <c r="H176">
        <v>95.9</v>
      </c>
      <c r="I176" t="s">
        <v>18</v>
      </c>
    </row>
    <row r="177" spans="1:9">
      <c r="A177" t="s">
        <v>46</v>
      </c>
      <c r="B177" t="s">
        <v>1914</v>
      </c>
      <c r="C177" t="s">
        <v>1739</v>
      </c>
      <c r="D177" t="s">
        <v>1743</v>
      </c>
      <c r="E177">
        <v>96</v>
      </c>
      <c r="F177">
        <v>72</v>
      </c>
      <c r="G177">
        <v>6912</v>
      </c>
      <c r="H177">
        <v>3.03</v>
      </c>
      <c r="I177" t="s">
        <v>74</v>
      </c>
    </row>
    <row r="178" spans="1:9">
      <c r="A178">
        <v>3</v>
      </c>
      <c r="B178" t="s">
        <v>1914</v>
      </c>
      <c r="C178" t="s">
        <v>1739</v>
      </c>
      <c r="D178" t="s">
        <v>144</v>
      </c>
      <c r="E178">
        <v>0</v>
      </c>
      <c r="F178">
        <v>0</v>
      </c>
      <c r="G178">
        <v>0</v>
      </c>
      <c r="H178">
        <v>0</v>
      </c>
    </row>
    <row r="179" spans="1:9">
      <c r="A179" t="s">
        <v>14</v>
      </c>
      <c r="B179" t="s">
        <v>1914</v>
      </c>
      <c r="C179" t="s">
        <v>1739</v>
      </c>
      <c r="D179" t="s">
        <v>1744</v>
      </c>
      <c r="E179">
        <v>398</v>
      </c>
      <c r="F179">
        <v>0</v>
      </c>
      <c r="G179">
        <v>0</v>
      </c>
      <c r="H179">
        <v>0</v>
      </c>
      <c r="I179" t="s">
        <v>18</v>
      </c>
    </row>
    <row r="180" spans="1:9">
      <c r="A180" t="s">
        <v>44</v>
      </c>
      <c r="B180" t="s">
        <v>1914</v>
      </c>
      <c r="C180" t="s">
        <v>1739</v>
      </c>
      <c r="D180" t="s">
        <v>145</v>
      </c>
      <c r="E180">
        <v>411</v>
      </c>
      <c r="F180">
        <v>0</v>
      </c>
      <c r="G180">
        <v>0</v>
      </c>
      <c r="H180">
        <v>0</v>
      </c>
      <c r="I180" t="s">
        <v>18</v>
      </c>
    </row>
    <row r="181" spans="1:9">
      <c r="A181" t="s">
        <v>46</v>
      </c>
      <c r="B181" t="s">
        <v>1914</v>
      </c>
      <c r="C181" t="s">
        <v>1739</v>
      </c>
      <c r="D181" t="s">
        <v>1745</v>
      </c>
      <c r="E181">
        <v>6780</v>
      </c>
      <c r="F181">
        <v>0</v>
      </c>
      <c r="G181">
        <v>0</v>
      </c>
      <c r="H181">
        <v>0</v>
      </c>
      <c r="I181" t="s">
        <v>27</v>
      </c>
    </row>
    <row r="182" spans="1:9">
      <c r="A182" t="s">
        <v>4</v>
      </c>
      <c r="B182" t="s">
        <v>149</v>
      </c>
      <c r="C182" t="s">
        <v>148</v>
      </c>
      <c r="D182" t="s">
        <v>148</v>
      </c>
      <c r="E182">
        <v>0</v>
      </c>
      <c r="F182">
        <v>0</v>
      </c>
      <c r="G182">
        <v>0</v>
      </c>
      <c r="H182">
        <v>0</v>
      </c>
    </row>
    <row r="183" spans="1:9">
      <c r="A183">
        <v>1</v>
      </c>
      <c r="B183" t="s">
        <v>149</v>
      </c>
      <c r="C183" t="s">
        <v>148</v>
      </c>
      <c r="D183" t="s">
        <v>149</v>
      </c>
      <c r="E183">
        <v>0</v>
      </c>
      <c r="F183">
        <v>0</v>
      </c>
      <c r="G183">
        <v>0</v>
      </c>
      <c r="H183">
        <v>0</v>
      </c>
    </row>
    <row r="184" spans="1:9">
      <c r="A184" t="s">
        <v>14</v>
      </c>
      <c r="B184" t="s">
        <v>149</v>
      </c>
      <c r="C184" t="s">
        <v>148</v>
      </c>
      <c r="D184" t="s">
        <v>150</v>
      </c>
      <c r="E184">
        <v>0</v>
      </c>
      <c r="F184">
        <v>0</v>
      </c>
      <c r="G184">
        <v>0</v>
      </c>
      <c r="H184">
        <v>0</v>
      </c>
    </row>
    <row r="185" spans="1:9">
      <c r="A185" t="s">
        <v>16</v>
      </c>
      <c r="B185" t="s">
        <v>149</v>
      </c>
      <c r="C185" t="s">
        <v>148</v>
      </c>
      <c r="D185" t="s">
        <v>1746</v>
      </c>
      <c r="E185">
        <v>462</v>
      </c>
      <c r="F185">
        <v>325.36</v>
      </c>
      <c r="G185">
        <v>150316.32</v>
      </c>
      <c r="H185">
        <v>65.930000000000007</v>
      </c>
      <c r="I185" t="s">
        <v>18</v>
      </c>
    </row>
    <row r="186" spans="1:9">
      <c r="A186" t="s">
        <v>19</v>
      </c>
      <c r="B186" t="s">
        <v>1914</v>
      </c>
      <c r="C186" t="s">
        <v>1739</v>
      </c>
      <c r="D186" t="s">
        <v>1747</v>
      </c>
      <c r="E186">
        <v>131</v>
      </c>
      <c r="F186">
        <v>0</v>
      </c>
      <c r="G186">
        <v>0</v>
      </c>
      <c r="H186">
        <v>0</v>
      </c>
      <c r="I186" t="s">
        <v>18</v>
      </c>
    </row>
    <row r="187" spans="1:9">
      <c r="A187" t="s">
        <v>21</v>
      </c>
      <c r="B187" t="s">
        <v>149</v>
      </c>
      <c r="C187" t="s">
        <v>148</v>
      </c>
      <c r="D187" t="s">
        <v>1748</v>
      </c>
      <c r="E187">
        <v>380</v>
      </c>
      <c r="F187">
        <v>0</v>
      </c>
      <c r="G187">
        <v>0</v>
      </c>
      <c r="H187">
        <v>0</v>
      </c>
      <c r="I187" t="s">
        <v>18</v>
      </c>
    </row>
    <row r="188" spans="1:9">
      <c r="A188" t="s">
        <v>23</v>
      </c>
      <c r="B188" t="s">
        <v>6</v>
      </c>
      <c r="C188" t="s">
        <v>6</v>
      </c>
      <c r="D188" t="s">
        <v>1749</v>
      </c>
      <c r="E188">
        <v>340</v>
      </c>
      <c r="F188">
        <v>0</v>
      </c>
      <c r="G188">
        <v>0</v>
      </c>
      <c r="H188">
        <v>0</v>
      </c>
      <c r="I188" t="s">
        <v>18</v>
      </c>
    </row>
    <row r="189" spans="1:9">
      <c r="A189" t="s">
        <v>25</v>
      </c>
      <c r="B189" t="s">
        <v>289</v>
      </c>
      <c r="C189" t="s">
        <v>289</v>
      </c>
      <c r="D189" t="s">
        <v>1750</v>
      </c>
      <c r="E189">
        <v>543</v>
      </c>
      <c r="F189">
        <v>0</v>
      </c>
      <c r="G189">
        <v>0</v>
      </c>
      <c r="H189">
        <v>0</v>
      </c>
      <c r="I189" t="s">
        <v>18</v>
      </c>
    </row>
    <row r="190" spans="1:9">
      <c r="A190" t="s">
        <v>44</v>
      </c>
      <c r="B190" t="s">
        <v>289</v>
      </c>
      <c r="C190" t="s">
        <v>289</v>
      </c>
      <c r="D190" t="s">
        <v>151</v>
      </c>
      <c r="E190">
        <v>0</v>
      </c>
      <c r="F190">
        <v>0</v>
      </c>
      <c r="G190">
        <v>0</v>
      </c>
      <c r="H190">
        <v>0</v>
      </c>
    </row>
    <row r="191" spans="1:9" ht="409.6">
      <c r="A191" t="s">
        <v>16</v>
      </c>
      <c r="B191" t="s">
        <v>289</v>
      </c>
      <c r="C191" t="s">
        <v>289</v>
      </c>
      <c r="D191" s="518" t="s">
        <v>1751</v>
      </c>
      <c r="E191">
        <v>434</v>
      </c>
      <c r="F191">
        <v>517.41999999999996</v>
      </c>
      <c r="G191">
        <v>224560.28</v>
      </c>
      <c r="H191">
        <v>98.49</v>
      </c>
      <c r="I191" t="s">
        <v>18</v>
      </c>
    </row>
    <row r="192" spans="1:9" ht="409.6">
      <c r="A192" t="s">
        <v>19</v>
      </c>
      <c r="B192" t="s">
        <v>1914</v>
      </c>
      <c r="C192" t="s">
        <v>1739</v>
      </c>
      <c r="D192" s="518" t="s">
        <v>1752</v>
      </c>
      <c r="E192">
        <v>442</v>
      </c>
      <c r="F192">
        <v>0</v>
      </c>
      <c r="G192">
        <v>0</v>
      </c>
      <c r="H192">
        <v>0</v>
      </c>
      <c r="I192" t="s">
        <v>18</v>
      </c>
    </row>
    <row r="193" spans="1:9">
      <c r="A193" t="s">
        <v>46</v>
      </c>
      <c r="B193" t="s">
        <v>1914</v>
      </c>
      <c r="C193" t="s">
        <v>1739</v>
      </c>
      <c r="D193" t="s">
        <v>152</v>
      </c>
      <c r="E193">
        <v>0</v>
      </c>
      <c r="F193">
        <v>0</v>
      </c>
      <c r="G193">
        <v>0</v>
      </c>
      <c r="H193">
        <v>0</v>
      </c>
    </row>
    <row r="194" spans="1:9">
      <c r="A194" t="s">
        <v>16</v>
      </c>
      <c r="B194" t="s">
        <v>1914</v>
      </c>
      <c r="C194" t="s">
        <v>1739</v>
      </c>
      <c r="D194" t="s">
        <v>1753</v>
      </c>
      <c r="E194">
        <v>408</v>
      </c>
      <c r="F194">
        <v>0</v>
      </c>
      <c r="G194">
        <v>0</v>
      </c>
      <c r="H194">
        <v>0</v>
      </c>
      <c r="I194" t="s">
        <v>18</v>
      </c>
    </row>
    <row r="195" spans="1:9">
      <c r="A195" t="s">
        <v>19</v>
      </c>
      <c r="B195" t="s">
        <v>1914</v>
      </c>
      <c r="C195" t="s">
        <v>1739</v>
      </c>
      <c r="D195" t="s">
        <v>1754</v>
      </c>
      <c r="E195">
        <v>434</v>
      </c>
      <c r="F195">
        <v>0</v>
      </c>
      <c r="G195">
        <v>0</v>
      </c>
      <c r="H195">
        <v>0</v>
      </c>
      <c r="I195" t="s">
        <v>18</v>
      </c>
    </row>
    <row r="196" spans="1:9">
      <c r="A196" t="s">
        <v>47</v>
      </c>
      <c r="B196" t="s">
        <v>1914</v>
      </c>
      <c r="C196" t="s">
        <v>1739</v>
      </c>
      <c r="D196" t="s">
        <v>154</v>
      </c>
      <c r="E196">
        <v>0</v>
      </c>
      <c r="F196">
        <v>0</v>
      </c>
      <c r="G196">
        <v>0</v>
      </c>
      <c r="H196">
        <v>0</v>
      </c>
    </row>
    <row r="197" spans="1:9">
      <c r="A197" t="s">
        <v>16</v>
      </c>
      <c r="B197" t="s">
        <v>1914</v>
      </c>
      <c r="C197" t="s">
        <v>1739</v>
      </c>
      <c r="D197" t="s">
        <v>1755</v>
      </c>
      <c r="E197">
        <v>427</v>
      </c>
      <c r="F197">
        <v>0</v>
      </c>
      <c r="G197">
        <v>0</v>
      </c>
      <c r="H197">
        <v>0</v>
      </c>
      <c r="I197" t="s">
        <v>18</v>
      </c>
    </row>
    <row r="198" spans="1:9">
      <c r="A198">
        <v>2</v>
      </c>
      <c r="B198" t="s">
        <v>1914</v>
      </c>
      <c r="C198" t="s">
        <v>1739</v>
      </c>
      <c r="D198" t="s">
        <v>155</v>
      </c>
      <c r="E198">
        <v>0</v>
      </c>
      <c r="F198">
        <v>0</v>
      </c>
      <c r="G198">
        <v>0</v>
      </c>
      <c r="H198">
        <v>0</v>
      </c>
    </row>
    <row r="199" spans="1:9">
      <c r="A199" t="s">
        <v>14</v>
      </c>
      <c r="B199" t="s">
        <v>1914</v>
      </c>
      <c r="C199" t="s">
        <v>1739</v>
      </c>
      <c r="D199" t="s">
        <v>156</v>
      </c>
      <c r="E199">
        <v>0</v>
      </c>
      <c r="F199">
        <v>0</v>
      </c>
      <c r="G199">
        <v>0</v>
      </c>
      <c r="H199">
        <v>0</v>
      </c>
    </row>
    <row r="200" spans="1:9">
      <c r="A200" t="s">
        <v>16</v>
      </c>
      <c r="B200" t="s">
        <v>1914</v>
      </c>
      <c r="C200" t="s">
        <v>1739</v>
      </c>
      <c r="D200" t="s">
        <v>1756</v>
      </c>
      <c r="E200">
        <v>275</v>
      </c>
      <c r="F200">
        <v>0</v>
      </c>
      <c r="G200">
        <v>0</v>
      </c>
      <c r="H200">
        <v>0</v>
      </c>
      <c r="I200" t="s">
        <v>18</v>
      </c>
    </row>
    <row r="201" spans="1:9">
      <c r="A201" t="s">
        <v>19</v>
      </c>
      <c r="B201" t="s">
        <v>1914</v>
      </c>
      <c r="C201" t="s">
        <v>1739</v>
      </c>
      <c r="D201" t="s">
        <v>1757</v>
      </c>
      <c r="E201">
        <v>351</v>
      </c>
      <c r="F201">
        <v>989.03</v>
      </c>
      <c r="G201">
        <v>347149.53</v>
      </c>
      <c r="H201">
        <v>152.26</v>
      </c>
      <c r="I201" t="s">
        <v>18</v>
      </c>
    </row>
    <row r="202" spans="1:9">
      <c r="A202" t="s">
        <v>21</v>
      </c>
      <c r="B202" t="s">
        <v>149</v>
      </c>
      <c r="C202" t="s">
        <v>148</v>
      </c>
      <c r="D202" t="s">
        <v>1758</v>
      </c>
      <c r="E202">
        <v>177</v>
      </c>
      <c r="F202">
        <v>0</v>
      </c>
      <c r="G202">
        <v>0</v>
      </c>
      <c r="H202">
        <v>0</v>
      </c>
      <c r="I202" t="s">
        <v>18</v>
      </c>
    </row>
    <row r="203" spans="1:9">
      <c r="A203" t="s">
        <v>23</v>
      </c>
      <c r="B203" t="s">
        <v>6</v>
      </c>
      <c r="C203" t="s">
        <v>6</v>
      </c>
      <c r="D203" t="s">
        <v>1759</v>
      </c>
      <c r="E203">
        <v>211</v>
      </c>
      <c r="F203">
        <v>0</v>
      </c>
      <c r="G203">
        <v>0</v>
      </c>
      <c r="H203">
        <v>0</v>
      </c>
      <c r="I203" t="s">
        <v>18</v>
      </c>
    </row>
    <row r="204" spans="1:9">
      <c r="A204" t="s">
        <v>25</v>
      </c>
      <c r="B204" t="s">
        <v>289</v>
      </c>
      <c r="C204" t="s">
        <v>289</v>
      </c>
      <c r="D204" t="s">
        <v>1760</v>
      </c>
      <c r="E204">
        <v>275</v>
      </c>
      <c r="F204">
        <v>0</v>
      </c>
      <c r="G204">
        <v>0</v>
      </c>
      <c r="H204">
        <v>0</v>
      </c>
      <c r="I204" t="s">
        <v>18</v>
      </c>
    </row>
    <row r="205" spans="1:9">
      <c r="A205" t="s">
        <v>28</v>
      </c>
      <c r="B205" t="s">
        <v>301</v>
      </c>
      <c r="C205" t="s">
        <v>301</v>
      </c>
      <c r="D205" t="s">
        <v>1761</v>
      </c>
      <c r="E205">
        <v>182</v>
      </c>
      <c r="F205">
        <v>0</v>
      </c>
      <c r="G205">
        <v>0</v>
      </c>
      <c r="H205">
        <v>0</v>
      </c>
      <c r="I205" t="s">
        <v>18</v>
      </c>
    </row>
    <row r="206" spans="1:9">
      <c r="A206" t="s">
        <v>30</v>
      </c>
      <c r="B206" t="s">
        <v>301</v>
      </c>
      <c r="C206" t="s">
        <v>301</v>
      </c>
      <c r="D206" t="s">
        <v>1762</v>
      </c>
      <c r="E206">
        <v>261</v>
      </c>
      <c r="F206">
        <v>0</v>
      </c>
      <c r="G206">
        <v>0</v>
      </c>
      <c r="H206">
        <v>0</v>
      </c>
      <c r="I206" t="s">
        <v>18</v>
      </c>
    </row>
    <row r="207" spans="1:9">
      <c r="A207" t="s">
        <v>32</v>
      </c>
      <c r="B207" t="s">
        <v>301</v>
      </c>
      <c r="C207" t="s">
        <v>301</v>
      </c>
      <c r="D207" t="s">
        <v>1763</v>
      </c>
      <c r="E207">
        <v>442</v>
      </c>
      <c r="F207">
        <v>513.05999999999995</v>
      </c>
      <c r="G207">
        <v>226772.52</v>
      </c>
      <c r="H207">
        <v>99.46</v>
      </c>
      <c r="I207" t="s">
        <v>18</v>
      </c>
    </row>
    <row r="208" spans="1:9">
      <c r="A208">
        <v>3</v>
      </c>
      <c r="B208" t="s">
        <v>301</v>
      </c>
      <c r="C208" t="s">
        <v>301</v>
      </c>
      <c r="D208" t="s">
        <v>157</v>
      </c>
      <c r="E208">
        <v>0</v>
      </c>
      <c r="F208">
        <v>0</v>
      </c>
      <c r="G208">
        <v>0</v>
      </c>
      <c r="H208">
        <v>0</v>
      </c>
    </row>
    <row r="209" spans="1:9">
      <c r="A209" t="s">
        <v>14</v>
      </c>
      <c r="B209" t="s">
        <v>301</v>
      </c>
      <c r="C209" t="s">
        <v>301</v>
      </c>
      <c r="D209" t="s">
        <v>158</v>
      </c>
      <c r="E209">
        <v>288</v>
      </c>
      <c r="F209">
        <v>0</v>
      </c>
      <c r="G209">
        <v>0</v>
      </c>
      <c r="H209">
        <v>0</v>
      </c>
      <c r="I209" t="s">
        <v>18</v>
      </c>
    </row>
    <row r="210" spans="1:9">
      <c r="A210" t="s">
        <v>44</v>
      </c>
      <c r="B210" t="s">
        <v>301</v>
      </c>
      <c r="C210" t="s">
        <v>301</v>
      </c>
      <c r="D210" t="s">
        <v>1764</v>
      </c>
      <c r="E210">
        <v>244</v>
      </c>
      <c r="F210">
        <v>0</v>
      </c>
      <c r="G210">
        <v>0</v>
      </c>
      <c r="H210">
        <v>0</v>
      </c>
      <c r="I210" t="s">
        <v>18</v>
      </c>
    </row>
    <row r="211" spans="1:9">
      <c r="A211" t="s">
        <v>46</v>
      </c>
      <c r="B211" t="s">
        <v>301</v>
      </c>
      <c r="C211" t="s">
        <v>301</v>
      </c>
      <c r="D211" t="s">
        <v>1765</v>
      </c>
      <c r="E211">
        <v>244</v>
      </c>
      <c r="F211">
        <v>0</v>
      </c>
      <c r="G211">
        <v>0</v>
      </c>
      <c r="H211">
        <v>0</v>
      </c>
      <c r="I211" t="s">
        <v>18</v>
      </c>
    </row>
    <row r="212" spans="1:9">
      <c r="A212">
        <v>4</v>
      </c>
      <c r="B212" t="s">
        <v>301</v>
      </c>
      <c r="C212" t="s">
        <v>301</v>
      </c>
      <c r="D212" t="s">
        <v>159</v>
      </c>
      <c r="E212">
        <v>0</v>
      </c>
      <c r="F212">
        <v>0</v>
      </c>
      <c r="G212">
        <v>0</v>
      </c>
      <c r="H212">
        <v>0</v>
      </c>
    </row>
    <row r="213" spans="1:9">
      <c r="A213" t="s">
        <v>14</v>
      </c>
      <c r="B213" t="s">
        <v>301</v>
      </c>
      <c r="C213" t="s">
        <v>301</v>
      </c>
      <c r="D213" t="s">
        <v>160</v>
      </c>
      <c r="E213">
        <v>0</v>
      </c>
      <c r="F213">
        <v>0</v>
      </c>
      <c r="G213">
        <v>0</v>
      </c>
      <c r="H213">
        <v>0</v>
      </c>
    </row>
    <row r="214" spans="1:9">
      <c r="A214" t="s">
        <v>16</v>
      </c>
      <c r="B214" t="s">
        <v>301</v>
      </c>
      <c r="C214" t="s">
        <v>301</v>
      </c>
      <c r="D214" t="s">
        <v>161</v>
      </c>
      <c r="E214">
        <v>22035</v>
      </c>
      <c r="F214">
        <v>0</v>
      </c>
      <c r="G214">
        <v>0</v>
      </c>
      <c r="H214">
        <v>0</v>
      </c>
      <c r="I214" t="s">
        <v>27</v>
      </c>
    </row>
    <row r="215" spans="1:9">
      <c r="A215" t="s">
        <v>19</v>
      </c>
      <c r="B215" t="s">
        <v>1914</v>
      </c>
      <c r="C215" t="s">
        <v>1739</v>
      </c>
      <c r="D215" t="s">
        <v>162</v>
      </c>
      <c r="E215">
        <v>24789</v>
      </c>
      <c r="F215">
        <v>2</v>
      </c>
      <c r="G215">
        <v>49578</v>
      </c>
      <c r="H215">
        <v>21.74</v>
      </c>
      <c r="I215" t="s">
        <v>27</v>
      </c>
    </row>
    <row r="216" spans="1:9">
      <c r="A216" t="s">
        <v>21</v>
      </c>
      <c r="B216" t="s">
        <v>149</v>
      </c>
      <c r="C216" t="s">
        <v>148</v>
      </c>
      <c r="D216" t="s">
        <v>1766</v>
      </c>
      <c r="E216">
        <v>6568</v>
      </c>
      <c r="F216">
        <v>0</v>
      </c>
      <c r="G216">
        <v>0</v>
      </c>
      <c r="H216">
        <v>0</v>
      </c>
      <c r="I216" t="s">
        <v>27</v>
      </c>
    </row>
    <row r="217" spans="1:9">
      <c r="A217" t="s">
        <v>44</v>
      </c>
      <c r="B217" t="s">
        <v>149</v>
      </c>
      <c r="C217" t="s">
        <v>148</v>
      </c>
      <c r="D217" t="s">
        <v>164</v>
      </c>
      <c r="E217">
        <v>0</v>
      </c>
      <c r="F217">
        <v>0</v>
      </c>
      <c r="G217">
        <v>0</v>
      </c>
      <c r="H217">
        <v>0</v>
      </c>
    </row>
    <row r="218" spans="1:9">
      <c r="A218" t="s">
        <v>16</v>
      </c>
      <c r="B218" t="s">
        <v>149</v>
      </c>
      <c r="C218" t="s">
        <v>148</v>
      </c>
      <c r="D218" t="s">
        <v>1767</v>
      </c>
      <c r="E218">
        <v>20975</v>
      </c>
      <c r="F218">
        <v>2</v>
      </c>
      <c r="G218">
        <v>41950</v>
      </c>
      <c r="H218">
        <v>18.399999999999999</v>
      </c>
      <c r="I218" t="s">
        <v>27</v>
      </c>
    </row>
    <row r="219" spans="1:9">
      <c r="A219" t="s">
        <v>19</v>
      </c>
      <c r="B219" t="s">
        <v>1914</v>
      </c>
      <c r="C219" t="s">
        <v>1739</v>
      </c>
      <c r="D219" t="s">
        <v>1768</v>
      </c>
      <c r="E219">
        <v>21505</v>
      </c>
      <c r="F219">
        <v>0</v>
      </c>
      <c r="G219">
        <v>0</v>
      </c>
      <c r="H219">
        <v>0</v>
      </c>
      <c r="I219" t="s">
        <v>27</v>
      </c>
    </row>
    <row r="220" spans="1:9">
      <c r="A220" t="s">
        <v>46</v>
      </c>
      <c r="B220" t="s">
        <v>1914</v>
      </c>
      <c r="C220" t="s">
        <v>1739</v>
      </c>
      <c r="D220" t="s">
        <v>165</v>
      </c>
      <c r="E220">
        <v>0</v>
      </c>
      <c r="F220">
        <v>0</v>
      </c>
      <c r="G220">
        <v>0</v>
      </c>
      <c r="H220">
        <v>0</v>
      </c>
    </row>
    <row r="221" spans="1:9">
      <c r="A221" t="s">
        <v>16</v>
      </c>
      <c r="B221" t="s">
        <v>1914</v>
      </c>
      <c r="C221" t="s">
        <v>1739</v>
      </c>
      <c r="D221" t="s">
        <v>1769</v>
      </c>
      <c r="E221">
        <v>0</v>
      </c>
      <c r="F221">
        <v>0</v>
      </c>
      <c r="G221">
        <v>0</v>
      </c>
      <c r="H221">
        <v>0</v>
      </c>
    </row>
    <row r="222" spans="1:9">
      <c r="A222" t="s">
        <v>14</v>
      </c>
      <c r="B222" t="s">
        <v>1914</v>
      </c>
      <c r="C222" t="s">
        <v>1739</v>
      </c>
      <c r="D222" t="s">
        <v>166</v>
      </c>
      <c r="E222">
        <v>14259</v>
      </c>
      <c r="F222">
        <v>0</v>
      </c>
      <c r="G222">
        <v>0</v>
      </c>
      <c r="H222">
        <v>0</v>
      </c>
      <c r="I222" t="s">
        <v>27</v>
      </c>
    </row>
    <row r="223" spans="1:9">
      <c r="A223" t="s">
        <v>44</v>
      </c>
      <c r="B223" t="s">
        <v>1914</v>
      </c>
      <c r="C223" t="s">
        <v>1739</v>
      </c>
      <c r="D223" t="s">
        <v>167</v>
      </c>
      <c r="E223">
        <v>15664</v>
      </c>
      <c r="F223">
        <v>0</v>
      </c>
      <c r="G223">
        <v>0</v>
      </c>
      <c r="H223">
        <v>0</v>
      </c>
      <c r="I223" t="s">
        <v>27</v>
      </c>
    </row>
    <row r="224" spans="1:9">
      <c r="A224" t="s">
        <v>46</v>
      </c>
      <c r="B224" t="s">
        <v>1914</v>
      </c>
      <c r="C224" t="s">
        <v>1739</v>
      </c>
      <c r="D224" t="s">
        <v>168</v>
      </c>
      <c r="E224">
        <v>13884</v>
      </c>
      <c r="F224">
        <v>0</v>
      </c>
      <c r="G224">
        <v>0</v>
      </c>
      <c r="H224">
        <v>0</v>
      </c>
      <c r="I224" t="s">
        <v>27</v>
      </c>
    </row>
    <row r="225" spans="1:9">
      <c r="A225" t="s">
        <v>47</v>
      </c>
      <c r="B225" t="s">
        <v>1914</v>
      </c>
      <c r="C225" t="s">
        <v>1739</v>
      </c>
      <c r="D225" t="s">
        <v>169</v>
      </c>
      <c r="E225">
        <v>15664</v>
      </c>
      <c r="F225">
        <v>0</v>
      </c>
      <c r="G225">
        <v>0</v>
      </c>
      <c r="H225">
        <v>0</v>
      </c>
      <c r="I225" t="s">
        <v>27</v>
      </c>
    </row>
    <row r="226" spans="1:9">
      <c r="A226" t="s">
        <v>50</v>
      </c>
      <c r="B226" t="s">
        <v>1914</v>
      </c>
      <c r="C226" t="s">
        <v>1739</v>
      </c>
      <c r="D226" t="s">
        <v>170</v>
      </c>
      <c r="E226">
        <v>13136</v>
      </c>
      <c r="F226">
        <v>3</v>
      </c>
      <c r="G226">
        <v>39408</v>
      </c>
      <c r="H226">
        <v>17.28</v>
      </c>
      <c r="I226" t="s">
        <v>27</v>
      </c>
    </row>
    <row r="227" spans="1:9">
      <c r="A227" t="s">
        <v>52</v>
      </c>
      <c r="B227" t="s">
        <v>1914</v>
      </c>
      <c r="C227" t="s">
        <v>1739</v>
      </c>
      <c r="D227" t="s">
        <v>171</v>
      </c>
      <c r="E227">
        <v>15255</v>
      </c>
      <c r="F227">
        <v>0</v>
      </c>
      <c r="G227">
        <v>0</v>
      </c>
      <c r="H227">
        <v>0</v>
      </c>
      <c r="I227" t="s">
        <v>27</v>
      </c>
    </row>
    <row r="228" spans="1:9">
      <c r="A228" t="s">
        <v>19</v>
      </c>
      <c r="B228" t="s">
        <v>1914</v>
      </c>
      <c r="C228" t="s">
        <v>1739</v>
      </c>
      <c r="D228" t="s">
        <v>1598</v>
      </c>
      <c r="E228">
        <v>12994</v>
      </c>
      <c r="F228">
        <v>2</v>
      </c>
      <c r="G228">
        <v>25988</v>
      </c>
      <c r="H228">
        <v>11.4</v>
      </c>
      <c r="I228" t="s">
        <v>27</v>
      </c>
    </row>
    <row r="229" spans="1:9">
      <c r="A229" t="s">
        <v>21</v>
      </c>
      <c r="B229" t="s">
        <v>149</v>
      </c>
      <c r="C229" t="s">
        <v>148</v>
      </c>
      <c r="D229" t="s">
        <v>172</v>
      </c>
      <c r="E229">
        <v>5169</v>
      </c>
      <c r="F229">
        <v>0</v>
      </c>
      <c r="G229">
        <v>0</v>
      </c>
      <c r="H229">
        <v>0</v>
      </c>
      <c r="I229" t="s">
        <v>27</v>
      </c>
    </row>
    <row r="230" spans="1:9">
      <c r="A230" t="s">
        <v>47</v>
      </c>
      <c r="B230" t="s">
        <v>149</v>
      </c>
      <c r="C230" t="s">
        <v>148</v>
      </c>
      <c r="D230" t="s">
        <v>173</v>
      </c>
      <c r="E230">
        <v>0</v>
      </c>
      <c r="F230">
        <v>0</v>
      </c>
      <c r="G230">
        <v>0</v>
      </c>
      <c r="H230">
        <v>0</v>
      </c>
    </row>
    <row r="231" spans="1:9">
      <c r="A231" t="s">
        <v>16</v>
      </c>
      <c r="B231" t="s">
        <v>149</v>
      </c>
      <c r="C231" t="s">
        <v>148</v>
      </c>
      <c r="D231" t="s">
        <v>1770</v>
      </c>
      <c r="E231">
        <v>0</v>
      </c>
      <c r="F231">
        <v>0</v>
      </c>
      <c r="G231">
        <v>0</v>
      </c>
      <c r="H231">
        <v>0</v>
      </c>
    </row>
    <row r="232" spans="1:9">
      <c r="A232" t="s">
        <v>16</v>
      </c>
      <c r="B232" t="s">
        <v>149</v>
      </c>
      <c r="C232" t="s">
        <v>148</v>
      </c>
      <c r="D232" t="s">
        <v>1771</v>
      </c>
      <c r="E232">
        <v>3432</v>
      </c>
      <c r="F232">
        <v>1</v>
      </c>
      <c r="G232">
        <v>3432</v>
      </c>
      <c r="H232">
        <v>1.51</v>
      </c>
      <c r="I232" t="s">
        <v>27</v>
      </c>
    </row>
    <row r="233" spans="1:9">
      <c r="A233" t="s">
        <v>44</v>
      </c>
      <c r="B233" t="s">
        <v>149</v>
      </c>
      <c r="C233" t="s">
        <v>148</v>
      </c>
      <c r="D233" t="s">
        <v>1772</v>
      </c>
      <c r="E233">
        <v>3432</v>
      </c>
      <c r="F233">
        <v>0</v>
      </c>
      <c r="G233">
        <v>0</v>
      </c>
      <c r="H233">
        <v>0</v>
      </c>
      <c r="I233" t="s">
        <v>27</v>
      </c>
    </row>
    <row r="234" spans="1:9">
      <c r="A234" t="s">
        <v>46</v>
      </c>
      <c r="B234" t="s">
        <v>149</v>
      </c>
      <c r="C234" t="s">
        <v>148</v>
      </c>
      <c r="D234" t="s">
        <v>1773</v>
      </c>
      <c r="E234">
        <v>3432</v>
      </c>
      <c r="F234">
        <v>0</v>
      </c>
      <c r="G234">
        <v>0</v>
      </c>
      <c r="H234">
        <v>0</v>
      </c>
      <c r="I234" t="s">
        <v>27</v>
      </c>
    </row>
    <row r="235" spans="1:9">
      <c r="A235" t="s">
        <v>47</v>
      </c>
      <c r="B235" t="s">
        <v>149</v>
      </c>
      <c r="C235" t="s">
        <v>148</v>
      </c>
      <c r="D235" t="s">
        <v>1774</v>
      </c>
      <c r="E235">
        <v>3432</v>
      </c>
      <c r="F235">
        <v>0</v>
      </c>
      <c r="G235">
        <v>0</v>
      </c>
      <c r="H235">
        <v>0</v>
      </c>
      <c r="I235" t="s">
        <v>27</v>
      </c>
    </row>
    <row r="236" spans="1:9">
      <c r="A236" t="s">
        <v>50</v>
      </c>
      <c r="B236" t="s">
        <v>149</v>
      </c>
      <c r="C236" t="s">
        <v>148</v>
      </c>
      <c r="D236" t="s">
        <v>1775</v>
      </c>
      <c r="E236">
        <v>3432</v>
      </c>
      <c r="F236">
        <v>0</v>
      </c>
      <c r="G236">
        <v>0</v>
      </c>
      <c r="H236">
        <v>0</v>
      </c>
      <c r="I236" t="s">
        <v>27</v>
      </c>
    </row>
    <row r="237" spans="1:9">
      <c r="A237" t="s">
        <v>52</v>
      </c>
      <c r="B237" t="s">
        <v>149</v>
      </c>
      <c r="C237" t="s">
        <v>148</v>
      </c>
      <c r="D237" t="s">
        <v>1776</v>
      </c>
      <c r="E237">
        <v>3432</v>
      </c>
      <c r="F237">
        <v>0</v>
      </c>
      <c r="G237">
        <v>0</v>
      </c>
      <c r="H237">
        <v>0</v>
      </c>
      <c r="I237" t="s">
        <v>27</v>
      </c>
    </row>
    <row r="238" spans="1:9">
      <c r="A238" t="s">
        <v>50</v>
      </c>
      <c r="B238" t="s">
        <v>149</v>
      </c>
      <c r="C238" t="s">
        <v>148</v>
      </c>
      <c r="D238" t="s">
        <v>174</v>
      </c>
      <c r="E238">
        <v>0</v>
      </c>
      <c r="F238">
        <v>0</v>
      </c>
      <c r="G238">
        <v>0</v>
      </c>
      <c r="H238">
        <v>0</v>
      </c>
    </row>
    <row r="239" spans="1:9" ht="409.6">
      <c r="A239" t="s">
        <v>16</v>
      </c>
      <c r="B239" t="s">
        <v>149</v>
      </c>
      <c r="C239" t="s">
        <v>148</v>
      </c>
      <c r="D239" s="518" t="s">
        <v>175</v>
      </c>
      <c r="E239">
        <v>47602</v>
      </c>
      <c r="F239">
        <v>1</v>
      </c>
      <c r="G239">
        <v>47602</v>
      </c>
      <c r="H239">
        <v>20.88</v>
      </c>
      <c r="I239" t="s">
        <v>27</v>
      </c>
    </row>
    <row r="240" spans="1:9">
      <c r="A240">
        <v>5</v>
      </c>
      <c r="B240" t="s">
        <v>149</v>
      </c>
      <c r="C240" t="s">
        <v>148</v>
      </c>
      <c r="D240" t="s">
        <v>176</v>
      </c>
      <c r="E240">
        <v>0</v>
      </c>
      <c r="F240">
        <v>0</v>
      </c>
      <c r="G240">
        <v>0</v>
      </c>
      <c r="H240">
        <v>0</v>
      </c>
    </row>
    <row r="241" spans="1:9" ht="409.6">
      <c r="D241" s="518" t="s">
        <v>1884</v>
      </c>
      <c r="E241">
        <v>0</v>
      </c>
      <c r="F241">
        <v>0</v>
      </c>
      <c r="G241">
        <v>0</v>
      </c>
      <c r="H241">
        <v>0</v>
      </c>
    </row>
    <row r="242" spans="1:9">
      <c r="A242" t="s">
        <v>14</v>
      </c>
      <c r="B242" t="s">
        <v>149</v>
      </c>
      <c r="C242" t="s">
        <v>148</v>
      </c>
      <c r="D242" t="s">
        <v>177</v>
      </c>
      <c r="E242">
        <v>0</v>
      </c>
      <c r="F242">
        <v>0</v>
      </c>
      <c r="G242">
        <v>0</v>
      </c>
      <c r="H242">
        <v>0</v>
      </c>
    </row>
    <row r="243" spans="1:9" ht="409.6">
      <c r="A243" t="s">
        <v>16</v>
      </c>
      <c r="B243" t="s">
        <v>149</v>
      </c>
      <c r="C243" t="s">
        <v>148</v>
      </c>
      <c r="D243" s="518" t="s">
        <v>1777</v>
      </c>
      <c r="E243">
        <v>28249</v>
      </c>
      <c r="F243">
        <v>1</v>
      </c>
      <c r="G243">
        <v>28249</v>
      </c>
      <c r="H243">
        <v>12.39</v>
      </c>
      <c r="I243" t="s">
        <v>27</v>
      </c>
    </row>
    <row r="244" spans="1:9">
      <c r="A244" t="s">
        <v>19</v>
      </c>
      <c r="B244" t="s">
        <v>1914</v>
      </c>
      <c r="C244" t="s">
        <v>1739</v>
      </c>
      <c r="D244" t="s">
        <v>1778</v>
      </c>
      <c r="E244">
        <v>25340</v>
      </c>
      <c r="F244">
        <v>0</v>
      </c>
      <c r="G244">
        <v>0</v>
      </c>
      <c r="H244">
        <v>0</v>
      </c>
      <c r="I244" t="s">
        <v>27</v>
      </c>
    </row>
    <row r="245" spans="1:9">
      <c r="A245" t="s">
        <v>44</v>
      </c>
      <c r="B245" t="s">
        <v>1914</v>
      </c>
      <c r="C245" t="s">
        <v>1739</v>
      </c>
      <c r="D245" t="s">
        <v>179</v>
      </c>
      <c r="E245">
        <v>0</v>
      </c>
      <c r="F245">
        <v>0</v>
      </c>
      <c r="G245">
        <v>0</v>
      </c>
      <c r="H245">
        <v>0</v>
      </c>
    </row>
    <row r="246" spans="1:9">
      <c r="A246" t="s">
        <v>16</v>
      </c>
      <c r="B246" t="s">
        <v>1914</v>
      </c>
      <c r="C246" t="s">
        <v>1739</v>
      </c>
      <c r="D246" t="s">
        <v>1779</v>
      </c>
      <c r="E246">
        <v>25213</v>
      </c>
      <c r="F246">
        <v>0</v>
      </c>
      <c r="G246">
        <v>0</v>
      </c>
      <c r="H246">
        <v>0</v>
      </c>
      <c r="I246" t="s">
        <v>27</v>
      </c>
    </row>
    <row r="247" spans="1:9">
      <c r="A247" t="s">
        <v>19</v>
      </c>
      <c r="B247" t="s">
        <v>1914</v>
      </c>
      <c r="C247" t="s">
        <v>1739</v>
      </c>
      <c r="D247" t="s">
        <v>180</v>
      </c>
      <c r="E247">
        <v>20128</v>
      </c>
      <c r="F247">
        <v>0</v>
      </c>
      <c r="G247">
        <v>0</v>
      </c>
      <c r="H247">
        <v>0</v>
      </c>
      <c r="I247" t="s">
        <v>27</v>
      </c>
    </row>
    <row r="248" spans="1:9">
      <c r="A248" t="s">
        <v>21</v>
      </c>
      <c r="B248" t="s">
        <v>149</v>
      </c>
      <c r="C248" t="s">
        <v>148</v>
      </c>
      <c r="D248" t="s">
        <v>181</v>
      </c>
      <c r="E248">
        <v>20488</v>
      </c>
      <c r="F248">
        <v>0</v>
      </c>
      <c r="G248">
        <v>0</v>
      </c>
      <c r="H248">
        <v>0</v>
      </c>
      <c r="I248" t="s">
        <v>27</v>
      </c>
    </row>
    <row r="249" spans="1:9">
      <c r="A249" t="s">
        <v>46</v>
      </c>
      <c r="B249" t="s">
        <v>149</v>
      </c>
      <c r="C249" t="s">
        <v>148</v>
      </c>
      <c r="D249" t="s">
        <v>182</v>
      </c>
      <c r="E249">
        <v>0</v>
      </c>
      <c r="F249">
        <v>0</v>
      </c>
      <c r="G249">
        <v>0</v>
      </c>
      <c r="H249">
        <v>0</v>
      </c>
    </row>
    <row r="250" spans="1:9">
      <c r="A250" t="s">
        <v>16</v>
      </c>
      <c r="B250" t="s">
        <v>149</v>
      </c>
      <c r="C250" t="s">
        <v>148</v>
      </c>
      <c r="D250" t="s">
        <v>183</v>
      </c>
      <c r="E250">
        <v>22458</v>
      </c>
      <c r="F250">
        <v>0</v>
      </c>
      <c r="G250">
        <v>0</v>
      </c>
      <c r="H250">
        <v>0</v>
      </c>
      <c r="I250" t="s">
        <v>27</v>
      </c>
    </row>
    <row r="251" spans="1:9">
      <c r="A251" t="s">
        <v>19</v>
      </c>
      <c r="B251" t="s">
        <v>1914</v>
      </c>
      <c r="C251" t="s">
        <v>1739</v>
      </c>
      <c r="D251" t="s">
        <v>1780</v>
      </c>
      <c r="E251">
        <v>20340</v>
      </c>
      <c r="F251">
        <v>0</v>
      </c>
      <c r="G251">
        <v>0</v>
      </c>
      <c r="H251">
        <v>0</v>
      </c>
      <c r="I251" t="s">
        <v>27</v>
      </c>
    </row>
    <row r="252" spans="1:9">
      <c r="A252" t="s">
        <v>47</v>
      </c>
      <c r="B252" t="s">
        <v>1914</v>
      </c>
      <c r="C252" t="s">
        <v>1739</v>
      </c>
      <c r="D252" t="s">
        <v>184</v>
      </c>
      <c r="E252">
        <v>0</v>
      </c>
      <c r="F252">
        <v>0</v>
      </c>
      <c r="G252">
        <v>0</v>
      </c>
      <c r="H252">
        <v>0</v>
      </c>
    </row>
    <row r="253" spans="1:9">
      <c r="A253" t="s">
        <v>16</v>
      </c>
      <c r="B253" t="s">
        <v>1914</v>
      </c>
      <c r="C253" t="s">
        <v>1739</v>
      </c>
      <c r="D253" t="s">
        <v>185</v>
      </c>
      <c r="E253">
        <v>16568</v>
      </c>
      <c r="F253">
        <v>21</v>
      </c>
      <c r="G253">
        <v>347928</v>
      </c>
      <c r="H253">
        <v>152.6</v>
      </c>
      <c r="I253" t="s">
        <v>27</v>
      </c>
    </row>
    <row r="254" spans="1:9" ht="409.6">
      <c r="A254" t="s">
        <v>19</v>
      </c>
      <c r="B254" t="s">
        <v>1914</v>
      </c>
      <c r="C254" t="s">
        <v>1739</v>
      </c>
      <c r="D254" s="518" t="s">
        <v>1781</v>
      </c>
      <c r="E254">
        <v>17043</v>
      </c>
      <c r="F254">
        <v>0</v>
      </c>
      <c r="G254">
        <v>0</v>
      </c>
      <c r="H254">
        <v>0</v>
      </c>
      <c r="I254" t="s">
        <v>27</v>
      </c>
    </row>
    <row r="255" spans="1:9">
      <c r="A255" t="s">
        <v>21</v>
      </c>
      <c r="B255" t="s">
        <v>149</v>
      </c>
      <c r="C255" t="s">
        <v>148</v>
      </c>
      <c r="D255" t="s">
        <v>187</v>
      </c>
      <c r="E255">
        <v>0</v>
      </c>
      <c r="F255">
        <v>0</v>
      </c>
      <c r="G255">
        <v>0</v>
      </c>
      <c r="H255">
        <v>0</v>
      </c>
      <c r="I255" t="s">
        <v>27</v>
      </c>
    </row>
    <row r="256" spans="1:9">
      <c r="A256" t="s">
        <v>23</v>
      </c>
      <c r="B256" t="s">
        <v>6</v>
      </c>
      <c r="C256" t="s">
        <v>6</v>
      </c>
      <c r="D256" t="s">
        <v>188</v>
      </c>
      <c r="E256">
        <v>1268</v>
      </c>
      <c r="F256">
        <v>0</v>
      </c>
      <c r="G256">
        <v>0</v>
      </c>
      <c r="H256">
        <v>0</v>
      </c>
      <c r="I256" t="s">
        <v>74</v>
      </c>
    </row>
    <row r="257" spans="1:9">
      <c r="A257" t="s">
        <v>50</v>
      </c>
      <c r="B257" t="s">
        <v>6</v>
      </c>
      <c r="C257" t="s">
        <v>6</v>
      </c>
      <c r="D257" t="s">
        <v>189</v>
      </c>
      <c r="E257">
        <v>0</v>
      </c>
      <c r="F257">
        <v>0</v>
      </c>
      <c r="G257">
        <v>0</v>
      </c>
      <c r="H257">
        <v>0</v>
      </c>
    </row>
    <row r="258" spans="1:9">
      <c r="A258" t="s">
        <v>16</v>
      </c>
      <c r="B258" t="s">
        <v>6</v>
      </c>
      <c r="C258" t="s">
        <v>6</v>
      </c>
      <c r="D258" t="s">
        <v>190</v>
      </c>
      <c r="E258">
        <v>24336</v>
      </c>
      <c r="F258">
        <v>0</v>
      </c>
      <c r="G258">
        <v>0</v>
      </c>
      <c r="H258">
        <v>0</v>
      </c>
      <c r="I258" t="s">
        <v>27</v>
      </c>
    </row>
    <row r="259" spans="1:9">
      <c r="A259" t="s">
        <v>19</v>
      </c>
      <c r="B259" t="s">
        <v>1914</v>
      </c>
      <c r="C259" t="s">
        <v>1739</v>
      </c>
      <c r="D259" t="s">
        <v>191</v>
      </c>
      <c r="E259">
        <v>37247</v>
      </c>
      <c r="F259">
        <v>0</v>
      </c>
      <c r="G259">
        <v>0</v>
      </c>
      <c r="H259">
        <v>0</v>
      </c>
      <c r="I259" t="s">
        <v>27</v>
      </c>
    </row>
    <row r="260" spans="1:9">
      <c r="A260" t="s">
        <v>52</v>
      </c>
      <c r="B260" t="s">
        <v>1914</v>
      </c>
      <c r="C260" t="s">
        <v>1739</v>
      </c>
      <c r="D260" t="s">
        <v>192</v>
      </c>
      <c r="E260">
        <v>0</v>
      </c>
      <c r="F260">
        <v>0</v>
      </c>
      <c r="G260">
        <v>0</v>
      </c>
      <c r="H260">
        <v>0</v>
      </c>
    </row>
    <row r="261" spans="1:9">
      <c r="A261" t="s">
        <v>16</v>
      </c>
      <c r="B261" t="s">
        <v>1914</v>
      </c>
      <c r="C261" t="s">
        <v>1739</v>
      </c>
      <c r="D261" t="s">
        <v>193</v>
      </c>
      <c r="E261">
        <v>3813</v>
      </c>
      <c r="F261">
        <v>0</v>
      </c>
      <c r="G261">
        <v>0</v>
      </c>
      <c r="H261">
        <v>0</v>
      </c>
      <c r="I261" t="s">
        <v>74</v>
      </c>
    </row>
    <row r="262" spans="1:9">
      <c r="A262" t="s">
        <v>53</v>
      </c>
      <c r="B262" t="s">
        <v>1914</v>
      </c>
      <c r="C262" t="s">
        <v>1739</v>
      </c>
      <c r="D262" t="s">
        <v>194</v>
      </c>
      <c r="E262">
        <v>0</v>
      </c>
      <c r="F262">
        <v>0</v>
      </c>
      <c r="G262">
        <v>0</v>
      </c>
      <c r="H262">
        <v>0</v>
      </c>
    </row>
    <row r="263" spans="1:9">
      <c r="A263" t="s">
        <v>16</v>
      </c>
      <c r="B263" t="s">
        <v>1914</v>
      </c>
      <c r="C263" t="s">
        <v>1739</v>
      </c>
      <c r="D263" t="s">
        <v>1782</v>
      </c>
      <c r="E263">
        <v>3203</v>
      </c>
      <c r="F263">
        <v>0</v>
      </c>
      <c r="G263">
        <v>0</v>
      </c>
      <c r="H263">
        <v>0</v>
      </c>
      <c r="I263" t="s">
        <v>74</v>
      </c>
    </row>
    <row r="264" spans="1:9">
      <c r="A264" t="s">
        <v>85</v>
      </c>
      <c r="B264" t="s">
        <v>1914</v>
      </c>
      <c r="C264" t="s">
        <v>1739</v>
      </c>
      <c r="D264" t="s">
        <v>195</v>
      </c>
      <c r="E264">
        <v>0</v>
      </c>
      <c r="F264">
        <v>0</v>
      </c>
      <c r="G264">
        <v>0</v>
      </c>
      <c r="H264">
        <v>0</v>
      </c>
    </row>
    <row r="265" spans="1:9">
      <c r="A265" t="s">
        <v>16</v>
      </c>
      <c r="B265" t="s">
        <v>1914</v>
      </c>
      <c r="C265" t="s">
        <v>1739</v>
      </c>
      <c r="D265" t="s">
        <v>1783</v>
      </c>
      <c r="E265">
        <v>12757</v>
      </c>
      <c r="F265">
        <v>0</v>
      </c>
      <c r="G265">
        <v>0</v>
      </c>
      <c r="H265">
        <v>0</v>
      </c>
      <c r="I265" t="s">
        <v>27</v>
      </c>
    </row>
    <row r="266" spans="1:9">
      <c r="A266" t="s">
        <v>19</v>
      </c>
      <c r="B266" t="s">
        <v>1914</v>
      </c>
      <c r="C266" t="s">
        <v>1739</v>
      </c>
      <c r="D266" t="s">
        <v>196</v>
      </c>
      <c r="E266">
        <v>32035</v>
      </c>
      <c r="F266">
        <v>0</v>
      </c>
      <c r="G266">
        <v>0</v>
      </c>
      <c r="H266">
        <v>0</v>
      </c>
      <c r="I266" t="s">
        <v>27</v>
      </c>
    </row>
    <row r="267" spans="1:9">
      <c r="A267" t="s">
        <v>21</v>
      </c>
      <c r="B267" t="s">
        <v>149</v>
      </c>
      <c r="C267" t="s">
        <v>148</v>
      </c>
      <c r="D267" t="s">
        <v>197</v>
      </c>
      <c r="E267">
        <v>21738</v>
      </c>
      <c r="F267">
        <v>0</v>
      </c>
      <c r="G267">
        <v>0</v>
      </c>
      <c r="H267">
        <v>0</v>
      </c>
      <c r="I267" t="s">
        <v>27</v>
      </c>
    </row>
    <row r="268" spans="1:9">
      <c r="A268" t="s">
        <v>23</v>
      </c>
      <c r="B268" t="s">
        <v>6</v>
      </c>
      <c r="C268" t="s">
        <v>6</v>
      </c>
      <c r="D268" t="s">
        <v>198</v>
      </c>
      <c r="E268">
        <v>32035</v>
      </c>
      <c r="F268">
        <v>0</v>
      </c>
      <c r="G268">
        <v>0</v>
      </c>
      <c r="H268">
        <v>0</v>
      </c>
      <c r="I268" t="s">
        <v>27</v>
      </c>
    </row>
    <row r="269" spans="1:9">
      <c r="A269" t="s">
        <v>25</v>
      </c>
      <c r="B269" t="s">
        <v>289</v>
      </c>
      <c r="C269" t="s">
        <v>289</v>
      </c>
      <c r="D269" t="s">
        <v>199</v>
      </c>
      <c r="E269">
        <v>43476</v>
      </c>
      <c r="F269">
        <v>0</v>
      </c>
      <c r="G269">
        <v>0</v>
      </c>
      <c r="H269">
        <v>0</v>
      </c>
      <c r="I269" t="s">
        <v>27</v>
      </c>
    </row>
    <row r="270" spans="1:9">
      <c r="A270" t="s">
        <v>16</v>
      </c>
      <c r="B270" t="s">
        <v>289</v>
      </c>
      <c r="C270" t="s">
        <v>289</v>
      </c>
      <c r="D270" t="s">
        <v>200</v>
      </c>
      <c r="E270">
        <v>0</v>
      </c>
      <c r="F270">
        <v>0</v>
      </c>
      <c r="G270">
        <v>0</v>
      </c>
      <c r="H270">
        <v>0</v>
      </c>
    </row>
    <row r="271" spans="1:9">
      <c r="A271" t="s">
        <v>16</v>
      </c>
      <c r="B271" t="s">
        <v>289</v>
      </c>
      <c r="C271" t="s">
        <v>289</v>
      </c>
      <c r="D271" t="s">
        <v>201</v>
      </c>
      <c r="E271">
        <v>889</v>
      </c>
      <c r="F271">
        <v>10</v>
      </c>
      <c r="G271">
        <v>8890</v>
      </c>
      <c r="H271">
        <v>3.9</v>
      </c>
      <c r="I271" t="s">
        <v>18</v>
      </c>
    </row>
    <row r="272" spans="1:9">
      <c r="A272" t="s">
        <v>202</v>
      </c>
      <c r="B272" t="s">
        <v>289</v>
      </c>
      <c r="C272" t="s">
        <v>289</v>
      </c>
      <c r="D272" t="s">
        <v>203</v>
      </c>
      <c r="E272">
        <v>0</v>
      </c>
      <c r="F272">
        <v>0</v>
      </c>
      <c r="G272">
        <v>0</v>
      </c>
      <c r="H272">
        <v>0</v>
      </c>
    </row>
    <row r="273" spans="1:9" ht="409.6">
      <c r="D273" s="518" t="s">
        <v>204</v>
      </c>
      <c r="E273">
        <v>26696</v>
      </c>
      <c r="F273">
        <v>0</v>
      </c>
      <c r="G273">
        <v>0</v>
      </c>
      <c r="H273">
        <v>0</v>
      </c>
      <c r="I273" t="s">
        <v>27</v>
      </c>
    </row>
    <row r="274" spans="1:9">
      <c r="A274">
        <v>6</v>
      </c>
      <c r="B274" t="s">
        <v>289</v>
      </c>
      <c r="C274" t="s">
        <v>289</v>
      </c>
      <c r="D274" t="s">
        <v>205</v>
      </c>
      <c r="E274">
        <v>0</v>
      </c>
      <c r="F274">
        <v>0</v>
      </c>
      <c r="G274">
        <v>0</v>
      </c>
      <c r="H274">
        <v>0</v>
      </c>
    </row>
    <row r="275" spans="1:9">
      <c r="A275" t="s">
        <v>14</v>
      </c>
      <c r="B275" t="s">
        <v>289</v>
      </c>
      <c r="C275" t="s">
        <v>289</v>
      </c>
      <c r="D275" t="s">
        <v>1784</v>
      </c>
      <c r="E275">
        <v>0</v>
      </c>
      <c r="F275">
        <v>0</v>
      </c>
      <c r="G275">
        <v>0</v>
      </c>
      <c r="H275">
        <v>0</v>
      </c>
    </row>
    <row r="276" spans="1:9">
      <c r="A276" t="s">
        <v>16</v>
      </c>
      <c r="B276" t="s">
        <v>289</v>
      </c>
      <c r="C276" t="s">
        <v>289</v>
      </c>
      <c r="D276" t="s">
        <v>206</v>
      </c>
      <c r="E276">
        <v>779</v>
      </c>
      <c r="F276">
        <v>38.5</v>
      </c>
      <c r="G276">
        <v>29991.5</v>
      </c>
      <c r="H276">
        <v>13.15</v>
      </c>
      <c r="I276" t="s">
        <v>18</v>
      </c>
    </row>
    <row r="277" spans="1:9">
      <c r="A277" t="s">
        <v>44</v>
      </c>
      <c r="B277" t="s">
        <v>289</v>
      </c>
      <c r="C277" t="s">
        <v>289</v>
      </c>
      <c r="D277" t="s">
        <v>1785</v>
      </c>
      <c r="E277">
        <v>0</v>
      </c>
      <c r="F277">
        <v>0</v>
      </c>
      <c r="G277">
        <v>0</v>
      </c>
      <c r="H277">
        <v>0</v>
      </c>
    </row>
    <row r="278" spans="1:9">
      <c r="A278" t="s">
        <v>16</v>
      </c>
      <c r="B278" t="s">
        <v>289</v>
      </c>
      <c r="C278" t="s">
        <v>289</v>
      </c>
      <c r="D278" t="s">
        <v>207</v>
      </c>
      <c r="E278">
        <v>610</v>
      </c>
      <c r="F278">
        <v>103.84</v>
      </c>
      <c r="G278">
        <v>63342.400000000001</v>
      </c>
      <c r="H278">
        <v>27.78</v>
      </c>
      <c r="I278" t="s">
        <v>18</v>
      </c>
    </row>
    <row r="279" spans="1:9">
      <c r="A279" t="s">
        <v>19</v>
      </c>
      <c r="B279" t="s">
        <v>1914</v>
      </c>
      <c r="C279" t="s">
        <v>1739</v>
      </c>
      <c r="D279" t="s">
        <v>1786</v>
      </c>
      <c r="E279">
        <v>610</v>
      </c>
      <c r="F279">
        <v>0</v>
      </c>
      <c r="G279">
        <v>0</v>
      </c>
      <c r="H279">
        <v>0</v>
      </c>
      <c r="I279" t="s">
        <v>18</v>
      </c>
    </row>
    <row r="280" spans="1:9">
      <c r="A280" t="s">
        <v>21</v>
      </c>
      <c r="B280" t="s">
        <v>149</v>
      </c>
      <c r="C280" t="s">
        <v>148</v>
      </c>
      <c r="D280" t="s">
        <v>1787</v>
      </c>
      <c r="E280">
        <v>678</v>
      </c>
      <c r="F280">
        <v>0</v>
      </c>
      <c r="G280">
        <v>0</v>
      </c>
      <c r="H280">
        <v>0</v>
      </c>
      <c r="I280" t="s">
        <v>18</v>
      </c>
    </row>
    <row r="281" spans="1:9">
      <c r="A281" t="s">
        <v>23</v>
      </c>
      <c r="B281" t="s">
        <v>6</v>
      </c>
      <c r="C281" t="s">
        <v>6</v>
      </c>
      <c r="D281" t="s">
        <v>208</v>
      </c>
      <c r="E281">
        <v>3856</v>
      </c>
      <c r="F281">
        <v>0</v>
      </c>
      <c r="G281">
        <v>0</v>
      </c>
      <c r="H281">
        <v>0</v>
      </c>
      <c r="I281" t="s">
        <v>27</v>
      </c>
    </row>
    <row r="282" spans="1:9">
      <c r="A282" t="s">
        <v>25</v>
      </c>
      <c r="B282" t="s">
        <v>289</v>
      </c>
      <c r="C282" t="s">
        <v>289</v>
      </c>
      <c r="D282" t="s">
        <v>1788</v>
      </c>
      <c r="E282">
        <v>2669</v>
      </c>
      <c r="F282">
        <v>0</v>
      </c>
      <c r="G282">
        <v>0</v>
      </c>
      <c r="H282">
        <v>0</v>
      </c>
      <c r="I282" t="s">
        <v>27</v>
      </c>
    </row>
    <row r="283" spans="1:9">
      <c r="A283" t="s">
        <v>46</v>
      </c>
      <c r="B283" t="s">
        <v>289</v>
      </c>
      <c r="C283" t="s">
        <v>289</v>
      </c>
      <c r="D283" t="s">
        <v>210</v>
      </c>
      <c r="E283">
        <v>0</v>
      </c>
      <c r="F283">
        <v>0</v>
      </c>
      <c r="G283">
        <v>0</v>
      </c>
      <c r="H283">
        <v>0</v>
      </c>
    </row>
    <row r="284" spans="1:9">
      <c r="A284" t="s">
        <v>16</v>
      </c>
      <c r="B284" t="s">
        <v>289</v>
      </c>
      <c r="C284" t="s">
        <v>289</v>
      </c>
      <c r="D284" t="s">
        <v>211</v>
      </c>
      <c r="E284">
        <v>205</v>
      </c>
      <c r="F284">
        <v>117</v>
      </c>
      <c r="G284">
        <v>23985</v>
      </c>
      <c r="H284">
        <v>10.52</v>
      </c>
      <c r="I284" t="s">
        <v>18</v>
      </c>
    </row>
    <row r="285" spans="1:9">
      <c r="A285" t="s">
        <v>47</v>
      </c>
      <c r="B285" t="s">
        <v>289</v>
      </c>
      <c r="C285" t="s">
        <v>289</v>
      </c>
      <c r="D285" t="s">
        <v>212</v>
      </c>
      <c r="E285">
        <v>0</v>
      </c>
      <c r="F285">
        <v>0</v>
      </c>
      <c r="G285">
        <v>0</v>
      </c>
      <c r="H285">
        <v>0</v>
      </c>
    </row>
    <row r="286" spans="1:9">
      <c r="A286" t="s">
        <v>16</v>
      </c>
      <c r="B286" t="s">
        <v>289</v>
      </c>
      <c r="C286" t="s">
        <v>289</v>
      </c>
      <c r="D286" t="s">
        <v>213</v>
      </c>
      <c r="E286">
        <v>966</v>
      </c>
      <c r="F286">
        <v>0</v>
      </c>
      <c r="G286">
        <v>0</v>
      </c>
      <c r="H286">
        <v>0</v>
      </c>
      <c r="I286" t="s">
        <v>18</v>
      </c>
    </row>
    <row r="287" spans="1:9">
      <c r="A287">
        <v>7</v>
      </c>
      <c r="B287" t="s">
        <v>289</v>
      </c>
      <c r="C287" t="s">
        <v>289</v>
      </c>
      <c r="D287" t="s">
        <v>214</v>
      </c>
      <c r="E287">
        <v>0</v>
      </c>
      <c r="F287">
        <v>0</v>
      </c>
      <c r="G287">
        <v>0</v>
      </c>
      <c r="H287">
        <v>0</v>
      </c>
    </row>
    <row r="288" spans="1:9">
      <c r="A288" t="s">
        <v>14</v>
      </c>
      <c r="B288" t="s">
        <v>289</v>
      </c>
      <c r="C288" t="s">
        <v>289</v>
      </c>
      <c r="D288" t="s">
        <v>215</v>
      </c>
      <c r="E288">
        <v>466</v>
      </c>
      <c r="F288">
        <v>51.52</v>
      </c>
      <c r="G288">
        <v>24008.32</v>
      </c>
      <c r="H288">
        <v>10.53</v>
      </c>
      <c r="I288" t="s">
        <v>18</v>
      </c>
    </row>
    <row r="289" spans="1:9">
      <c r="A289" t="s">
        <v>44</v>
      </c>
      <c r="B289" t="s">
        <v>289</v>
      </c>
      <c r="C289" t="s">
        <v>289</v>
      </c>
      <c r="D289" t="s">
        <v>1789</v>
      </c>
      <c r="E289">
        <v>466</v>
      </c>
      <c r="F289">
        <v>0</v>
      </c>
      <c r="G289">
        <v>0</v>
      </c>
      <c r="H289">
        <v>0</v>
      </c>
      <c r="I289" t="s">
        <v>18</v>
      </c>
    </row>
    <row r="290" spans="1:9">
      <c r="A290" t="s">
        <v>46</v>
      </c>
      <c r="B290" t="s">
        <v>289</v>
      </c>
      <c r="C290" t="s">
        <v>289</v>
      </c>
      <c r="D290" t="s">
        <v>1790</v>
      </c>
      <c r="E290">
        <v>457</v>
      </c>
      <c r="F290">
        <v>31.5</v>
      </c>
      <c r="G290">
        <v>14395.5</v>
      </c>
      <c r="H290">
        <v>6.31</v>
      </c>
      <c r="I290" t="s">
        <v>18</v>
      </c>
    </row>
    <row r="291" spans="1:9">
      <c r="A291">
        <v>8</v>
      </c>
      <c r="B291" t="s">
        <v>289</v>
      </c>
      <c r="C291" t="s">
        <v>289</v>
      </c>
      <c r="D291" t="s">
        <v>92</v>
      </c>
      <c r="E291">
        <v>0</v>
      </c>
      <c r="F291">
        <v>0</v>
      </c>
      <c r="G291">
        <v>0</v>
      </c>
      <c r="H291">
        <v>0</v>
      </c>
    </row>
    <row r="292" spans="1:9">
      <c r="A292" t="s">
        <v>14</v>
      </c>
      <c r="B292" t="s">
        <v>289</v>
      </c>
      <c r="C292" t="s">
        <v>289</v>
      </c>
      <c r="D292" t="s">
        <v>216</v>
      </c>
      <c r="E292">
        <v>0</v>
      </c>
      <c r="F292">
        <v>0</v>
      </c>
      <c r="G292">
        <v>0</v>
      </c>
      <c r="H292">
        <v>0</v>
      </c>
    </row>
    <row r="293" spans="1:9" ht="409.6">
      <c r="A293" t="s">
        <v>16</v>
      </c>
      <c r="B293" t="s">
        <v>289</v>
      </c>
      <c r="C293" t="s">
        <v>289</v>
      </c>
      <c r="D293" s="518" t="s">
        <v>1791</v>
      </c>
      <c r="E293">
        <v>286</v>
      </c>
      <c r="F293">
        <v>111.8</v>
      </c>
      <c r="G293">
        <v>31974.799999999999</v>
      </c>
      <c r="H293">
        <v>14.02</v>
      </c>
      <c r="I293" t="s">
        <v>18</v>
      </c>
    </row>
    <row r="294" spans="1:9">
      <c r="A294">
        <v>9</v>
      </c>
      <c r="B294" t="s">
        <v>289</v>
      </c>
      <c r="C294" t="s">
        <v>289</v>
      </c>
      <c r="D294" t="s">
        <v>218</v>
      </c>
      <c r="E294">
        <v>0</v>
      </c>
      <c r="F294">
        <v>0</v>
      </c>
      <c r="G294">
        <v>0</v>
      </c>
      <c r="H294">
        <v>0</v>
      </c>
    </row>
    <row r="295" spans="1:9">
      <c r="A295" t="s">
        <v>14</v>
      </c>
      <c r="B295" t="s">
        <v>289</v>
      </c>
      <c r="C295" t="s">
        <v>289</v>
      </c>
      <c r="D295" t="s">
        <v>219</v>
      </c>
      <c r="E295">
        <v>0</v>
      </c>
      <c r="F295">
        <v>0</v>
      </c>
      <c r="G295">
        <v>0</v>
      </c>
      <c r="H295">
        <v>0</v>
      </c>
    </row>
    <row r="296" spans="1:9">
      <c r="A296" t="s">
        <v>16</v>
      </c>
      <c r="B296" t="s">
        <v>289</v>
      </c>
      <c r="C296" t="s">
        <v>289</v>
      </c>
      <c r="D296" t="s">
        <v>220</v>
      </c>
      <c r="E296">
        <v>1167</v>
      </c>
      <c r="F296">
        <v>0</v>
      </c>
      <c r="G296">
        <v>0</v>
      </c>
      <c r="H296">
        <v>0</v>
      </c>
      <c r="I296" t="s">
        <v>74</v>
      </c>
    </row>
    <row r="297" spans="1:9">
      <c r="A297" t="s">
        <v>19</v>
      </c>
      <c r="B297" t="s">
        <v>1914</v>
      </c>
      <c r="C297" t="s">
        <v>1739</v>
      </c>
      <c r="D297" t="s">
        <v>1792</v>
      </c>
      <c r="E297">
        <v>808</v>
      </c>
      <c r="F297">
        <v>0</v>
      </c>
      <c r="G297">
        <v>0</v>
      </c>
      <c r="H297">
        <v>0</v>
      </c>
      <c r="I297" t="s">
        <v>74</v>
      </c>
    </row>
    <row r="298" spans="1:9">
      <c r="A298" t="s">
        <v>44</v>
      </c>
      <c r="B298" t="s">
        <v>1914</v>
      </c>
      <c r="C298" t="s">
        <v>1739</v>
      </c>
      <c r="D298" t="s">
        <v>221</v>
      </c>
      <c r="E298">
        <v>0</v>
      </c>
      <c r="F298">
        <v>0</v>
      </c>
      <c r="G298">
        <v>0</v>
      </c>
      <c r="H298">
        <v>0</v>
      </c>
    </row>
    <row r="299" spans="1:9">
      <c r="A299" t="s">
        <v>16</v>
      </c>
      <c r="B299" t="s">
        <v>1914</v>
      </c>
      <c r="C299" t="s">
        <v>1739</v>
      </c>
      <c r="D299" t="s">
        <v>222</v>
      </c>
      <c r="E299">
        <v>712</v>
      </c>
      <c r="F299">
        <v>0</v>
      </c>
      <c r="G299">
        <v>0</v>
      </c>
      <c r="H299">
        <v>0</v>
      </c>
      <c r="I299" t="s">
        <v>74</v>
      </c>
    </row>
    <row r="300" spans="1:9">
      <c r="A300" t="s">
        <v>19</v>
      </c>
      <c r="B300" t="s">
        <v>1914</v>
      </c>
      <c r="C300" t="s">
        <v>1739</v>
      </c>
      <c r="D300" t="s">
        <v>1793</v>
      </c>
      <c r="E300">
        <v>570</v>
      </c>
      <c r="F300">
        <v>0</v>
      </c>
      <c r="G300">
        <v>0</v>
      </c>
      <c r="H300">
        <v>0</v>
      </c>
      <c r="I300" t="s">
        <v>74</v>
      </c>
    </row>
    <row r="301" spans="1:9">
      <c r="A301">
        <v>10</v>
      </c>
      <c r="B301" t="s">
        <v>1914</v>
      </c>
      <c r="C301" t="s">
        <v>1739</v>
      </c>
      <c r="D301" t="s">
        <v>1794</v>
      </c>
      <c r="E301">
        <v>0</v>
      </c>
      <c r="F301">
        <v>0</v>
      </c>
      <c r="G301">
        <v>0</v>
      </c>
      <c r="H301">
        <v>0</v>
      </c>
    </row>
    <row r="302" spans="1:9">
      <c r="A302" t="s">
        <v>14</v>
      </c>
      <c r="B302" t="s">
        <v>1914</v>
      </c>
      <c r="C302" t="s">
        <v>1739</v>
      </c>
      <c r="D302" t="s">
        <v>223</v>
      </c>
      <c r="E302">
        <v>10627</v>
      </c>
      <c r="F302">
        <v>0</v>
      </c>
      <c r="G302">
        <v>0</v>
      </c>
      <c r="H302">
        <v>0</v>
      </c>
      <c r="I302" t="s">
        <v>27</v>
      </c>
    </row>
    <row r="303" spans="1:9">
      <c r="A303" t="s">
        <v>44</v>
      </c>
      <c r="B303" t="s">
        <v>1914</v>
      </c>
      <c r="C303" t="s">
        <v>1739</v>
      </c>
      <c r="D303" t="s">
        <v>224</v>
      </c>
      <c r="E303">
        <v>17628</v>
      </c>
      <c r="F303">
        <v>0</v>
      </c>
      <c r="G303">
        <v>0</v>
      </c>
      <c r="H303">
        <v>0</v>
      </c>
      <c r="I303" t="s">
        <v>27</v>
      </c>
    </row>
    <row r="304" spans="1:9">
      <c r="A304" t="s">
        <v>46</v>
      </c>
      <c r="B304" t="s">
        <v>1914</v>
      </c>
      <c r="C304" t="s">
        <v>1739</v>
      </c>
      <c r="D304" t="s">
        <v>225</v>
      </c>
      <c r="E304">
        <v>21687</v>
      </c>
      <c r="F304">
        <v>0</v>
      </c>
      <c r="G304">
        <v>0</v>
      </c>
      <c r="H304">
        <v>0</v>
      </c>
      <c r="I304" t="s">
        <v>27</v>
      </c>
    </row>
    <row r="305" spans="1:9">
      <c r="A305" t="s">
        <v>47</v>
      </c>
      <c r="B305" t="s">
        <v>1914</v>
      </c>
      <c r="C305" t="s">
        <v>1739</v>
      </c>
      <c r="D305" t="s">
        <v>1795</v>
      </c>
      <c r="E305">
        <v>10610</v>
      </c>
      <c r="F305">
        <v>0</v>
      </c>
      <c r="G305">
        <v>0</v>
      </c>
      <c r="H305">
        <v>0</v>
      </c>
      <c r="I305" t="s">
        <v>27</v>
      </c>
    </row>
    <row r="306" spans="1:9">
      <c r="A306" t="s">
        <v>50</v>
      </c>
      <c r="B306" t="s">
        <v>1914</v>
      </c>
      <c r="C306" t="s">
        <v>1739</v>
      </c>
      <c r="D306" t="s">
        <v>1796</v>
      </c>
      <c r="E306">
        <v>11017</v>
      </c>
      <c r="F306">
        <v>0</v>
      </c>
      <c r="G306">
        <v>0</v>
      </c>
      <c r="H306">
        <v>0</v>
      </c>
      <c r="I306" t="s">
        <v>27</v>
      </c>
    </row>
    <row r="307" spans="1:9">
      <c r="A307">
        <v>11</v>
      </c>
      <c r="B307" t="s">
        <v>1914</v>
      </c>
      <c r="C307" t="s">
        <v>1739</v>
      </c>
      <c r="D307" t="s">
        <v>226</v>
      </c>
      <c r="E307">
        <v>0</v>
      </c>
      <c r="F307">
        <v>0</v>
      </c>
      <c r="G307">
        <v>0</v>
      </c>
      <c r="H307">
        <v>0</v>
      </c>
    </row>
    <row r="308" spans="1:9">
      <c r="A308" t="s">
        <v>14</v>
      </c>
      <c r="B308" t="s">
        <v>1914</v>
      </c>
      <c r="C308" t="s">
        <v>1739</v>
      </c>
      <c r="D308" t="s">
        <v>1797</v>
      </c>
      <c r="E308">
        <v>300</v>
      </c>
      <c r="F308">
        <v>133.84</v>
      </c>
      <c r="G308">
        <v>40152</v>
      </c>
      <c r="H308">
        <v>17.61</v>
      </c>
      <c r="I308" t="s">
        <v>18</v>
      </c>
    </row>
    <row r="309" spans="1:9">
      <c r="A309" t="s">
        <v>44</v>
      </c>
      <c r="B309" t="s">
        <v>1914</v>
      </c>
      <c r="C309" t="s">
        <v>1739</v>
      </c>
      <c r="D309" t="s">
        <v>227</v>
      </c>
      <c r="E309">
        <v>296</v>
      </c>
      <c r="F309">
        <v>0</v>
      </c>
      <c r="G309">
        <v>0</v>
      </c>
      <c r="H309">
        <v>0</v>
      </c>
      <c r="I309" t="s">
        <v>18</v>
      </c>
    </row>
    <row r="310" spans="1:9">
      <c r="A310" t="s">
        <v>46</v>
      </c>
      <c r="B310" t="s">
        <v>1914</v>
      </c>
      <c r="C310" t="s">
        <v>1739</v>
      </c>
      <c r="D310" t="s">
        <v>228</v>
      </c>
      <c r="E310">
        <v>319</v>
      </c>
      <c r="F310">
        <v>0</v>
      </c>
      <c r="G310">
        <v>0</v>
      </c>
      <c r="H310">
        <v>0</v>
      </c>
      <c r="I310" t="s">
        <v>18</v>
      </c>
    </row>
    <row r="311" spans="1:9">
      <c r="A311" t="s">
        <v>47</v>
      </c>
      <c r="B311" t="s">
        <v>1914</v>
      </c>
      <c r="C311" t="s">
        <v>1739</v>
      </c>
      <c r="D311" t="s">
        <v>229</v>
      </c>
      <c r="E311">
        <v>794</v>
      </c>
      <c r="F311">
        <v>8.6199999999999992</v>
      </c>
      <c r="G311">
        <v>6852.22</v>
      </c>
      <c r="H311">
        <v>3.01</v>
      </c>
      <c r="I311" t="s">
        <v>18</v>
      </c>
    </row>
    <row r="312" spans="1:9">
      <c r="A312">
        <v>12</v>
      </c>
      <c r="B312" t="s">
        <v>1914</v>
      </c>
      <c r="C312" t="s">
        <v>1739</v>
      </c>
      <c r="D312" t="s">
        <v>230</v>
      </c>
      <c r="E312">
        <v>0</v>
      </c>
      <c r="F312">
        <v>0</v>
      </c>
      <c r="G312">
        <v>0</v>
      </c>
      <c r="H312">
        <v>0</v>
      </c>
    </row>
    <row r="313" spans="1:9">
      <c r="A313" t="s">
        <v>14</v>
      </c>
      <c r="B313" t="s">
        <v>1914</v>
      </c>
      <c r="C313" t="s">
        <v>1739</v>
      </c>
      <c r="D313" t="s">
        <v>231</v>
      </c>
      <c r="E313">
        <v>0</v>
      </c>
      <c r="F313">
        <v>0</v>
      </c>
      <c r="G313">
        <v>0</v>
      </c>
      <c r="H313">
        <v>0</v>
      </c>
    </row>
    <row r="314" spans="1:9">
      <c r="A314" t="s">
        <v>16</v>
      </c>
      <c r="B314" t="s">
        <v>1914</v>
      </c>
      <c r="C314" t="s">
        <v>1739</v>
      </c>
      <c r="D314" t="s">
        <v>1798</v>
      </c>
      <c r="E314">
        <v>177</v>
      </c>
      <c r="F314">
        <v>72</v>
      </c>
      <c r="G314">
        <v>12744</v>
      </c>
      <c r="H314">
        <v>5.59</v>
      </c>
      <c r="I314" t="s">
        <v>18</v>
      </c>
    </row>
    <row r="315" spans="1:9">
      <c r="A315" t="s">
        <v>44</v>
      </c>
      <c r="B315" t="s">
        <v>1914</v>
      </c>
      <c r="C315" t="s">
        <v>1739</v>
      </c>
      <c r="D315" t="s">
        <v>232</v>
      </c>
      <c r="E315">
        <v>0</v>
      </c>
      <c r="F315">
        <v>0</v>
      </c>
      <c r="G315">
        <v>0</v>
      </c>
      <c r="H315">
        <v>0</v>
      </c>
    </row>
    <row r="316" spans="1:9">
      <c r="A316" t="s">
        <v>16</v>
      </c>
      <c r="B316" t="s">
        <v>1914</v>
      </c>
      <c r="C316" t="s">
        <v>1739</v>
      </c>
      <c r="D316" t="s">
        <v>1799</v>
      </c>
      <c r="E316">
        <v>3203</v>
      </c>
      <c r="F316">
        <v>0</v>
      </c>
      <c r="G316">
        <v>0</v>
      </c>
      <c r="H316">
        <v>0</v>
      </c>
      <c r="I316" t="s">
        <v>27</v>
      </c>
    </row>
    <row r="317" spans="1:9">
      <c r="A317" t="s">
        <v>19</v>
      </c>
      <c r="B317" t="s">
        <v>1914</v>
      </c>
      <c r="C317" t="s">
        <v>1739</v>
      </c>
      <c r="D317" t="s">
        <v>1800</v>
      </c>
      <c r="E317">
        <v>6576</v>
      </c>
      <c r="F317">
        <v>0</v>
      </c>
      <c r="G317">
        <v>0</v>
      </c>
      <c r="H317">
        <v>0</v>
      </c>
      <c r="I317" t="s">
        <v>27</v>
      </c>
    </row>
    <row r="318" spans="1:9">
      <c r="A318" t="s">
        <v>21</v>
      </c>
      <c r="B318" t="s">
        <v>149</v>
      </c>
      <c r="C318" t="s">
        <v>148</v>
      </c>
      <c r="D318" t="s">
        <v>233</v>
      </c>
      <c r="E318">
        <v>5367</v>
      </c>
      <c r="F318">
        <v>0</v>
      </c>
      <c r="G318">
        <v>0</v>
      </c>
      <c r="H318">
        <v>0</v>
      </c>
      <c r="I318" t="s">
        <v>27</v>
      </c>
    </row>
    <row r="319" spans="1:9">
      <c r="A319" t="s">
        <v>46</v>
      </c>
      <c r="B319" t="s">
        <v>149</v>
      </c>
      <c r="C319" t="s">
        <v>148</v>
      </c>
      <c r="D319" t="s">
        <v>234</v>
      </c>
      <c r="E319">
        <v>0</v>
      </c>
      <c r="F319">
        <v>0</v>
      </c>
      <c r="G319">
        <v>0</v>
      </c>
      <c r="H319">
        <v>0</v>
      </c>
    </row>
    <row r="320" spans="1:9">
      <c r="A320" t="s">
        <v>16</v>
      </c>
      <c r="B320" t="s">
        <v>149</v>
      </c>
      <c r="C320" t="s">
        <v>148</v>
      </c>
      <c r="D320" t="s">
        <v>235</v>
      </c>
      <c r="E320">
        <v>66</v>
      </c>
      <c r="F320">
        <v>0</v>
      </c>
      <c r="G320">
        <v>0</v>
      </c>
      <c r="H320">
        <v>0</v>
      </c>
      <c r="I320" t="s">
        <v>18</v>
      </c>
    </row>
    <row r="321" spans="1:9">
      <c r="A321" t="s">
        <v>19</v>
      </c>
      <c r="B321" t="s">
        <v>1914</v>
      </c>
      <c r="C321" t="s">
        <v>1739</v>
      </c>
      <c r="D321" t="s">
        <v>236</v>
      </c>
      <c r="E321">
        <v>106</v>
      </c>
      <c r="F321">
        <v>201.92</v>
      </c>
      <c r="G321">
        <v>21403.52</v>
      </c>
      <c r="H321">
        <v>9.39</v>
      </c>
      <c r="I321" t="s">
        <v>18</v>
      </c>
    </row>
    <row r="322" spans="1:9">
      <c r="A322" t="s">
        <v>47</v>
      </c>
      <c r="B322" t="s">
        <v>1914</v>
      </c>
      <c r="C322" t="s">
        <v>1739</v>
      </c>
      <c r="D322" t="s">
        <v>237</v>
      </c>
      <c r="E322">
        <v>0</v>
      </c>
      <c r="F322">
        <v>0</v>
      </c>
      <c r="G322">
        <v>0</v>
      </c>
      <c r="H322">
        <v>0</v>
      </c>
    </row>
    <row r="323" spans="1:9">
      <c r="A323" t="s">
        <v>16</v>
      </c>
      <c r="B323" t="s">
        <v>1914</v>
      </c>
      <c r="C323" t="s">
        <v>1739</v>
      </c>
      <c r="D323" t="s">
        <v>238</v>
      </c>
      <c r="E323">
        <v>67</v>
      </c>
      <c r="F323">
        <v>0</v>
      </c>
      <c r="G323">
        <v>0</v>
      </c>
      <c r="H323">
        <v>0</v>
      </c>
      <c r="I323" t="s">
        <v>18</v>
      </c>
    </row>
    <row r="324" spans="1:9">
      <c r="A324" t="s">
        <v>19</v>
      </c>
      <c r="B324" t="s">
        <v>1914</v>
      </c>
      <c r="C324" t="s">
        <v>1739</v>
      </c>
      <c r="D324" t="s">
        <v>239</v>
      </c>
      <c r="E324">
        <v>105</v>
      </c>
      <c r="F324">
        <v>489.5</v>
      </c>
      <c r="G324">
        <v>51397.5</v>
      </c>
      <c r="H324">
        <v>22.54</v>
      </c>
      <c r="I324" t="s">
        <v>18</v>
      </c>
    </row>
    <row r="325" spans="1:9">
      <c r="A325" t="s">
        <v>21</v>
      </c>
      <c r="B325" t="s">
        <v>149</v>
      </c>
      <c r="C325" t="s">
        <v>148</v>
      </c>
      <c r="D325" t="s">
        <v>240</v>
      </c>
      <c r="E325">
        <v>50</v>
      </c>
      <c r="F325">
        <v>0</v>
      </c>
      <c r="G325">
        <v>0</v>
      </c>
      <c r="H325">
        <v>0</v>
      </c>
      <c r="I325" t="s">
        <v>18</v>
      </c>
    </row>
    <row r="326" spans="1:9">
      <c r="A326" t="s">
        <v>50</v>
      </c>
      <c r="B326" t="s">
        <v>149</v>
      </c>
      <c r="C326" t="s">
        <v>148</v>
      </c>
      <c r="D326" t="s">
        <v>241</v>
      </c>
      <c r="E326">
        <v>0</v>
      </c>
      <c r="F326">
        <v>0</v>
      </c>
      <c r="G326">
        <v>0</v>
      </c>
      <c r="H326">
        <v>0</v>
      </c>
    </row>
    <row r="327" spans="1:9">
      <c r="A327" t="s">
        <v>16</v>
      </c>
      <c r="B327" t="s">
        <v>149</v>
      </c>
      <c r="C327" t="s">
        <v>148</v>
      </c>
      <c r="D327" t="s">
        <v>1801</v>
      </c>
      <c r="E327">
        <v>226</v>
      </c>
      <c r="F327">
        <v>12</v>
      </c>
      <c r="G327">
        <v>2712</v>
      </c>
      <c r="H327">
        <v>1.19</v>
      </c>
      <c r="I327" t="s">
        <v>18</v>
      </c>
    </row>
    <row r="328" spans="1:9">
      <c r="A328" t="s">
        <v>19</v>
      </c>
      <c r="B328" t="s">
        <v>1914</v>
      </c>
      <c r="C328" t="s">
        <v>1739</v>
      </c>
      <c r="D328" t="s">
        <v>242</v>
      </c>
      <c r="E328">
        <v>6419</v>
      </c>
      <c r="F328">
        <v>0</v>
      </c>
      <c r="G328">
        <v>0</v>
      </c>
      <c r="H328">
        <v>0</v>
      </c>
      <c r="I328" t="s">
        <v>27</v>
      </c>
    </row>
    <row r="329" spans="1:9">
      <c r="A329" t="s">
        <v>52</v>
      </c>
      <c r="B329" t="s">
        <v>1914</v>
      </c>
      <c r="C329" t="s">
        <v>1739</v>
      </c>
      <c r="D329" t="s">
        <v>243</v>
      </c>
      <c r="E329">
        <v>0</v>
      </c>
      <c r="F329">
        <v>0</v>
      </c>
      <c r="G329">
        <v>0</v>
      </c>
      <c r="H329">
        <v>0</v>
      </c>
    </row>
    <row r="330" spans="1:9">
      <c r="A330" t="s">
        <v>16</v>
      </c>
      <c r="B330" t="s">
        <v>1914</v>
      </c>
      <c r="C330" t="s">
        <v>1739</v>
      </c>
      <c r="D330" t="s">
        <v>244</v>
      </c>
      <c r="E330">
        <v>1966</v>
      </c>
      <c r="F330">
        <v>0</v>
      </c>
      <c r="G330">
        <v>0</v>
      </c>
      <c r="H330">
        <v>0</v>
      </c>
      <c r="I330" t="s">
        <v>59</v>
      </c>
    </row>
    <row r="331" spans="1:9">
      <c r="A331" t="s">
        <v>53</v>
      </c>
      <c r="B331" t="s">
        <v>1914</v>
      </c>
      <c r="C331" t="s">
        <v>1739</v>
      </c>
      <c r="D331" t="s">
        <v>245</v>
      </c>
      <c r="E331">
        <v>0</v>
      </c>
      <c r="F331">
        <v>0</v>
      </c>
      <c r="G331">
        <v>0</v>
      </c>
      <c r="H331">
        <v>0</v>
      </c>
    </row>
    <row r="332" spans="1:9">
      <c r="A332" t="s">
        <v>16</v>
      </c>
      <c r="B332" t="s">
        <v>1914</v>
      </c>
      <c r="C332" t="s">
        <v>1739</v>
      </c>
      <c r="D332" t="s">
        <v>1802</v>
      </c>
      <c r="E332">
        <v>97</v>
      </c>
      <c r="F332">
        <v>0</v>
      </c>
      <c r="G332">
        <v>0</v>
      </c>
      <c r="H332">
        <v>0</v>
      </c>
      <c r="I332" t="s">
        <v>74</v>
      </c>
    </row>
    <row r="333" spans="1:9">
      <c r="A333" t="s">
        <v>85</v>
      </c>
      <c r="B333" t="s">
        <v>1914</v>
      </c>
      <c r="C333" t="s">
        <v>1739</v>
      </c>
      <c r="D333" t="s">
        <v>246</v>
      </c>
      <c r="E333">
        <v>0</v>
      </c>
      <c r="F333">
        <v>0</v>
      </c>
      <c r="G333">
        <v>0</v>
      </c>
      <c r="H333">
        <v>0</v>
      </c>
    </row>
    <row r="334" spans="1:9">
      <c r="A334" t="s">
        <v>16</v>
      </c>
      <c r="B334" t="s">
        <v>1914</v>
      </c>
      <c r="C334" t="s">
        <v>1739</v>
      </c>
      <c r="D334" t="s">
        <v>1803</v>
      </c>
      <c r="E334">
        <v>661</v>
      </c>
      <c r="F334">
        <v>0</v>
      </c>
      <c r="G334">
        <v>0</v>
      </c>
      <c r="H334">
        <v>0</v>
      </c>
      <c r="I334" t="s">
        <v>18</v>
      </c>
    </row>
    <row r="335" spans="1:9">
      <c r="A335" t="s">
        <v>16</v>
      </c>
      <c r="B335" t="s">
        <v>1914</v>
      </c>
      <c r="C335" t="s">
        <v>1739</v>
      </c>
      <c r="D335" t="s">
        <v>247</v>
      </c>
      <c r="E335">
        <v>0</v>
      </c>
      <c r="F335">
        <v>0</v>
      </c>
      <c r="G335">
        <v>0</v>
      </c>
      <c r="H335">
        <v>0</v>
      </c>
    </row>
    <row r="336" spans="1:9">
      <c r="A336" t="s">
        <v>16</v>
      </c>
      <c r="B336" t="s">
        <v>1914</v>
      </c>
      <c r="C336" t="s">
        <v>1739</v>
      </c>
      <c r="D336" t="s">
        <v>1804</v>
      </c>
      <c r="E336">
        <v>518</v>
      </c>
      <c r="F336">
        <v>0</v>
      </c>
      <c r="G336">
        <v>0</v>
      </c>
      <c r="H336">
        <v>0</v>
      </c>
      <c r="I336" t="s">
        <v>27</v>
      </c>
    </row>
    <row r="337" spans="1:9">
      <c r="A337" t="s">
        <v>19</v>
      </c>
      <c r="B337" t="s">
        <v>1914</v>
      </c>
      <c r="C337" t="s">
        <v>1739</v>
      </c>
      <c r="D337" t="s">
        <v>1805</v>
      </c>
      <c r="E337">
        <v>847</v>
      </c>
      <c r="F337">
        <v>0</v>
      </c>
      <c r="G337">
        <v>0</v>
      </c>
      <c r="H337">
        <v>0</v>
      </c>
      <c r="I337" t="s">
        <v>27</v>
      </c>
    </row>
    <row r="338" spans="1:9">
      <c r="A338" t="s">
        <v>55</v>
      </c>
      <c r="B338" t="s">
        <v>1914</v>
      </c>
      <c r="C338" t="s">
        <v>1739</v>
      </c>
      <c r="D338" t="s">
        <v>248</v>
      </c>
      <c r="E338">
        <v>0</v>
      </c>
      <c r="F338">
        <v>0</v>
      </c>
      <c r="G338">
        <v>0</v>
      </c>
      <c r="H338">
        <v>0</v>
      </c>
    </row>
    <row r="339" spans="1:9">
      <c r="A339" t="s">
        <v>16</v>
      </c>
      <c r="B339" t="s">
        <v>1914</v>
      </c>
      <c r="C339" t="s">
        <v>1739</v>
      </c>
      <c r="D339" t="s">
        <v>249</v>
      </c>
      <c r="E339">
        <v>423</v>
      </c>
      <c r="F339">
        <v>12</v>
      </c>
      <c r="G339">
        <v>5076</v>
      </c>
      <c r="H339">
        <v>2.23</v>
      </c>
      <c r="I339" t="s">
        <v>27</v>
      </c>
    </row>
    <row r="340" spans="1:9">
      <c r="A340" t="s">
        <v>57</v>
      </c>
      <c r="B340" t="s">
        <v>1914</v>
      </c>
      <c r="C340" t="s">
        <v>1739</v>
      </c>
      <c r="D340" t="s">
        <v>250</v>
      </c>
      <c r="E340">
        <v>0</v>
      </c>
      <c r="F340">
        <v>0</v>
      </c>
      <c r="G340">
        <v>0</v>
      </c>
      <c r="H340">
        <v>0</v>
      </c>
    </row>
    <row r="341" spans="1:9">
      <c r="A341" t="s">
        <v>16</v>
      </c>
      <c r="B341" t="s">
        <v>1914</v>
      </c>
      <c r="C341" t="s">
        <v>1739</v>
      </c>
      <c r="D341" t="s">
        <v>251</v>
      </c>
      <c r="E341">
        <v>4025</v>
      </c>
      <c r="F341">
        <v>0</v>
      </c>
      <c r="G341">
        <v>0</v>
      </c>
      <c r="H341">
        <v>0</v>
      </c>
      <c r="I341" t="s">
        <v>27</v>
      </c>
    </row>
    <row r="342" spans="1:9">
      <c r="A342" t="s">
        <v>60</v>
      </c>
      <c r="B342" t="s">
        <v>1914</v>
      </c>
      <c r="C342" t="s">
        <v>1739</v>
      </c>
      <c r="D342" t="s">
        <v>252</v>
      </c>
      <c r="E342">
        <v>0</v>
      </c>
      <c r="F342">
        <v>0</v>
      </c>
      <c r="G342">
        <v>0</v>
      </c>
      <c r="H342">
        <v>0</v>
      </c>
    </row>
    <row r="343" spans="1:9">
      <c r="A343" t="s">
        <v>16</v>
      </c>
      <c r="B343" t="s">
        <v>1914</v>
      </c>
      <c r="C343" t="s">
        <v>1739</v>
      </c>
      <c r="D343" t="s">
        <v>1806</v>
      </c>
      <c r="E343">
        <v>220</v>
      </c>
      <c r="F343">
        <v>0</v>
      </c>
      <c r="G343">
        <v>0</v>
      </c>
      <c r="H343">
        <v>0</v>
      </c>
      <c r="I343" t="s">
        <v>18</v>
      </c>
    </row>
    <row r="344" spans="1:9">
      <c r="A344" t="s">
        <v>19</v>
      </c>
      <c r="B344" t="s">
        <v>1914</v>
      </c>
      <c r="C344" t="s">
        <v>1739</v>
      </c>
      <c r="D344" t="s">
        <v>254</v>
      </c>
      <c r="E344">
        <v>211</v>
      </c>
      <c r="F344">
        <v>0</v>
      </c>
      <c r="G344">
        <v>0</v>
      </c>
      <c r="H344">
        <v>0</v>
      </c>
      <c r="I344" t="s">
        <v>18</v>
      </c>
    </row>
    <row r="345" spans="1:9">
      <c r="A345" t="s">
        <v>135</v>
      </c>
      <c r="B345" t="s">
        <v>1914</v>
      </c>
      <c r="C345" t="s">
        <v>1739</v>
      </c>
      <c r="D345" t="s">
        <v>255</v>
      </c>
      <c r="E345">
        <v>0</v>
      </c>
      <c r="F345">
        <v>0</v>
      </c>
      <c r="G345">
        <v>0</v>
      </c>
      <c r="H345">
        <v>0</v>
      </c>
    </row>
    <row r="346" spans="1:9">
      <c r="A346" t="s">
        <v>16</v>
      </c>
      <c r="B346" t="s">
        <v>1914</v>
      </c>
      <c r="C346" t="s">
        <v>1739</v>
      </c>
      <c r="D346" t="s">
        <v>256</v>
      </c>
      <c r="E346">
        <v>243</v>
      </c>
      <c r="F346">
        <v>0</v>
      </c>
      <c r="G346">
        <v>0</v>
      </c>
      <c r="H346">
        <v>0</v>
      </c>
      <c r="I346" t="s">
        <v>74</v>
      </c>
    </row>
    <row r="347" spans="1:9">
      <c r="A347" t="s">
        <v>19</v>
      </c>
      <c r="B347" t="s">
        <v>1914</v>
      </c>
      <c r="C347" t="s">
        <v>1739</v>
      </c>
      <c r="D347" t="s">
        <v>1807</v>
      </c>
      <c r="E347">
        <v>262</v>
      </c>
      <c r="F347">
        <v>0</v>
      </c>
      <c r="G347">
        <v>0</v>
      </c>
      <c r="H347">
        <v>0</v>
      </c>
      <c r="I347" t="s">
        <v>74</v>
      </c>
    </row>
    <row r="348" spans="1:9">
      <c r="A348" t="s">
        <v>136</v>
      </c>
      <c r="B348" t="s">
        <v>1914</v>
      </c>
      <c r="C348" t="s">
        <v>1739</v>
      </c>
      <c r="D348" t="s">
        <v>257</v>
      </c>
      <c r="E348">
        <v>0</v>
      </c>
      <c r="F348">
        <v>0</v>
      </c>
      <c r="G348">
        <v>0</v>
      </c>
      <c r="H348">
        <v>0</v>
      </c>
    </row>
    <row r="349" spans="1:9">
      <c r="A349" t="s">
        <v>16</v>
      </c>
      <c r="B349" t="s">
        <v>1914</v>
      </c>
      <c r="C349" t="s">
        <v>1739</v>
      </c>
      <c r="D349" t="s">
        <v>258</v>
      </c>
      <c r="E349">
        <v>3326</v>
      </c>
      <c r="F349">
        <v>1</v>
      </c>
      <c r="G349">
        <v>3326</v>
      </c>
      <c r="H349">
        <v>1.46</v>
      </c>
      <c r="I349" t="s">
        <v>27</v>
      </c>
    </row>
    <row r="350" spans="1:9">
      <c r="A350" t="s">
        <v>259</v>
      </c>
      <c r="B350" t="s">
        <v>1914</v>
      </c>
      <c r="C350" t="s">
        <v>1739</v>
      </c>
      <c r="D350" t="s">
        <v>260</v>
      </c>
      <c r="E350">
        <v>0</v>
      </c>
      <c r="F350">
        <v>0</v>
      </c>
      <c r="G350">
        <v>0</v>
      </c>
      <c r="H350">
        <v>0</v>
      </c>
    </row>
    <row r="351" spans="1:9">
      <c r="A351" t="s">
        <v>16</v>
      </c>
      <c r="B351" t="s">
        <v>1914</v>
      </c>
      <c r="C351" t="s">
        <v>1739</v>
      </c>
      <c r="D351" t="s">
        <v>1808</v>
      </c>
      <c r="E351">
        <v>6186</v>
      </c>
      <c r="F351">
        <v>1</v>
      </c>
      <c r="G351">
        <v>6186</v>
      </c>
      <c r="H351">
        <v>2.71</v>
      </c>
      <c r="I351" t="s">
        <v>27</v>
      </c>
    </row>
    <row r="352" spans="1:9">
      <c r="A352" t="s">
        <v>19</v>
      </c>
      <c r="B352" t="s">
        <v>1914</v>
      </c>
      <c r="C352" t="s">
        <v>1739</v>
      </c>
      <c r="D352" t="s">
        <v>1809</v>
      </c>
      <c r="E352">
        <v>7909</v>
      </c>
      <c r="F352">
        <v>0</v>
      </c>
      <c r="G352">
        <v>0</v>
      </c>
      <c r="H352">
        <v>0</v>
      </c>
      <c r="I352" t="s">
        <v>27</v>
      </c>
    </row>
    <row r="353" spans="1:9">
      <c r="A353" t="s">
        <v>21</v>
      </c>
      <c r="B353" t="s">
        <v>149</v>
      </c>
      <c r="C353" t="s">
        <v>148</v>
      </c>
      <c r="D353" t="s">
        <v>1810</v>
      </c>
      <c r="E353">
        <v>9513</v>
      </c>
      <c r="F353">
        <v>0</v>
      </c>
      <c r="G353">
        <v>0</v>
      </c>
      <c r="H353">
        <v>0</v>
      </c>
      <c r="I353" t="s">
        <v>27</v>
      </c>
    </row>
    <row r="354" spans="1:9">
      <c r="A354" t="s">
        <v>261</v>
      </c>
      <c r="B354" t="s">
        <v>149</v>
      </c>
      <c r="C354" t="s">
        <v>148</v>
      </c>
      <c r="D354" t="s">
        <v>262</v>
      </c>
      <c r="E354">
        <v>0</v>
      </c>
      <c r="F354">
        <v>0</v>
      </c>
      <c r="G354">
        <v>0</v>
      </c>
      <c r="H354">
        <v>0</v>
      </c>
    </row>
    <row r="355" spans="1:9">
      <c r="A355" t="s">
        <v>16</v>
      </c>
      <c r="B355" t="s">
        <v>149</v>
      </c>
      <c r="C355" t="s">
        <v>148</v>
      </c>
      <c r="D355" t="s">
        <v>263</v>
      </c>
      <c r="E355">
        <v>95</v>
      </c>
      <c r="F355">
        <v>0</v>
      </c>
      <c r="G355">
        <v>0</v>
      </c>
      <c r="H355">
        <v>0</v>
      </c>
      <c r="I355" t="s">
        <v>27</v>
      </c>
    </row>
    <row r="356" spans="1:9">
      <c r="A356" t="s">
        <v>19</v>
      </c>
      <c r="B356" t="s">
        <v>1914</v>
      </c>
      <c r="C356" t="s">
        <v>1739</v>
      </c>
      <c r="D356" t="s">
        <v>264</v>
      </c>
      <c r="E356">
        <v>137</v>
      </c>
      <c r="F356">
        <v>0</v>
      </c>
      <c r="G356">
        <v>0</v>
      </c>
      <c r="H356">
        <v>0</v>
      </c>
      <c r="I356" t="s">
        <v>27</v>
      </c>
    </row>
    <row r="357" spans="1:9">
      <c r="A357" t="s">
        <v>21</v>
      </c>
      <c r="B357" t="s">
        <v>149</v>
      </c>
      <c r="C357" t="s">
        <v>148</v>
      </c>
      <c r="D357" t="s">
        <v>265</v>
      </c>
      <c r="E357">
        <v>286</v>
      </c>
      <c r="F357">
        <v>0</v>
      </c>
      <c r="G357">
        <v>0</v>
      </c>
      <c r="H357">
        <v>0</v>
      </c>
      <c r="I357" t="s">
        <v>18</v>
      </c>
    </row>
    <row r="358" spans="1:9">
      <c r="A358" t="s">
        <v>23</v>
      </c>
      <c r="B358" t="s">
        <v>6</v>
      </c>
      <c r="C358" t="s">
        <v>6</v>
      </c>
      <c r="D358" t="s">
        <v>1811</v>
      </c>
      <c r="E358">
        <v>548</v>
      </c>
      <c r="F358">
        <v>0</v>
      </c>
      <c r="G358">
        <v>0</v>
      </c>
      <c r="H358">
        <v>0</v>
      </c>
      <c r="I358" t="s">
        <v>18</v>
      </c>
    </row>
    <row r="359" spans="1:9">
      <c r="A359" t="s">
        <v>25</v>
      </c>
      <c r="B359" t="s">
        <v>289</v>
      </c>
      <c r="C359" t="s">
        <v>289</v>
      </c>
      <c r="D359" t="s">
        <v>267</v>
      </c>
      <c r="E359">
        <v>15466</v>
      </c>
      <c r="F359">
        <v>1</v>
      </c>
      <c r="G359">
        <v>15466</v>
      </c>
      <c r="H359">
        <v>6.78</v>
      </c>
      <c r="I359" t="s">
        <v>268</v>
      </c>
    </row>
    <row r="360" spans="1:9">
      <c r="A360" t="s">
        <v>28</v>
      </c>
      <c r="B360" t="s">
        <v>301</v>
      </c>
      <c r="C360" t="s">
        <v>301</v>
      </c>
      <c r="D360" t="s">
        <v>269</v>
      </c>
      <c r="E360">
        <v>129</v>
      </c>
      <c r="F360">
        <v>0</v>
      </c>
      <c r="G360">
        <v>0</v>
      </c>
      <c r="H360">
        <v>0</v>
      </c>
      <c r="I360" t="s">
        <v>18</v>
      </c>
    </row>
    <row r="361" spans="1:9">
      <c r="A361" t="s">
        <v>30</v>
      </c>
      <c r="B361" t="s">
        <v>301</v>
      </c>
      <c r="C361" t="s">
        <v>301</v>
      </c>
      <c r="D361" t="s">
        <v>270</v>
      </c>
      <c r="E361">
        <v>805</v>
      </c>
      <c r="F361">
        <v>0</v>
      </c>
      <c r="G361">
        <v>0</v>
      </c>
      <c r="H361">
        <v>0</v>
      </c>
      <c r="I361" t="s">
        <v>18</v>
      </c>
    </row>
    <row r="362" spans="1:9">
      <c r="A362" t="s">
        <v>32</v>
      </c>
      <c r="B362" t="s">
        <v>301</v>
      </c>
      <c r="C362" t="s">
        <v>301</v>
      </c>
      <c r="D362" t="s">
        <v>1812</v>
      </c>
      <c r="E362">
        <v>101</v>
      </c>
      <c r="F362">
        <v>617.17999999999995</v>
      </c>
      <c r="G362">
        <v>62335.18</v>
      </c>
      <c r="H362">
        <v>27.34</v>
      </c>
      <c r="I362" t="s">
        <v>74</v>
      </c>
    </row>
    <row r="363" spans="1:9" ht="201.6">
      <c r="A363" t="s">
        <v>272</v>
      </c>
      <c r="B363" t="s">
        <v>301</v>
      </c>
      <c r="C363" t="s">
        <v>301</v>
      </c>
      <c r="D363" s="518" t="s">
        <v>1813</v>
      </c>
      <c r="E363">
        <v>3356</v>
      </c>
      <c r="F363">
        <v>2</v>
      </c>
      <c r="G363">
        <v>6712</v>
      </c>
      <c r="H363">
        <v>2.94</v>
      </c>
      <c r="I363" t="s">
        <v>27</v>
      </c>
    </row>
    <row r="364" spans="1:9">
      <c r="A364" t="s">
        <v>36</v>
      </c>
      <c r="B364" t="s">
        <v>301</v>
      </c>
      <c r="C364" t="s">
        <v>301</v>
      </c>
      <c r="D364" t="s">
        <v>273</v>
      </c>
      <c r="E364">
        <v>1695</v>
      </c>
      <c r="F364">
        <v>18</v>
      </c>
      <c r="G364">
        <v>30510</v>
      </c>
      <c r="H364">
        <v>13.38</v>
      </c>
      <c r="I364" t="s">
        <v>27</v>
      </c>
    </row>
    <row r="365" spans="1:9">
      <c r="A365" t="s">
        <v>38</v>
      </c>
      <c r="B365" t="s">
        <v>301</v>
      </c>
      <c r="C365" t="s">
        <v>301</v>
      </c>
      <c r="D365" t="s">
        <v>274</v>
      </c>
      <c r="E365">
        <v>1678</v>
      </c>
      <c r="F365">
        <v>3</v>
      </c>
      <c r="G365">
        <v>5034</v>
      </c>
      <c r="H365">
        <v>2.21</v>
      </c>
      <c r="I365" t="s">
        <v>27</v>
      </c>
    </row>
    <row r="366" spans="1:9">
      <c r="A366" t="s">
        <v>40</v>
      </c>
      <c r="B366" t="s">
        <v>301</v>
      </c>
      <c r="C366" t="s">
        <v>301</v>
      </c>
      <c r="D366" t="s">
        <v>1811</v>
      </c>
      <c r="E366">
        <v>529</v>
      </c>
      <c r="F366">
        <v>0</v>
      </c>
      <c r="G366">
        <v>0</v>
      </c>
      <c r="H366">
        <v>0</v>
      </c>
      <c r="I366" t="s">
        <v>18</v>
      </c>
    </row>
    <row r="367" spans="1:9">
      <c r="A367" t="s">
        <v>40</v>
      </c>
      <c r="B367" t="s">
        <v>301</v>
      </c>
      <c r="C367" t="s">
        <v>301</v>
      </c>
      <c r="D367" t="s">
        <v>1814</v>
      </c>
      <c r="E367">
        <v>381</v>
      </c>
      <c r="F367">
        <v>0</v>
      </c>
      <c r="G367">
        <v>0</v>
      </c>
      <c r="H367">
        <v>0</v>
      </c>
      <c r="I367" t="s">
        <v>18</v>
      </c>
    </row>
    <row r="368" spans="1:9">
      <c r="A368" t="s">
        <v>276</v>
      </c>
      <c r="B368" t="s">
        <v>301</v>
      </c>
      <c r="C368" t="s">
        <v>301</v>
      </c>
      <c r="D368" t="s">
        <v>1815</v>
      </c>
      <c r="E368">
        <v>343</v>
      </c>
      <c r="F368">
        <v>0</v>
      </c>
      <c r="G368">
        <v>0</v>
      </c>
      <c r="H368">
        <v>0</v>
      </c>
      <c r="I368" t="s">
        <v>18</v>
      </c>
    </row>
    <row r="369" spans="1:9">
      <c r="A369" t="s">
        <v>277</v>
      </c>
      <c r="B369" t="s">
        <v>301</v>
      </c>
      <c r="C369" t="s">
        <v>301</v>
      </c>
      <c r="D369" t="s">
        <v>1816</v>
      </c>
      <c r="E369">
        <v>0</v>
      </c>
      <c r="F369">
        <v>0</v>
      </c>
      <c r="G369">
        <v>0</v>
      </c>
      <c r="H369">
        <v>0</v>
      </c>
    </row>
    <row r="370" spans="1:9">
      <c r="A370" t="s">
        <v>14</v>
      </c>
      <c r="B370" t="s">
        <v>301</v>
      </c>
      <c r="C370" t="s">
        <v>301</v>
      </c>
      <c r="D370" t="s">
        <v>1817</v>
      </c>
      <c r="E370">
        <v>33391</v>
      </c>
      <c r="F370">
        <v>0</v>
      </c>
      <c r="G370">
        <v>0</v>
      </c>
      <c r="H370">
        <v>0</v>
      </c>
      <c r="I370" t="s">
        <v>27</v>
      </c>
    </row>
    <row r="371" spans="1:9">
      <c r="A371" t="s">
        <v>44</v>
      </c>
      <c r="B371" t="s">
        <v>301</v>
      </c>
      <c r="C371" t="s">
        <v>301</v>
      </c>
      <c r="D371" t="s">
        <v>1818</v>
      </c>
      <c r="E371">
        <v>36442</v>
      </c>
      <c r="F371">
        <v>0</v>
      </c>
      <c r="G371">
        <v>0</v>
      </c>
      <c r="H371">
        <v>0</v>
      </c>
      <c r="I371" t="s">
        <v>27</v>
      </c>
    </row>
    <row r="372" spans="1:9">
      <c r="A372" t="s">
        <v>5</v>
      </c>
      <c r="B372" t="s">
        <v>6</v>
      </c>
      <c r="C372" t="s">
        <v>6</v>
      </c>
      <c r="D372" t="s">
        <v>6</v>
      </c>
      <c r="E372">
        <v>0</v>
      </c>
      <c r="F372">
        <v>0</v>
      </c>
      <c r="G372">
        <v>0</v>
      </c>
      <c r="H372">
        <v>0</v>
      </c>
    </row>
    <row r="373" spans="1:9">
      <c r="A373" t="s">
        <v>14</v>
      </c>
      <c r="B373" t="s">
        <v>6</v>
      </c>
      <c r="C373" t="s">
        <v>6</v>
      </c>
      <c r="D373" t="s">
        <v>281</v>
      </c>
      <c r="E373">
        <v>0</v>
      </c>
      <c r="F373">
        <v>0</v>
      </c>
      <c r="G373">
        <v>0</v>
      </c>
      <c r="H373">
        <v>0</v>
      </c>
    </row>
    <row r="374" spans="1:9">
      <c r="A374" t="s">
        <v>16</v>
      </c>
      <c r="B374" t="s">
        <v>6</v>
      </c>
      <c r="C374" t="s">
        <v>6</v>
      </c>
      <c r="D374" t="s">
        <v>1819</v>
      </c>
      <c r="E374">
        <v>25</v>
      </c>
      <c r="F374">
        <v>1047.19</v>
      </c>
      <c r="G374">
        <v>26179.75</v>
      </c>
      <c r="H374">
        <v>11.48</v>
      </c>
      <c r="I374" t="s">
        <v>18</v>
      </c>
    </row>
    <row r="375" spans="1:9">
      <c r="A375" t="s">
        <v>44</v>
      </c>
      <c r="B375" t="s">
        <v>6</v>
      </c>
      <c r="C375" t="s">
        <v>6</v>
      </c>
      <c r="D375" t="s">
        <v>282</v>
      </c>
      <c r="E375">
        <v>0</v>
      </c>
      <c r="F375">
        <v>0</v>
      </c>
      <c r="G375">
        <v>0</v>
      </c>
      <c r="H375">
        <v>0</v>
      </c>
    </row>
    <row r="376" spans="1:9">
      <c r="A376" t="s">
        <v>16</v>
      </c>
      <c r="B376" t="s">
        <v>6</v>
      </c>
      <c r="C376" t="s">
        <v>6</v>
      </c>
      <c r="D376" t="s">
        <v>1820</v>
      </c>
      <c r="E376">
        <v>20</v>
      </c>
      <c r="F376">
        <v>478.58</v>
      </c>
      <c r="G376">
        <v>9571.6</v>
      </c>
      <c r="H376">
        <v>4.2</v>
      </c>
      <c r="I376" t="s">
        <v>18</v>
      </c>
    </row>
    <row r="377" spans="1:9">
      <c r="A377" t="s">
        <v>46</v>
      </c>
      <c r="B377" t="s">
        <v>6</v>
      </c>
      <c r="C377" t="s">
        <v>6</v>
      </c>
      <c r="D377" t="s">
        <v>283</v>
      </c>
      <c r="E377">
        <v>0</v>
      </c>
      <c r="F377">
        <v>0</v>
      </c>
      <c r="G377">
        <v>0</v>
      </c>
      <c r="H377">
        <v>0</v>
      </c>
    </row>
    <row r="378" spans="1:9">
      <c r="A378" t="s">
        <v>16</v>
      </c>
      <c r="B378" t="s">
        <v>6</v>
      </c>
      <c r="C378" t="s">
        <v>6</v>
      </c>
      <c r="D378" t="s">
        <v>1821</v>
      </c>
      <c r="E378">
        <v>21</v>
      </c>
      <c r="F378">
        <v>858.45</v>
      </c>
      <c r="G378">
        <v>18027.45</v>
      </c>
      <c r="H378">
        <v>7.91</v>
      </c>
      <c r="I378" t="s">
        <v>18</v>
      </c>
    </row>
    <row r="379" spans="1:9">
      <c r="A379" t="s">
        <v>47</v>
      </c>
      <c r="B379" t="s">
        <v>6</v>
      </c>
      <c r="C379" t="s">
        <v>6</v>
      </c>
      <c r="D379" t="s">
        <v>284</v>
      </c>
      <c r="E379">
        <v>0</v>
      </c>
      <c r="F379">
        <v>0</v>
      </c>
      <c r="G379">
        <v>0</v>
      </c>
      <c r="H379">
        <v>0</v>
      </c>
    </row>
    <row r="380" spans="1:9">
      <c r="A380" t="s">
        <v>16</v>
      </c>
      <c r="B380" t="s">
        <v>6</v>
      </c>
      <c r="C380" t="s">
        <v>6</v>
      </c>
      <c r="D380" t="s">
        <v>1822</v>
      </c>
      <c r="E380">
        <v>16</v>
      </c>
      <c r="F380">
        <v>1592.7</v>
      </c>
      <c r="G380">
        <v>25483.200000000001</v>
      </c>
      <c r="H380">
        <v>11.18</v>
      </c>
      <c r="I380" t="s">
        <v>18</v>
      </c>
    </row>
    <row r="381" spans="1:9">
      <c r="A381" t="s">
        <v>50</v>
      </c>
      <c r="B381" t="s">
        <v>6</v>
      </c>
      <c r="C381" t="s">
        <v>6</v>
      </c>
      <c r="D381" t="s">
        <v>285</v>
      </c>
      <c r="E381">
        <v>0</v>
      </c>
      <c r="F381">
        <v>0</v>
      </c>
      <c r="G381">
        <v>0</v>
      </c>
      <c r="H381">
        <v>0</v>
      </c>
    </row>
    <row r="382" spans="1:9">
      <c r="A382" t="s">
        <v>16</v>
      </c>
      <c r="B382" t="s">
        <v>6</v>
      </c>
      <c r="C382" t="s">
        <v>6</v>
      </c>
      <c r="D382" t="s">
        <v>1823</v>
      </c>
      <c r="E382">
        <v>63</v>
      </c>
      <c r="F382">
        <v>0</v>
      </c>
      <c r="G382">
        <v>0</v>
      </c>
      <c r="H382">
        <v>0</v>
      </c>
      <c r="I382" t="s">
        <v>18</v>
      </c>
    </row>
    <row r="383" spans="1:9">
      <c r="A383" t="s">
        <v>52</v>
      </c>
      <c r="B383" t="s">
        <v>6</v>
      </c>
      <c r="C383" t="s">
        <v>6</v>
      </c>
      <c r="D383" t="s">
        <v>286</v>
      </c>
      <c r="E383">
        <v>0</v>
      </c>
      <c r="F383">
        <v>0</v>
      </c>
      <c r="G383">
        <v>0</v>
      </c>
      <c r="H383">
        <v>0</v>
      </c>
    </row>
    <row r="384" spans="1:9">
      <c r="A384" t="s">
        <v>16</v>
      </c>
      <c r="B384" t="s">
        <v>6</v>
      </c>
      <c r="C384" t="s">
        <v>6</v>
      </c>
      <c r="D384" t="s">
        <v>1824</v>
      </c>
      <c r="E384">
        <v>102</v>
      </c>
      <c r="F384">
        <v>0</v>
      </c>
      <c r="G384">
        <v>0</v>
      </c>
      <c r="H384">
        <v>0</v>
      </c>
      <c r="I384" t="s">
        <v>18</v>
      </c>
    </row>
    <row r="385" spans="1:9">
      <c r="A385" t="s">
        <v>53</v>
      </c>
      <c r="B385" t="s">
        <v>6</v>
      </c>
      <c r="C385" t="s">
        <v>6</v>
      </c>
      <c r="D385" t="s">
        <v>287</v>
      </c>
      <c r="E385">
        <v>0</v>
      </c>
      <c r="F385">
        <v>0</v>
      </c>
      <c r="G385">
        <v>0</v>
      </c>
      <c r="H385">
        <v>0</v>
      </c>
    </row>
    <row r="386" spans="1:9">
      <c r="A386" t="s">
        <v>16</v>
      </c>
      <c r="B386" t="s">
        <v>6</v>
      </c>
      <c r="C386" t="s">
        <v>6</v>
      </c>
      <c r="D386" t="s">
        <v>1825</v>
      </c>
      <c r="E386">
        <v>61</v>
      </c>
      <c r="F386">
        <v>0</v>
      </c>
      <c r="G386">
        <v>0</v>
      </c>
      <c r="H386">
        <v>0</v>
      </c>
      <c r="I386" t="s">
        <v>18</v>
      </c>
    </row>
    <row r="387" spans="1:9">
      <c r="A387" t="s">
        <v>7</v>
      </c>
      <c r="B387" t="s">
        <v>289</v>
      </c>
      <c r="C387" t="s">
        <v>289</v>
      </c>
      <c r="D387" t="s">
        <v>289</v>
      </c>
      <c r="E387">
        <v>0</v>
      </c>
      <c r="F387">
        <v>0</v>
      </c>
      <c r="G387">
        <v>0</v>
      </c>
      <c r="H387">
        <v>0</v>
      </c>
    </row>
    <row r="388" spans="1:9">
      <c r="A388">
        <v>1</v>
      </c>
      <c r="B388" t="s">
        <v>289</v>
      </c>
      <c r="C388" t="s">
        <v>289</v>
      </c>
      <c r="D388" t="s">
        <v>290</v>
      </c>
      <c r="E388">
        <v>0</v>
      </c>
      <c r="F388">
        <v>0</v>
      </c>
      <c r="G388">
        <v>0</v>
      </c>
      <c r="H388">
        <v>0</v>
      </c>
    </row>
    <row r="389" spans="1:9">
      <c r="A389" t="s">
        <v>14</v>
      </c>
      <c r="B389" t="s">
        <v>289</v>
      </c>
      <c r="C389" t="s">
        <v>289</v>
      </c>
      <c r="D389" t="s">
        <v>1826</v>
      </c>
      <c r="E389">
        <v>144</v>
      </c>
      <c r="F389">
        <v>0</v>
      </c>
      <c r="G389">
        <v>0</v>
      </c>
      <c r="H389">
        <v>0</v>
      </c>
      <c r="I389" t="s">
        <v>18</v>
      </c>
    </row>
    <row r="390" spans="1:9">
      <c r="A390">
        <v>2</v>
      </c>
      <c r="B390" t="s">
        <v>289</v>
      </c>
      <c r="C390" t="s">
        <v>289</v>
      </c>
      <c r="D390" t="s">
        <v>1827</v>
      </c>
      <c r="E390">
        <v>0</v>
      </c>
      <c r="F390">
        <v>0</v>
      </c>
      <c r="G390">
        <v>0</v>
      </c>
      <c r="H390">
        <v>0</v>
      </c>
    </row>
    <row r="391" spans="1:9">
      <c r="A391" t="s">
        <v>14</v>
      </c>
      <c r="B391" t="s">
        <v>289</v>
      </c>
      <c r="C391" t="s">
        <v>289</v>
      </c>
      <c r="D391" t="s">
        <v>1828</v>
      </c>
      <c r="E391">
        <v>139</v>
      </c>
      <c r="F391">
        <v>0</v>
      </c>
      <c r="G391">
        <v>0</v>
      </c>
      <c r="H391">
        <v>0</v>
      </c>
      <c r="I391" t="s">
        <v>292</v>
      </c>
    </row>
    <row r="392" spans="1:9">
      <c r="A392">
        <v>3</v>
      </c>
      <c r="B392" t="s">
        <v>289</v>
      </c>
      <c r="C392" t="s">
        <v>289</v>
      </c>
      <c r="D392" t="s">
        <v>293</v>
      </c>
      <c r="E392">
        <v>0</v>
      </c>
      <c r="F392">
        <v>0</v>
      </c>
      <c r="G392">
        <v>0</v>
      </c>
      <c r="H392">
        <v>0</v>
      </c>
    </row>
    <row r="393" spans="1:9">
      <c r="A393" t="s">
        <v>14</v>
      </c>
      <c r="B393" t="s">
        <v>289</v>
      </c>
      <c r="C393" t="s">
        <v>289</v>
      </c>
      <c r="D393" t="s">
        <v>1829</v>
      </c>
      <c r="E393">
        <v>247</v>
      </c>
      <c r="F393">
        <v>0</v>
      </c>
      <c r="G393">
        <v>0</v>
      </c>
      <c r="H393">
        <v>0</v>
      </c>
      <c r="I393" t="s">
        <v>18</v>
      </c>
    </row>
    <row r="394" spans="1:9">
      <c r="A394" t="s">
        <v>44</v>
      </c>
      <c r="B394" t="s">
        <v>289</v>
      </c>
      <c r="C394" t="s">
        <v>289</v>
      </c>
      <c r="D394" t="s">
        <v>294</v>
      </c>
      <c r="E394">
        <v>7517</v>
      </c>
      <c r="F394">
        <v>0</v>
      </c>
      <c r="G394">
        <v>0</v>
      </c>
      <c r="H394">
        <v>0</v>
      </c>
      <c r="I394" t="s">
        <v>59</v>
      </c>
    </row>
    <row r="395" spans="1:9">
      <c r="A395" t="s">
        <v>46</v>
      </c>
      <c r="B395" t="s">
        <v>289</v>
      </c>
      <c r="C395" t="s">
        <v>289</v>
      </c>
      <c r="D395" t="s">
        <v>295</v>
      </c>
      <c r="E395">
        <v>129</v>
      </c>
      <c r="F395">
        <v>0</v>
      </c>
      <c r="G395">
        <v>0</v>
      </c>
      <c r="H395">
        <v>0</v>
      </c>
      <c r="I395" t="s">
        <v>18</v>
      </c>
    </row>
    <row r="396" spans="1:9">
      <c r="A396" t="s">
        <v>47</v>
      </c>
      <c r="B396" t="s">
        <v>289</v>
      </c>
      <c r="C396" t="s">
        <v>289</v>
      </c>
      <c r="D396" t="s">
        <v>296</v>
      </c>
      <c r="E396">
        <v>7627</v>
      </c>
      <c r="F396">
        <v>0</v>
      </c>
      <c r="G396">
        <v>0</v>
      </c>
      <c r="H396">
        <v>0</v>
      </c>
      <c r="I396" t="s">
        <v>59</v>
      </c>
    </row>
    <row r="397" spans="1:9">
      <c r="A397">
        <v>4</v>
      </c>
      <c r="B397" t="s">
        <v>289</v>
      </c>
      <c r="C397" t="s">
        <v>289</v>
      </c>
      <c r="D397" t="s">
        <v>297</v>
      </c>
      <c r="E397">
        <v>0</v>
      </c>
      <c r="F397">
        <v>0</v>
      </c>
      <c r="G397">
        <v>0</v>
      </c>
      <c r="H397">
        <v>0</v>
      </c>
    </row>
    <row r="398" spans="1:9">
      <c r="A398" t="s">
        <v>14</v>
      </c>
      <c r="B398" t="s">
        <v>289</v>
      </c>
      <c r="C398" t="s">
        <v>289</v>
      </c>
      <c r="D398" t="s">
        <v>1830</v>
      </c>
      <c r="E398">
        <v>239</v>
      </c>
      <c r="F398">
        <v>0</v>
      </c>
      <c r="G398">
        <v>0</v>
      </c>
      <c r="H398">
        <v>0</v>
      </c>
      <c r="I398" t="s">
        <v>18</v>
      </c>
    </row>
    <row r="399" spans="1:9">
      <c r="A399">
        <v>5</v>
      </c>
      <c r="B399" t="s">
        <v>289</v>
      </c>
      <c r="C399" t="s">
        <v>289</v>
      </c>
      <c r="D399" t="s">
        <v>298</v>
      </c>
      <c r="E399">
        <v>0</v>
      </c>
      <c r="F399">
        <v>0</v>
      </c>
      <c r="G399">
        <v>0</v>
      </c>
      <c r="H399">
        <v>0</v>
      </c>
    </row>
    <row r="400" spans="1:9">
      <c r="A400" t="s">
        <v>14</v>
      </c>
      <c r="B400" t="s">
        <v>289</v>
      </c>
      <c r="C400" t="s">
        <v>289</v>
      </c>
      <c r="D400" t="s">
        <v>1831</v>
      </c>
      <c r="E400">
        <v>466</v>
      </c>
      <c r="F400">
        <v>0</v>
      </c>
      <c r="G400">
        <v>0</v>
      </c>
      <c r="H400">
        <v>0</v>
      </c>
      <c r="I400" t="s">
        <v>18</v>
      </c>
    </row>
    <row r="401" spans="1:9">
      <c r="A401">
        <v>6</v>
      </c>
      <c r="B401" t="s">
        <v>289</v>
      </c>
      <c r="C401" t="s">
        <v>289</v>
      </c>
      <c r="D401" t="s">
        <v>299</v>
      </c>
      <c r="E401">
        <v>0</v>
      </c>
      <c r="F401">
        <v>0</v>
      </c>
      <c r="G401">
        <v>0</v>
      </c>
      <c r="H401">
        <v>0</v>
      </c>
    </row>
    <row r="402" spans="1:9">
      <c r="A402" t="s">
        <v>14</v>
      </c>
      <c r="B402" t="s">
        <v>289</v>
      </c>
      <c r="C402" t="s">
        <v>289</v>
      </c>
      <c r="D402" t="s">
        <v>1832</v>
      </c>
      <c r="E402">
        <v>245</v>
      </c>
      <c r="F402">
        <v>0</v>
      </c>
      <c r="G402">
        <v>0</v>
      </c>
      <c r="H402">
        <v>0</v>
      </c>
      <c r="I402" t="s">
        <v>18</v>
      </c>
    </row>
    <row r="403" spans="1:9">
      <c r="A403" t="s">
        <v>8</v>
      </c>
      <c r="B403" t="s">
        <v>301</v>
      </c>
      <c r="C403" t="s">
        <v>301</v>
      </c>
      <c r="D403" t="s">
        <v>301</v>
      </c>
      <c r="E403">
        <v>0</v>
      </c>
      <c r="F403">
        <v>0</v>
      </c>
      <c r="G403">
        <v>0</v>
      </c>
      <c r="H403">
        <v>0</v>
      </c>
    </row>
    <row r="404" spans="1:9">
      <c r="A404" t="s">
        <v>302</v>
      </c>
      <c r="B404" t="s">
        <v>301</v>
      </c>
      <c r="C404" t="s">
        <v>301</v>
      </c>
      <c r="D404" t="s">
        <v>1833</v>
      </c>
      <c r="E404">
        <v>0</v>
      </c>
      <c r="F404">
        <v>0</v>
      </c>
      <c r="G404">
        <v>0</v>
      </c>
      <c r="H404">
        <v>0</v>
      </c>
    </row>
    <row r="405" spans="1:9">
      <c r="D405" t="s">
        <v>1885</v>
      </c>
      <c r="E405">
        <v>0</v>
      </c>
      <c r="F405">
        <v>0</v>
      </c>
      <c r="G405">
        <v>0</v>
      </c>
      <c r="H405">
        <v>0</v>
      </c>
    </row>
    <row r="406" spans="1:9">
      <c r="A406" t="s">
        <v>305</v>
      </c>
      <c r="B406" t="s">
        <v>301</v>
      </c>
      <c r="C406" t="s">
        <v>301</v>
      </c>
      <c r="D406" t="s">
        <v>1834</v>
      </c>
      <c r="E406">
        <v>83902</v>
      </c>
      <c r="F406">
        <v>0</v>
      </c>
      <c r="G406">
        <v>0</v>
      </c>
      <c r="H406">
        <v>0</v>
      </c>
      <c r="I406" t="s">
        <v>27</v>
      </c>
    </row>
    <row r="407" spans="1:9">
      <c r="D407" t="s">
        <v>306</v>
      </c>
      <c r="E407">
        <v>0</v>
      </c>
      <c r="F407">
        <v>0</v>
      </c>
      <c r="G407">
        <v>0</v>
      </c>
      <c r="H407">
        <v>0</v>
      </c>
    </row>
    <row r="408" spans="1:9">
      <c r="D408" t="s">
        <v>1886</v>
      </c>
      <c r="E408">
        <v>0</v>
      </c>
      <c r="F408">
        <v>0</v>
      </c>
      <c r="G408">
        <v>0</v>
      </c>
      <c r="H408">
        <v>0</v>
      </c>
    </row>
    <row r="409" spans="1:9">
      <c r="D409" t="s">
        <v>308</v>
      </c>
      <c r="E409">
        <v>0</v>
      </c>
      <c r="F409">
        <v>0</v>
      </c>
      <c r="G409">
        <v>0</v>
      </c>
      <c r="H409">
        <v>0</v>
      </c>
    </row>
    <row r="410" spans="1:9">
      <c r="D410" t="s">
        <v>309</v>
      </c>
      <c r="E410">
        <v>0</v>
      </c>
      <c r="F410">
        <v>0</v>
      </c>
      <c r="G410">
        <v>0</v>
      </c>
      <c r="H410">
        <v>0</v>
      </c>
    </row>
    <row r="411" spans="1:9">
      <c r="D411" t="s">
        <v>310</v>
      </c>
      <c r="E411">
        <v>0</v>
      </c>
      <c r="F411">
        <v>0</v>
      </c>
      <c r="G411">
        <v>0</v>
      </c>
      <c r="H411">
        <v>0</v>
      </c>
    </row>
    <row r="412" spans="1:9">
      <c r="D412" t="s">
        <v>311</v>
      </c>
      <c r="E412">
        <v>0</v>
      </c>
      <c r="F412">
        <v>0</v>
      </c>
      <c r="G412">
        <v>0</v>
      </c>
      <c r="H412">
        <v>0</v>
      </c>
    </row>
    <row r="413" spans="1:9">
      <c r="D413" t="s">
        <v>312</v>
      </c>
      <c r="E413">
        <v>0</v>
      </c>
      <c r="F413">
        <v>0</v>
      </c>
      <c r="G413">
        <v>0</v>
      </c>
      <c r="H413">
        <v>0</v>
      </c>
    </row>
    <row r="414" spans="1:9">
      <c r="D414" t="s">
        <v>1887</v>
      </c>
      <c r="E414">
        <v>0</v>
      </c>
      <c r="F414">
        <v>0</v>
      </c>
      <c r="G414">
        <v>0</v>
      </c>
      <c r="H414">
        <v>0</v>
      </c>
    </row>
    <row r="415" spans="1:9">
      <c r="D415" t="s">
        <v>1888</v>
      </c>
      <c r="E415">
        <v>0</v>
      </c>
      <c r="F415">
        <v>0</v>
      </c>
      <c r="G415">
        <v>0</v>
      </c>
      <c r="H415">
        <v>0</v>
      </c>
    </row>
    <row r="416" spans="1:9">
      <c r="D416" t="s">
        <v>1889</v>
      </c>
      <c r="E416">
        <v>0</v>
      </c>
      <c r="F416">
        <v>0</v>
      </c>
      <c r="G416">
        <v>0</v>
      </c>
      <c r="H416">
        <v>0</v>
      </c>
    </row>
    <row r="417" spans="1:9">
      <c r="D417" t="s">
        <v>1890</v>
      </c>
      <c r="E417">
        <v>0</v>
      </c>
      <c r="F417">
        <v>0</v>
      </c>
      <c r="G417">
        <v>0</v>
      </c>
      <c r="H417">
        <v>0</v>
      </c>
    </row>
    <row r="418" spans="1:9">
      <c r="D418" t="s">
        <v>1891</v>
      </c>
      <c r="E418">
        <v>0</v>
      </c>
      <c r="F418">
        <v>0</v>
      </c>
      <c r="G418">
        <v>0</v>
      </c>
      <c r="H418">
        <v>0</v>
      </c>
    </row>
    <row r="419" spans="1:9">
      <c r="A419" t="s">
        <v>318</v>
      </c>
      <c r="B419" t="s">
        <v>301</v>
      </c>
      <c r="C419" t="s">
        <v>301</v>
      </c>
      <c r="D419" t="s">
        <v>1835</v>
      </c>
      <c r="E419">
        <v>127675</v>
      </c>
      <c r="F419">
        <v>0</v>
      </c>
      <c r="G419">
        <v>0</v>
      </c>
      <c r="H419">
        <v>0</v>
      </c>
      <c r="I419" t="s">
        <v>27</v>
      </c>
    </row>
    <row r="420" spans="1:9">
      <c r="D420" t="s">
        <v>319</v>
      </c>
      <c r="E420">
        <v>0</v>
      </c>
      <c r="F420">
        <v>0</v>
      </c>
      <c r="G420">
        <v>0</v>
      </c>
      <c r="H420">
        <v>0</v>
      </c>
    </row>
    <row r="421" spans="1:9">
      <c r="D421" t="s">
        <v>1886</v>
      </c>
      <c r="E421">
        <v>0</v>
      </c>
      <c r="F421">
        <v>0</v>
      </c>
      <c r="G421">
        <v>0</v>
      </c>
      <c r="H421">
        <v>0</v>
      </c>
    </row>
    <row r="422" spans="1:9">
      <c r="D422" t="s">
        <v>308</v>
      </c>
      <c r="E422">
        <v>0</v>
      </c>
      <c r="F422">
        <v>0</v>
      </c>
      <c r="G422">
        <v>0</v>
      </c>
      <c r="H422">
        <v>0</v>
      </c>
    </row>
    <row r="423" spans="1:9">
      <c r="D423" t="s">
        <v>320</v>
      </c>
      <c r="E423">
        <v>0</v>
      </c>
      <c r="F423">
        <v>0</v>
      </c>
      <c r="G423">
        <v>0</v>
      </c>
      <c r="H423">
        <v>0</v>
      </c>
    </row>
    <row r="424" spans="1:9">
      <c r="D424" t="s">
        <v>310</v>
      </c>
      <c r="E424">
        <v>0</v>
      </c>
      <c r="F424">
        <v>0</v>
      </c>
      <c r="G424">
        <v>0</v>
      </c>
      <c r="H424">
        <v>0</v>
      </c>
    </row>
    <row r="425" spans="1:9">
      <c r="D425" t="s">
        <v>321</v>
      </c>
      <c r="E425">
        <v>0</v>
      </c>
      <c r="F425">
        <v>0</v>
      </c>
      <c r="G425">
        <v>0</v>
      </c>
      <c r="H425">
        <v>0</v>
      </c>
    </row>
    <row r="426" spans="1:9">
      <c r="D426" t="s">
        <v>322</v>
      </c>
      <c r="E426">
        <v>0</v>
      </c>
      <c r="F426">
        <v>0</v>
      </c>
      <c r="G426">
        <v>0</v>
      </c>
      <c r="H426">
        <v>0</v>
      </c>
    </row>
    <row r="427" spans="1:9">
      <c r="D427" t="s">
        <v>323</v>
      </c>
      <c r="E427">
        <v>0</v>
      </c>
      <c r="F427">
        <v>0</v>
      </c>
      <c r="G427">
        <v>0</v>
      </c>
      <c r="H427">
        <v>0</v>
      </c>
    </row>
    <row r="428" spans="1:9">
      <c r="D428" t="s">
        <v>324</v>
      </c>
      <c r="E428">
        <v>0</v>
      </c>
      <c r="F428">
        <v>0</v>
      </c>
      <c r="G428">
        <v>0</v>
      </c>
      <c r="H428">
        <v>0</v>
      </c>
    </row>
    <row r="429" spans="1:9">
      <c r="D429" t="s">
        <v>1892</v>
      </c>
      <c r="E429">
        <v>0</v>
      </c>
      <c r="F429">
        <v>0</v>
      </c>
      <c r="G429">
        <v>0</v>
      </c>
      <c r="H429">
        <v>0</v>
      </c>
    </row>
    <row r="430" spans="1:9">
      <c r="D430" t="s">
        <v>1893</v>
      </c>
      <c r="E430">
        <v>0</v>
      </c>
      <c r="F430">
        <v>0</v>
      </c>
      <c r="G430">
        <v>0</v>
      </c>
      <c r="H430">
        <v>0</v>
      </c>
    </row>
    <row r="431" spans="1:9">
      <c r="D431" t="s">
        <v>327</v>
      </c>
      <c r="E431">
        <v>0</v>
      </c>
      <c r="F431">
        <v>0</v>
      </c>
      <c r="G431">
        <v>0</v>
      </c>
      <c r="H431">
        <v>0</v>
      </c>
    </row>
    <row r="432" spans="1:9">
      <c r="D432" t="s">
        <v>328</v>
      </c>
      <c r="E432">
        <v>0</v>
      </c>
      <c r="F432">
        <v>0</v>
      </c>
      <c r="G432">
        <v>0</v>
      </c>
      <c r="H432">
        <v>0</v>
      </c>
    </row>
    <row r="433" spans="1:9">
      <c r="D433" t="s">
        <v>329</v>
      </c>
      <c r="E433">
        <v>0</v>
      </c>
      <c r="F433">
        <v>0</v>
      </c>
      <c r="G433">
        <v>0</v>
      </c>
      <c r="H433">
        <v>0</v>
      </c>
    </row>
    <row r="434" spans="1:9">
      <c r="D434" t="s">
        <v>1894</v>
      </c>
      <c r="E434">
        <v>0</v>
      </c>
      <c r="F434">
        <v>0</v>
      </c>
      <c r="G434">
        <v>0</v>
      </c>
      <c r="H434">
        <v>0</v>
      </c>
    </row>
    <row r="435" spans="1:9">
      <c r="A435" t="s">
        <v>318</v>
      </c>
      <c r="B435" t="s">
        <v>301</v>
      </c>
      <c r="C435" t="s">
        <v>301</v>
      </c>
      <c r="D435" t="s">
        <v>1482</v>
      </c>
      <c r="E435">
        <v>155313</v>
      </c>
      <c r="F435">
        <v>1</v>
      </c>
      <c r="G435">
        <v>155313</v>
      </c>
      <c r="H435">
        <v>68.12</v>
      </c>
      <c r="I435" t="s">
        <v>27</v>
      </c>
    </row>
    <row r="436" spans="1:9">
      <c r="D436" t="s">
        <v>319</v>
      </c>
      <c r="E436">
        <v>0</v>
      </c>
      <c r="F436">
        <v>0</v>
      </c>
      <c r="G436">
        <v>0</v>
      </c>
      <c r="H436">
        <v>0</v>
      </c>
    </row>
    <row r="437" spans="1:9">
      <c r="D437" t="s">
        <v>1886</v>
      </c>
      <c r="E437">
        <v>0</v>
      </c>
      <c r="F437">
        <v>0</v>
      </c>
      <c r="G437">
        <v>0</v>
      </c>
      <c r="H437">
        <v>0</v>
      </c>
    </row>
    <row r="438" spans="1:9">
      <c r="D438" t="s">
        <v>308</v>
      </c>
      <c r="E438">
        <v>0</v>
      </c>
      <c r="F438">
        <v>0</v>
      </c>
      <c r="G438">
        <v>0</v>
      </c>
      <c r="H438">
        <v>0</v>
      </c>
    </row>
    <row r="439" spans="1:9">
      <c r="D439" t="s">
        <v>320</v>
      </c>
      <c r="E439">
        <v>0</v>
      </c>
      <c r="F439">
        <v>0</v>
      </c>
      <c r="G439">
        <v>0</v>
      </c>
      <c r="H439">
        <v>0</v>
      </c>
    </row>
    <row r="440" spans="1:9">
      <c r="D440" t="s">
        <v>310</v>
      </c>
      <c r="E440">
        <v>0</v>
      </c>
      <c r="F440">
        <v>0</v>
      </c>
      <c r="G440">
        <v>0</v>
      </c>
      <c r="H440">
        <v>0</v>
      </c>
    </row>
    <row r="441" spans="1:9">
      <c r="D441" t="s">
        <v>331</v>
      </c>
      <c r="E441">
        <v>0</v>
      </c>
      <c r="F441">
        <v>0</v>
      </c>
      <c r="G441">
        <v>0</v>
      </c>
      <c r="H441">
        <v>0</v>
      </c>
    </row>
    <row r="442" spans="1:9">
      <c r="D442" t="s">
        <v>332</v>
      </c>
      <c r="E442">
        <v>0</v>
      </c>
      <c r="F442">
        <v>0</v>
      </c>
      <c r="G442">
        <v>0</v>
      </c>
      <c r="H442">
        <v>0</v>
      </c>
    </row>
    <row r="443" spans="1:9">
      <c r="D443" t="s">
        <v>323</v>
      </c>
      <c r="E443">
        <v>0</v>
      </c>
      <c r="F443">
        <v>0</v>
      </c>
      <c r="G443">
        <v>0</v>
      </c>
      <c r="H443">
        <v>0</v>
      </c>
    </row>
    <row r="444" spans="1:9">
      <c r="D444" t="s">
        <v>333</v>
      </c>
      <c r="E444">
        <v>0</v>
      </c>
      <c r="F444">
        <v>0</v>
      </c>
      <c r="G444">
        <v>0</v>
      </c>
      <c r="H444">
        <v>0</v>
      </c>
    </row>
    <row r="445" spans="1:9">
      <c r="D445" t="s">
        <v>1887</v>
      </c>
      <c r="E445">
        <v>0</v>
      </c>
      <c r="F445">
        <v>0</v>
      </c>
      <c r="G445">
        <v>0</v>
      </c>
      <c r="H445">
        <v>0</v>
      </c>
      <c r="I445" t="s">
        <v>1439</v>
      </c>
    </row>
    <row r="446" spans="1:9">
      <c r="D446" t="s">
        <v>1895</v>
      </c>
      <c r="E446">
        <v>0</v>
      </c>
      <c r="F446">
        <v>0</v>
      </c>
      <c r="G446">
        <v>0</v>
      </c>
      <c r="H446">
        <v>0</v>
      </c>
      <c r="I446" t="s">
        <v>1439</v>
      </c>
    </row>
    <row r="447" spans="1:9">
      <c r="D447" t="s">
        <v>1893</v>
      </c>
      <c r="E447">
        <v>0</v>
      </c>
      <c r="F447">
        <v>0</v>
      </c>
      <c r="G447">
        <v>0</v>
      </c>
      <c r="H447">
        <v>0</v>
      </c>
      <c r="I447" t="s">
        <v>1439</v>
      </c>
    </row>
    <row r="448" spans="1:9">
      <c r="D448" t="s">
        <v>327</v>
      </c>
      <c r="E448">
        <v>0</v>
      </c>
      <c r="F448">
        <v>0</v>
      </c>
      <c r="G448">
        <v>0</v>
      </c>
      <c r="H448">
        <v>0</v>
      </c>
    </row>
    <row r="449" spans="1:9">
      <c r="D449" t="s">
        <v>335</v>
      </c>
      <c r="E449">
        <v>0</v>
      </c>
      <c r="F449">
        <v>0</v>
      </c>
      <c r="G449">
        <v>0</v>
      </c>
      <c r="H449">
        <v>0</v>
      </c>
    </row>
    <row r="450" spans="1:9">
      <c r="D450" t="s">
        <v>336</v>
      </c>
      <c r="E450">
        <v>0</v>
      </c>
      <c r="F450">
        <v>0</v>
      </c>
      <c r="G450">
        <v>0</v>
      </c>
      <c r="H450">
        <v>0</v>
      </c>
      <c r="I450" t="s">
        <v>1439</v>
      </c>
    </row>
    <row r="451" spans="1:9">
      <c r="D451" t="s">
        <v>1896</v>
      </c>
      <c r="E451">
        <v>0</v>
      </c>
      <c r="F451">
        <v>0</v>
      </c>
      <c r="G451">
        <v>0</v>
      </c>
      <c r="H451">
        <v>0</v>
      </c>
      <c r="I451" t="s">
        <v>1439</v>
      </c>
    </row>
    <row r="452" spans="1:9">
      <c r="D452" t="s">
        <v>1897</v>
      </c>
      <c r="E452">
        <v>0</v>
      </c>
      <c r="F452">
        <v>0</v>
      </c>
      <c r="G452">
        <v>0</v>
      </c>
      <c r="H452">
        <v>0</v>
      </c>
      <c r="I452" t="s">
        <v>1439</v>
      </c>
    </row>
    <row r="453" spans="1:9">
      <c r="A453" t="s">
        <v>339</v>
      </c>
      <c r="B453" t="s">
        <v>301</v>
      </c>
      <c r="C453" t="s">
        <v>301</v>
      </c>
      <c r="D453" t="s">
        <v>1836</v>
      </c>
      <c r="E453">
        <v>161759</v>
      </c>
      <c r="F453">
        <v>0</v>
      </c>
      <c r="G453">
        <v>0</v>
      </c>
      <c r="H453">
        <v>0</v>
      </c>
      <c r="I453" t="s">
        <v>27</v>
      </c>
    </row>
    <row r="454" spans="1:9">
      <c r="D454" t="s">
        <v>319</v>
      </c>
      <c r="E454">
        <v>0</v>
      </c>
      <c r="F454">
        <v>0</v>
      </c>
      <c r="G454">
        <v>0</v>
      </c>
      <c r="H454">
        <v>0</v>
      </c>
    </row>
    <row r="455" spans="1:9">
      <c r="D455" t="s">
        <v>1886</v>
      </c>
      <c r="E455">
        <v>0</v>
      </c>
      <c r="F455">
        <v>0</v>
      </c>
      <c r="G455">
        <v>0</v>
      </c>
      <c r="H455">
        <v>0</v>
      </c>
    </row>
    <row r="456" spans="1:9">
      <c r="D456" t="s">
        <v>308</v>
      </c>
      <c r="E456">
        <v>0</v>
      </c>
      <c r="F456">
        <v>0</v>
      </c>
      <c r="G456">
        <v>0</v>
      </c>
      <c r="H456">
        <v>0</v>
      </c>
    </row>
    <row r="457" spans="1:9">
      <c r="D457" t="s">
        <v>320</v>
      </c>
      <c r="E457">
        <v>0</v>
      </c>
      <c r="F457">
        <v>0</v>
      </c>
      <c r="G457">
        <v>0</v>
      </c>
      <c r="H457">
        <v>0</v>
      </c>
    </row>
    <row r="458" spans="1:9">
      <c r="D458" t="s">
        <v>310</v>
      </c>
      <c r="E458">
        <v>0</v>
      </c>
      <c r="F458">
        <v>0</v>
      </c>
      <c r="G458">
        <v>0</v>
      </c>
      <c r="H458">
        <v>0</v>
      </c>
    </row>
    <row r="459" spans="1:9">
      <c r="D459" t="s">
        <v>340</v>
      </c>
      <c r="E459">
        <v>0</v>
      </c>
      <c r="F459">
        <v>0</v>
      </c>
      <c r="G459">
        <v>0</v>
      </c>
      <c r="H459">
        <v>0</v>
      </c>
    </row>
    <row r="460" spans="1:9">
      <c r="D460" t="s">
        <v>341</v>
      </c>
      <c r="E460">
        <v>0</v>
      </c>
      <c r="F460">
        <v>0</v>
      </c>
      <c r="G460">
        <v>0</v>
      </c>
      <c r="H460">
        <v>0</v>
      </c>
    </row>
    <row r="461" spans="1:9">
      <c r="D461" t="s">
        <v>323</v>
      </c>
      <c r="E461">
        <v>0</v>
      </c>
      <c r="F461">
        <v>0</v>
      </c>
      <c r="G461">
        <v>0</v>
      </c>
      <c r="H461">
        <v>0</v>
      </c>
    </row>
    <row r="462" spans="1:9">
      <c r="D462" t="s">
        <v>333</v>
      </c>
      <c r="E462">
        <v>0</v>
      </c>
      <c r="F462">
        <v>0</v>
      </c>
      <c r="G462">
        <v>0</v>
      </c>
      <c r="H462">
        <v>0</v>
      </c>
    </row>
    <row r="463" spans="1:9">
      <c r="D463" t="s">
        <v>1898</v>
      </c>
      <c r="E463">
        <v>0</v>
      </c>
      <c r="F463">
        <v>0</v>
      </c>
      <c r="G463">
        <v>0</v>
      </c>
      <c r="H463">
        <v>0</v>
      </c>
    </row>
    <row r="464" spans="1:9">
      <c r="D464" t="s">
        <v>1895</v>
      </c>
      <c r="E464">
        <v>0</v>
      </c>
      <c r="F464">
        <v>0</v>
      </c>
      <c r="G464">
        <v>0</v>
      </c>
      <c r="H464">
        <v>0</v>
      </c>
    </row>
    <row r="465" spans="1:9">
      <c r="D465" t="s">
        <v>1893</v>
      </c>
      <c r="E465">
        <v>0</v>
      </c>
      <c r="F465">
        <v>0</v>
      </c>
      <c r="G465">
        <v>0</v>
      </c>
      <c r="H465">
        <v>0</v>
      </c>
    </row>
    <row r="466" spans="1:9">
      <c r="D466" t="s">
        <v>327</v>
      </c>
      <c r="E466">
        <v>0</v>
      </c>
      <c r="F466">
        <v>0</v>
      </c>
      <c r="G466">
        <v>0</v>
      </c>
      <c r="H466">
        <v>0</v>
      </c>
    </row>
    <row r="467" spans="1:9">
      <c r="D467" t="s">
        <v>335</v>
      </c>
      <c r="E467">
        <v>0</v>
      </c>
      <c r="F467">
        <v>0</v>
      </c>
      <c r="G467">
        <v>0</v>
      </c>
      <c r="H467">
        <v>0</v>
      </c>
    </row>
    <row r="468" spans="1:9">
      <c r="D468" t="s">
        <v>336</v>
      </c>
      <c r="E468">
        <v>0</v>
      </c>
      <c r="F468">
        <v>0</v>
      </c>
      <c r="G468">
        <v>0</v>
      </c>
      <c r="H468">
        <v>0</v>
      </c>
    </row>
    <row r="469" spans="1:9">
      <c r="D469" t="s">
        <v>1896</v>
      </c>
      <c r="E469">
        <v>0</v>
      </c>
      <c r="F469">
        <v>0</v>
      </c>
      <c r="G469">
        <v>0</v>
      </c>
      <c r="H469">
        <v>0</v>
      </c>
    </row>
    <row r="470" spans="1:9">
      <c r="D470" t="s">
        <v>1897</v>
      </c>
      <c r="E470">
        <v>0</v>
      </c>
      <c r="F470">
        <v>0</v>
      </c>
      <c r="G470">
        <v>0</v>
      </c>
      <c r="H470">
        <v>0</v>
      </c>
    </row>
    <row r="471" spans="1:9">
      <c r="A471" t="s">
        <v>343</v>
      </c>
      <c r="B471" t="s">
        <v>301</v>
      </c>
      <c r="C471" t="s">
        <v>301</v>
      </c>
      <c r="D471" t="s">
        <v>1837</v>
      </c>
      <c r="E471">
        <v>28612</v>
      </c>
      <c r="F471">
        <v>2</v>
      </c>
      <c r="G471">
        <v>57224</v>
      </c>
      <c r="H471">
        <v>25.1</v>
      </c>
      <c r="I471" t="s">
        <v>27</v>
      </c>
    </row>
    <row r="472" spans="1:9">
      <c r="A472">
        <v>1.2</v>
      </c>
      <c r="B472" t="s">
        <v>301</v>
      </c>
      <c r="C472" t="s">
        <v>301</v>
      </c>
      <c r="D472" t="s">
        <v>344</v>
      </c>
      <c r="E472">
        <v>0</v>
      </c>
      <c r="F472">
        <v>0</v>
      </c>
      <c r="G472">
        <v>0</v>
      </c>
      <c r="H472">
        <v>0</v>
      </c>
    </row>
    <row r="473" spans="1:9">
      <c r="A473" t="s">
        <v>345</v>
      </c>
      <c r="B473" t="s">
        <v>301</v>
      </c>
      <c r="C473" t="s">
        <v>301</v>
      </c>
      <c r="D473" t="s">
        <v>346</v>
      </c>
      <c r="E473">
        <v>9175</v>
      </c>
      <c r="F473">
        <v>0</v>
      </c>
      <c r="G473">
        <v>0</v>
      </c>
      <c r="H473">
        <v>0</v>
      </c>
      <c r="I473" t="s">
        <v>27</v>
      </c>
    </row>
    <row r="474" spans="1:9">
      <c r="A474" t="s">
        <v>347</v>
      </c>
      <c r="B474" t="s">
        <v>301</v>
      </c>
      <c r="C474" t="s">
        <v>301</v>
      </c>
      <c r="D474" t="s">
        <v>348</v>
      </c>
      <c r="E474">
        <v>10137</v>
      </c>
      <c r="F474">
        <v>0</v>
      </c>
      <c r="G474">
        <v>0</v>
      </c>
      <c r="H474">
        <v>0</v>
      </c>
      <c r="I474" t="s">
        <v>27</v>
      </c>
    </row>
    <row r="475" spans="1:9">
      <c r="A475" t="s">
        <v>349</v>
      </c>
      <c r="B475" t="s">
        <v>301</v>
      </c>
      <c r="C475" t="s">
        <v>301</v>
      </c>
      <c r="D475" t="s">
        <v>350</v>
      </c>
      <c r="E475">
        <v>11624</v>
      </c>
      <c r="F475">
        <v>0</v>
      </c>
      <c r="G475">
        <v>0</v>
      </c>
      <c r="H475">
        <v>0</v>
      </c>
      <c r="I475" t="s">
        <v>27</v>
      </c>
    </row>
    <row r="476" spans="1:9">
      <c r="A476" t="s">
        <v>351</v>
      </c>
      <c r="B476" t="s">
        <v>301</v>
      </c>
      <c r="C476" t="s">
        <v>301</v>
      </c>
      <c r="D476" t="s">
        <v>352</v>
      </c>
      <c r="E476">
        <v>12602</v>
      </c>
      <c r="F476">
        <v>0</v>
      </c>
      <c r="G476">
        <v>0</v>
      </c>
      <c r="H476">
        <v>0</v>
      </c>
      <c r="I476" t="s">
        <v>27</v>
      </c>
    </row>
    <row r="477" spans="1:9">
      <c r="A477" t="s">
        <v>353</v>
      </c>
      <c r="B477" t="s">
        <v>301</v>
      </c>
      <c r="C477" t="s">
        <v>301</v>
      </c>
      <c r="D477" t="s">
        <v>354</v>
      </c>
      <c r="E477">
        <v>15784</v>
      </c>
      <c r="F477">
        <v>0</v>
      </c>
      <c r="G477">
        <v>0</v>
      </c>
      <c r="H477">
        <v>0</v>
      </c>
      <c r="I477" t="s">
        <v>27</v>
      </c>
    </row>
    <row r="478" spans="1:9">
      <c r="A478" t="s">
        <v>355</v>
      </c>
      <c r="B478" t="s">
        <v>301</v>
      </c>
      <c r="C478" t="s">
        <v>301</v>
      </c>
      <c r="D478" t="s">
        <v>356</v>
      </c>
      <c r="E478">
        <v>3457</v>
      </c>
      <c r="F478">
        <v>0</v>
      </c>
      <c r="G478">
        <v>0</v>
      </c>
      <c r="H478">
        <v>0</v>
      </c>
      <c r="I478" t="s">
        <v>27</v>
      </c>
    </row>
    <row r="479" spans="1:9">
      <c r="A479" t="s">
        <v>357</v>
      </c>
      <c r="B479" t="s">
        <v>301</v>
      </c>
      <c r="C479" t="s">
        <v>301</v>
      </c>
      <c r="D479" t="s">
        <v>358</v>
      </c>
      <c r="E479">
        <v>4237</v>
      </c>
      <c r="F479">
        <v>0</v>
      </c>
      <c r="G479">
        <v>0</v>
      </c>
      <c r="H479">
        <v>0</v>
      </c>
      <c r="I479" t="s">
        <v>27</v>
      </c>
    </row>
    <row r="480" spans="1:9">
      <c r="D480" t="s">
        <v>359</v>
      </c>
      <c r="E480">
        <v>0</v>
      </c>
      <c r="F480">
        <v>0</v>
      </c>
      <c r="G480">
        <v>212537</v>
      </c>
      <c r="H480">
        <v>93.22</v>
      </c>
    </row>
    <row r="481" spans="1:9">
      <c r="A481" t="s">
        <v>302</v>
      </c>
      <c r="B481" t="s">
        <v>301</v>
      </c>
      <c r="C481" t="s">
        <v>301</v>
      </c>
      <c r="D481" t="s">
        <v>360</v>
      </c>
      <c r="E481">
        <v>0</v>
      </c>
      <c r="F481">
        <v>0</v>
      </c>
      <c r="G481">
        <v>0</v>
      </c>
      <c r="H481">
        <v>0</v>
      </c>
    </row>
    <row r="482" spans="1:9">
      <c r="A482">
        <v>2.1</v>
      </c>
      <c r="B482" t="s">
        <v>301</v>
      </c>
      <c r="C482" t="s">
        <v>301</v>
      </c>
      <c r="D482" t="s">
        <v>361</v>
      </c>
      <c r="E482">
        <v>35086</v>
      </c>
      <c r="F482">
        <v>0</v>
      </c>
      <c r="G482">
        <v>0</v>
      </c>
      <c r="H482">
        <v>0</v>
      </c>
      <c r="I482" t="s">
        <v>27</v>
      </c>
    </row>
    <row r="483" spans="1:9">
      <c r="D483" t="s">
        <v>362</v>
      </c>
      <c r="E483">
        <v>0</v>
      </c>
      <c r="F483">
        <v>0</v>
      </c>
      <c r="G483">
        <v>0</v>
      </c>
      <c r="H483">
        <v>0</v>
      </c>
    </row>
    <row r="484" spans="1:9">
      <c r="D484" t="s">
        <v>363</v>
      </c>
      <c r="E484">
        <v>0</v>
      </c>
      <c r="F484">
        <v>0</v>
      </c>
      <c r="G484">
        <v>0</v>
      </c>
      <c r="H484">
        <v>0</v>
      </c>
    </row>
    <row r="485" spans="1:9">
      <c r="D485" t="s">
        <v>364</v>
      </c>
      <c r="E485">
        <v>0</v>
      </c>
      <c r="F485">
        <v>0</v>
      </c>
      <c r="G485">
        <v>0</v>
      </c>
      <c r="H485">
        <v>0</v>
      </c>
    </row>
    <row r="486" spans="1:9">
      <c r="D486" t="s">
        <v>365</v>
      </c>
      <c r="E486">
        <v>0</v>
      </c>
      <c r="F486">
        <v>0</v>
      </c>
      <c r="G486">
        <v>0</v>
      </c>
      <c r="H486">
        <v>0</v>
      </c>
    </row>
    <row r="487" spans="1:9">
      <c r="D487" t="s">
        <v>366</v>
      </c>
      <c r="E487">
        <v>0</v>
      </c>
      <c r="F487">
        <v>0</v>
      </c>
      <c r="G487">
        <v>0</v>
      </c>
      <c r="H487">
        <v>0</v>
      </c>
    </row>
    <row r="488" spans="1:9">
      <c r="D488" t="s">
        <v>367</v>
      </c>
      <c r="E488">
        <v>0</v>
      </c>
      <c r="F488">
        <v>0</v>
      </c>
      <c r="G488">
        <v>0</v>
      </c>
      <c r="H488">
        <v>0</v>
      </c>
    </row>
    <row r="489" spans="1:9">
      <c r="D489" t="s">
        <v>368</v>
      </c>
      <c r="E489">
        <v>0</v>
      </c>
      <c r="F489">
        <v>0</v>
      </c>
      <c r="G489">
        <v>0</v>
      </c>
      <c r="H489">
        <v>0</v>
      </c>
    </row>
    <row r="490" spans="1:9">
      <c r="D490" t="s">
        <v>369</v>
      </c>
      <c r="E490">
        <v>0</v>
      </c>
      <c r="F490">
        <v>0</v>
      </c>
      <c r="G490">
        <v>0</v>
      </c>
      <c r="H490">
        <v>0</v>
      </c>
    </row>
    <row r="491" spans="1:9">
      <c r="D491" t="s">
        <v>370</v>
      </c>
      <c r="E491">
        <v>0</v>
      </c>
      <c r="F491">
        <v>0</v>
      </c>
      <c r="G491">
        <v>0</v>
      </c>
      <c r="H491">
        <v>0</v>
      </c>
    </row>
    <row r="492" spans="1:9">
      <c r="D492" t="s">
        <v>371</v>
      </c>
      <c r="E492">
        <v>0</v>
      </c>
      <c r="F492">
        <v>0</v>
      </c>
      <c r="G492">
        <v>0</v>
      </c>
      <c r="H492">
        <v>0</v>
      </c>
    </row>
    <row r="493" spans="1:9">
      <c r="D493" t="s">
        <v>372</v>
      </c>
      <c r="E493">
        <v>0</v>
      </c>
      <c r="F493">
        <v>0</v>
      </c>
      <c r="G493">
        <v>0</v>
      </c>
      <c r="H493">
        <v>0</v>
      </c>
    </row>
    <row r="494" spans="1:9">
      <c r="D494" t="s">
        <v>373</v>
      </c>
      <c r="E494">
        <v>0</v>
      </c>
      <c r="F494">
        <v>0</v>
      </c>
      <c r="G494">
        <v>0</v>
      </c>
      <c r="H494">
        <v>0</v>
      </c>
    </row>
    <row r="495" spans="1:9">
      <c r="D495" t="s">
        <v>374</v>
      </c>
      <c r="E495">
        <v>0</v>
      </c>
      <c r="F495">
        <v>0</v>
      </c>
      <c r="G495">
        <v>0</v>
      </c>
      <c r="H495">
        <v>0</v>
      </c>
    </row>
    <row r="496" spans="1:9">
      <c r="A496">
        <v>2.2000000000000002</v>
      </c>
      <c r="B496" t="s">
        <v>301</v>
      </c>
      <c r="C496" t="s">
        <v>301</v>
      </c>
      <c r="D496" t="s">
        <v>375</v>
      </c>
      <c r="E496">
        <v>55333</v>
      </c>
      <c r="F496">
        <v>0</v>
      </c>
      <c r="G496">
        <v>0</v>
      </c>
      <c r="H496">
        <v>0</v>
      </c>
      <c r="I496" t="s">
        <v>27</v>
      </c>
    </row>
    <row r="497" spans="1:9">
      <c r="D497" t="s">
        <v>376</v>
      </c>
      <c r="E497">
        <v>0</v>
      </c>
      <c r="F497">
        <v>0</v>
      </c>
      <c r="G497">
        <v>0</v>
      </c>
      <c r="H497">
        <v>0</v>
      </c>
    </row>
    <row r="498" spans="1:9">
      <c r="D498" t="s">
        <v>363</v>
      </c>
      <c r="E498">
        <v>0</v>
      </c>
      <c r="F498">
        <v>0</v>
      </c>
      <c r="G498">
        <v>0</v>
      </c>
      <c r="H498">
        <v>0</v>
      </c>
    </row>
    <row r="499" spans="1:9">
      <c r="D499" t="s">
        <v>364</v>
      </c>
      <c r="E499">
        <v>0</v>
      </c>
      <c r="F499">
        <v>0</v>
      </c>
      <c r="G499">
        <v>0</v>
      </c>
      <c r="H499">
        <v>0</v>
      </c>
    </row>
    <row r="500" spans="1:9">
      <c r="D500" t="s">
        <v>365</v>
      </c>
      <c r="E500">
        <v>0</v>
      </c>
      <c r="F500">
        <v>0</v>
      </c>
      <c r="G500">
        <v>0</v>
      </c>
      <c r="H500">
        <v>0</v>
      </c>
    </row>
    <row r="501" spans="1:9">
      <c r="D501" t="s">
        <v>366</v>
      </c>
      <c r="E501">
        <v>0</v>
      </c>
      <c r="F501">
        <v>0</v>
      </c>
      <c r="G501">
        <v>0</v>
      </c>
      <c r="H501">
        <v>0</v>
      </c>
    </row>
    <row r="502" spans="1:9">
      <c r="D502" t="s">
        <v>367</v>
      </c>
      <c r="E502">
        <v>0</v>
      </c>
      <c r="F502">
        <v>0</v>
      </c>
      <c r="G502">
        <v>0</v>
      </c>
      <c r="H502">
        <v>0</v>
      </c>
    </row>
    <row r="503" spans="1:9">
      <c r="D503" t="s">
        <v>368</v>
      </c>
      <c r="E503">
        <v>0</v>
      </c>
      <c r="F503">
        <v>0</v>
      </c>
      <c r="G503">
        <v>0</v>
      </c>
      <c r="H503">
        <v>0</v>
      </c>
    </row>
    <row r="504" spans="1:9">
      <c r="D504" t="s">
        <v>369</v>
      </c>
      <c r="E504">
        <v>0</v>
      </c>
      <c r="F504">
        <v>0</v>
      </c>
      <c r="G504">
        <v>0</v>
      </c>
      <c r="H504">
        <v>0</v>
      </c>
    </row>
    <row r="505" spans="1:9">
      <c r="D505" t="s">
        <v>377</v>
      </c>
      <c r="E505">
        <v>0</v>
      </c>
      <c r="F505">
        <v>0</v>
      </c>
      <c r="G505">
        <v>0</v>
      </c>
      <c r="H505">
        <v>0</v>
      </c>
    </row>
    <row r="506" spans="1:9">
      <c r="D506" t="s">
        <v>378</v>
      </c>
      <c r="E506">
        <v>0</v>
      </c>
      <c r="F506">
        <v>0</v>
      </c>
      <c r="G506">
        <v>0</v>
      </c>
      <c r="H506">
        <v>0</v>
      </c>
    </row>
    <row r="507" spans="1:9">
      <c r="D507" t="s">
        <v>379</v>
      </c>
      <c r="E507">
        <v>0</v>
      </c>
      <c r="F507">
        <v>0</v>
      </c>
      <c r="G507">
        <v>0</v>
      </c>
      <c r="H507">
        <v>0</v>
      </c>
    </row>
    <row r="508" spans="1:9">
      <c r="D508" t="s">
        <v>373</v>
      </c>
      <c r="E508">
        <v>0</v>
      </c>
      <c r="F508">
        <v>0</v>
      </c>
      <c r="G508">
        <v>0</v>
      </c>
      <c r="H508">
        <v>0</v>
      </c>
    </row>
    <row r="509" spans="1:9">
      <c r="D509" t="s">
        <v>380</v>
      </c>
      <c r="E509">
        <v>0</v>
      </c>
      <c r="F509">
        <v>0</v>
      </c>
      <c r="G509">
        <v>0</v>
      </c>
      <c r="H509">
        <v>0</v>
      </c>
    </row>
    <row r="510" spans="1:9">
      <c r="A510">
        <v>2.2999999999999998</v>
      </c>
      <c r="B510" t="s">
        <v>301</v>
      </c>
      <c r="C510" t="s">
        <v>301</v>
      </c>
      <c r="D510" t="s">
        <v>381</v>
      </c>
      <c r="E510">
        <v>90152</v>
      </c>
      <c r="F510">
        <v>0</v>
      </c>
      <c r="G510">
        <v>0</v>
      </c>
      <c r="H510">
        <v>0</v>
      </c>
      <c r="I510" t="s">
        <v>27</v>
      </c>
    </row>
    <row r="511" spans="1:9">
      <c r="D511" t="s">
        <v>382</v>
      </c>
      <c r="E511">
        <v>0</v>
      </c>
      <c r="F511">
        <v>0</v>
      </c>
      <c r="G511">
        <v>0</v>
      </c>
      <c r="H511">
        <v>0</v>
      </c>
    </row>
    <row r="512" spans="1:9">
      <c r="D512" t="s">
        <v>363</v>
      </c>
      <c r="E512">
        <v>0</v>
      </c>
      <c r="F512">
        <v>0</v>
      </c>
      <c r="G512">
        <v>0</v>
      </c>
      <c r="H512">
        <v>0</v>
      </c>
    </row>
    <row r="513" spans="4:8">
      <c r="D513" t="s">
        <v>383</v>
      </c>
      <c r="E513">
        <v>0</v>
      </c>
      <c r="F513">
        <v>0</v>
      </c>
      <c r="G513">
        <v>0</v>
      </c>
      <c r="H513">
        <v>0</v>
      </c>
    </row>
    <row r="514" spans="4:8">
      <c r="D514" t="s">
        <v>365</v>
      </c>
      <c r="E514">
        <v>0</v>
      </c>
      <c r="F514">
        <v>0</v>
      </c>
      <c r="G514">
        <v>0</v>
      </c>
      <c r="H514">
        <v>0</v>
      </c>
    </row>
    <row r="515" spans="4:8">
      <c r="D515" t="s">
        <v>366</v>
      </c>
      <c r="E515">
        <v>0</v>
      </c>
      <c r="F515">
        <v>0</v>
      </c>
      <c r="G515">
        <v>0</v>
      </c>
      <c r="H515">
        <v>0</v>
      </c>
    </row>
    <row r="516" spans="4:8">
      <c r="D516" t="s">
        <v>367</v>
      </c>
      <c r="E516">
        <v>0</v>
      </c>
      <c r="F516">
        <v>0</v>
      </c>
      <c r="G516">
        <v>0</v>
      </c>
      <c r="H516">
        <v>0</v>
      </c>
    </row>
    <row r="517" spans="4:8">
      <c r="D517" t="s">
        <v>368</v>
      </c>
      <c r="E517">
        <v>0</v>
      </c>
      <c r="F517">
        <v>0</v>
      </c>
      <c r="G517">
        <v>0</v>
      </c>
      <c r="H517">
        <v>0</v>
      </c>
    </row>
    <row r="518" spans="4:8">
      <c r="D518" t="s">
        <v>369</v>
      </c>
      <c r="E518">
        <v>0</v>
      </c>
      <c r="F518">
        <v>0</v>
      </c>
      <c r="G518">
        <v>0</v>
      </c>
      <c r="H518">
        <v>0</v>
      </c>
    </row>
    <row r="519" spans="4:8">
      <c r="D519" t="s">
        <v>370</v>
      </c>
      <c r="E519">
        <v>0</v>
      </c>
      <c r="F519">
        <v>0</v>
      </c>
      <c r="G519">
        <v>0</v>
      </c>
      <c r="H519">
        <v>0</v>
      </c>
    </row>
    <row r="520" spans="4:8">
      <c r="D520" t="s">
        <v>371</v>
      </c>
      <c r="E520">
        <v>0</v>
      </c>
      <c r="F520">
        <v>0</v>
      </c>
      <c r="G520">
        <v>0</v>
      </c>
      <c r="H520">
        <v>0</v>
      </c>
    </row>
    <row r="521" spans="4:8">
      <c r="D521" t="s">
        <v>384</v>
      </c>
      <c r="E521">
        <v>0</v>
      </c>
      <c r="F521">
        <v>0</v>
      </c>
      <c r="G521">
        <v>0</v>
      </c>
      <c r="H521">
        <v>0</v>
      </c>
    </row>
    <row r="522" spans="4:8">
      <c r="D522" t="s">
        <v>385</v>
      </c>
      <c r="E522">
        <v>0</v>
      </c>
      <c r="F522">
        <v>0</v>
      </c>
      <c r="G522">
        <v>0</v>
      </c>
      <c r="H522">
        <v>0</v>
      </c>
    </row>
    <row r="523" spans="4:8">
      <c r="D523" t="s">
        <v>386</v>
      </c>
      <c r="E523">
        <v>0</v>
      </c>
      <c r="F523">
        <v>0</v>
      </c>
      <c r="G523">
        <v>0</v>
      </c>
      <c r="H523">
        <v>0</v>
      </c>
    </row>
    <row r="524" spans="4:8">
      <c r="D524" t="s">
        <v>387</v>
      </c>
      <c r="E524">
        <v>0</v>
      </c>
      <c r="F524">
        <v>0</v>
      </c>
      <c r="G524">
        <v>0</v>
      </c>
      <c r="H524">
        <v>0</v>
      </c>
    </row>
    <row r="525" spans="4:8">
      <c r="D525" t="s">
        <v>388</v>
      </c>
      <c r="E525">
        <v>0</v>
      </c>
      <c r="F525">
        <v>0</v>
      </c>
      <c r="G525">
        <v>0</v>
      </c>
      <c r="H525">
        <v>0</v>
      </c>
    </row>
    <row r="526" spans="4:8">
      <c r="D526" t="s">
        <v>389</v>
      </c>
      <c r="E526">
        <v>0</v>
      </c>
      <c r="F526">
        <v>0</v>
      </c>
      <c r="G526">
        <v>0</v>
      </c>
      <c r="H526">
        <v>0</v>
      </c>
    </row>
    <row r="527" spans="4:8">
      <c r="D527" t="s">
        <v>385</v>
      </c>
      <c r="E527">
        <v>0</v>
      </c>
      <c r="F527">
        <v>0</v>
      </c>
      <c r="G527">
        <v>0</v>
      </c>
      <c r="H527">
        <v>0</v>
      </c>
    </row>
    <row r="528" spans="4:8">
      <c r="D528" t="s">
        <v>390</v>
      </c>
      <c r="E528">
        <v>0</v>
      </c>
      <c r="F528">
        <v>0</v>
      </c>
      <c r="G528">
        <v>0</v>
      </c>
      <c r="H528">
        <v>0</v>
      </c>
    </row>
    <row r="529" spans="1:9">
      <c r="D529" t="s">
        <v>391</v>
      </c>
      <c r="E529">
        <v>0</v>
      </c>
      <c r="F529">
        <v>0</v>
      </c>
      <c r="G529">
        <v>0</v>
      </c>
      <c r="H529">
        <v>0</v>
      </c>
    </row>
    <row r="530" spans="1:9">
      <c r="A530" t="s">
        <v>302</v>
      </c>
      <c r="B530" t="s">
        <v>301</v>
      </c>
      <c r="C530" t="s">
        <v>301</v>
      </c>
      <c r="D530" t="s">
        <v>392</v>
      </c>
      <c r="E530">
        <v>0</v>
      </c>
      <c r="F530">
        <v>0</v>
      </c>
      <c r="G530">
        <v>0</v>
      </c>
      <c r="H530">
        <v>0</v>
      </c>
    </row>
    <row r="531" spans="1:9">
      <c r="D531" t="s">
        <v>393</v>
      </c>
      <c r="E531">
        <v>0</v>
      </c>
      <c r="F531">
        <v>0</v>
      </c>
      <c r="G531">
        <v>0</v>
      </c>
      <c r="H531">
        <v>0</v>
      </c>
    </row>
    <row r="532" spans="1:9">
      <c r="D532" t="s">
        <v>395</v>
      </c>
      <c r="E532">
        <v>0</v>
      </c>
      <c r="F532">
        <v>0</v>
      </c>
      <c r="G532">
        <v>0</v>
      </c>
      <c r="H532">
        <v>0</v>
      </c>
    </row>
    <row r="533" spans="1:9">
      <c r="A533">
        <v>3.1</v>
      </c>
      <c r="B533" t="s">
        <v>301</v>
      </c>
      <c r="C533" t="s">
        <v>301</v>
      </c>
      <c r="D533" t="s">
        <v>396</v>
      </c>
      <c r="E533">
        <v>0</v>
      </c>
      <c r="F533">
        <v>0</v>
      </c>
      <c r="G533">
        <v>0</v>
      </c>
      <c r="H533">
        <v>0</v>
      </c>
    </row>
    <row r="534" spans="1:9">
      <c r="D534" t="s">
        <v>397</v>
      </c>
      <c r="E534">
        <v>0</v>
      </c>
      <c r="F534">
        <v>0</v>
      </c>
      <c r="G534">
        <v>0</v>
      </c>
      <c r="H534">
        <v>0</v>
      </c>
    </row>
    <row r="535" spans="1:9">
      <c r="A535" t="s">
        <v>398</v>
      </c>
      <c r="B535" t="s">
        <v>301</v>
      </c>
      <c r="C535" t="s">
        <v>301</v>
      </c>
      <c r="D535" t="s">
        <v>1838</v>
      </c>
      <c r="E535">
        <v>22119</v>
      </c>
      <c r="F535">
        <v>0</v>
      </c>
      <c r="G535">
        <v>0</v>
      </c>
      <c r="H535">
        <v>0</v>
      </c>
      <c r="I535" t="s">
        <v>27</v>
      </c>
    </row>
    <row r="536" spans="1:9">
      <c r="D536" t="s">
        <v>1899</v>
      </c>
      <c r="E536">
        <v>0</v>
      </c>
      <c r="F536">
        <v>0</v>
      </c>
      <c r="G536">
        <v>0</v>
      </c>
      <c r="H536">
        <v>0</v>
      </c>
    </row>
    <row r="537" spans="1:9">
      <c r="D537" t="s">
        <v>400</v>
      </c>
      <c r="E537">
        <v>0</v>
      </c>
      <c r="F537">
        <v>0</v>
      </c>
      <c r="G537">
        <v>0</v>
      </c>
      <c r="H537">
        <v>0</v>
      </c>
    </row>
    <row r="538" spans="1:9">
      <c r="D538" t="s">
        <v>401</v>
      </c>
      <c r="E538">
        <v>0</v>
      </c>
      <c r="F538">
        <v>0</v>
      </c>
      <c r="G538">
        <v>0</v>
      </c>
      <c r="H538">
        <v>0</v>
      </c>
    </row>
    <row r="539" spans="1:9">
      <c r="D539" t="s">
        <v>402</v>
      </c>
      <c r="E539">
        <v>0</v>
      </c>
      <c r="F539">
        <v>0</v>
      </c>
      <c r="G539">
        <v>0</v>
      </c>
      <c r="H539">
        <v>0</v>
      </c>
    </row>
    <row r="540" spans="1:9">
      <c r="D540" t="s">
        <v>403</v>
      </c>
      <c r="E540">
        <v>0</v>
      </c>
      <c r="F540">
        <v>0</v>
      </c>
      <c r="G540">
        <v>0</v>
      </c>
      <c r="H540">
        <v>0</v>
      </c>
    </row>
    <row r="541" spans="1:9">
      <c r="A541" t="s">
        <v>404</v>
      </c>
      <c r="B541" t="s">
        <v>301</v>
      </c>
      <c r="C541" t="s">
        <v>301</v>
      </c>
      <c r="D541" t="s">
        <v>1839</v>
      </c>
      <c r="E541">
        <v>0</v>
      </c>
      <c r="F541">
        <v>0</v>
      </c>
      <c r="G541">
        <v>0</v>
      </c>
      <c r="H541">
        <v>0</v>
      </c>
    </row>
    <row r="542" spans="1:9">
      <c r="D542" t="s">
        <v>1900</v>
      </c>
      <c r="E542">
        <v>0</v>
      </c>
      <c r="F542">
        <v>0</v>
      </c>
      <c r="G542">
        <v>0</v>
      </c>
      <c r="H542">
        <v>0</v>
      </c>
    </row>
    <row r="543" spans="1:9">
      <c r="D543" t="s">
        <v>406</v>
      </c>
      <c r="E543">
        <v>31188</v>
      </c>
      <c r="F543">
        <v>0</v>
      </c>
      <c r="G543">
        <v>0</v>
      </c>
      <c r="H543">
        <v>0</v>
      </c>
      <c r="I543" t="s">
        <v>27</v>
      </c>
    </row>
    <row r="544" spans="1:9">
      <c r="D544" t="s">
        <v>401</v>
      </c>
      <c r="E544">
        <v>0</v>
      </c>
      <c r="F544">
        <v>0</v>
      </c>
      <c r="G544">
        <v>0</v>
      </c>
      <c r="H544">
        <v>0</v>
      </c>
    </row>
    <row r="545" spans="1:9">
      <c r="D545" t="s">
        <v>402</v>
      </c>
      <c r="E545">
        <v>0</v>
      </c>
      <c r="F545">
        <v>0</v>
      </c>
      <c r="G545">
        <v>0</v>
      </c>
      <c r="H545">
        <v>0</v>
      </c>
    </row>
    <row r="546" spans="1:9">
      <c r="D546" t="s">
        <v>403</v>
      </c>
      <c r="E546">
        <v>0</v>
      </c>
      <c r="F546">
        <v>0</v>
      </c>
      <c r="G546">
        <v>0</v>
      </c>
      <c r="H546">
        <v>0</v>
      </c>
    </row>
    <row r="547" spans="1:9">
      <c r="A547" t="s">
        <v>407</v>
      </c>
      <c r="B547" t="s">
        <v>301</v>
      </c>
      <c r="C547" t="s">
        <v>301</v>
      </c>
      <c r="D547" t="s">
        <v>1840</v>
      </c>
      <c r="E547">
        <v>36612</v>
      </c>
      <c r="F547">
        <v>0</v>
      </c>
      <c r="G547">
        <v>0</v>
      </c>
      <c r="H547">
        <v>0</v>
      </c>
      <c r="I547" t="s">
        <v>27</v>
      </c>
    </row>
    <row r="548" spans="1:9">
      <c r="D548" t="s">
        <v>1901</v>
      </c>
      <c r="E548">
        <v>0</v>
      </c>
      <c r="F548">
        <v>0</v>
      </c>
      <c r="G548">
        <v>0</v>
      </c>
      <c r="H548">
        <v>0</v>
      </c>
    </row>
    <row r="549" spans="1:9">
      <c r="D549" t="s">
        <v>400</v>
      </c>
      <c r="E549">
        <v>0</v>
      </c>
      <c r="F549">
        <v>0</v>
      </c>
      <c r="G549">
        <v>0</v>
      </c>
      <c r="H549">
        <v>0</v>
      </c>
    </row>
    <row r="550" spans="1:9">
      <c r="D550" t="s">
        <v>401</v>
      </c>
      <c r="E550">
        <v>0</v>
      </c>
      <c r="F550">
        <v>0</v>
      </c>
      <c r="G550">
        <v>0</v>
      </c>
      <c r="H550">
        <v>0</v>
      </c>
    </row>
    <row r="551" spans="1:9">
      <c r="D551" t="s">
        <v>402</v>
      </c>
      <c r="E551">
        <v>0</v>
      </c>
      <c r="F551">
        <v>0</v>
      </c>
      <c r="G551">
        <v>0</v>
      </c>
      <c r="H551">
        <v>0</v>
      </c>
    </row>
    <row r="552" spans="1:9">
      <c r="D552" t="s">
        <v>403</v>
      </c>
      <c r="E552">
        <v>0</v>
      </c>
      <c r="F552">
        <v>0</v>
      </c>
      <c r="G552">
        <v>0</v>
      </c>
      <c r="H552">
        <v>0</v>
      </c>
    </row>
    <row r="553" spans="1:9">
      <c r="A553" t="s">
        <v>409</v>
      </c>
      <c r="B553" t="s">
        <v>301</v>
      </c>
      <c r="C553" t="s">
        <v>301</v>
      </c>
      <c r="D553" t="s">
        <v>1841</v>
      </c>
      <c r="E553">
        <v>41951</v>
      </c>
      <c r="F553">
        <v>0</v>
      </c>
      <c r="G553">
        <v>0</v>
      </c>
      <c r="H553">
        <v>0</v>
      </c>
      <c r="I553" t="s">
        <v>27</v>
      </c>
    </row>
    <row r="554" spans="1:9">
      <c r="D554" t="s">
        <v>1902</v>
      </c>
      <c r="E554">
        <v>0</v>
      </c>
      <c r="F554">
        <v>0</v>
      </c>
      <c r="G554">
        <v>0</v>
      </c>
      <c r="H554">
        <v>0</v>
      </c>
    </row>
    <row r="555" spans="1:9">
      <c r="D555" t="s">
        <v>406</v>
      </c>
      <c r="E555">
        <v>0</v>
      </c>
      <c r="F555">
        <v>0</v>
      </c>
      <c r="G555">
        <v>0</v>
      </c>
      <c r="H555">
        <v>0</v>
      </c>
    </row>
    <row r="556" spans="1:9">
      <c r="D556" t="s">
        <v>401</v>
      </c>
      <c r="E556">
        <v>0</v>
      </c>
      <c r="F556">
        <v>0</v>
      </c>
      <c r="G556">
        <v>0</v>
      </c>
      <c r="H556">
        <v>0</v>
      </c>
    </row>
    <row r="557" spans="1:9">
      <c r="D557" t="s">
        <v>402</v>
      </c>
      <c r="E557">
        <v>0</v>
      </c>
      <c r="F557">
        <v>0</v>
      </c>
      <c r="G557">
        <v>0</v>
      </c>
      <c r="H557">
        <v>0</v>
      </c>
    </row>
    <row r="558" spans="1:9">
      <c r="D558" t="s">
        <v>403</v>
      </c>
      <c r="E558">
        <v>0</v>
      </c>
      <c r="F558">
        <v>0</v>
      </c>
      <c r="G558">
        <v>0</v>
      </c>
      <c r="H558">
        <v>0</v>
      </c>
    </row>
    <row r="559" spans="1:9">
      <c r="A559">
        <v>3.2</v>
      </c>
      <c r="B559" t="s">
        <v>301</v>
      </c>
      <c r="C559" t="s">
        <v>301</v>
      </c>
      <c r="D559" t="s">
        <v>411</v>
      </c>
      <c r="E559">
        <v>0</v>
      </c>
      <c r="F559">
        <v>0</v>
      </c>
      <c r="G559">
        <v>0</v>
      </c>
      <c r="H559">
        <v>0</v>
      </c>
    </row>
    <row r="560" spans="1:9">
      <c r="D560" t="s">
        <v>397</v>
      </c>
      <c r="E560">
        <v>0</v>
      </c>
      <c r="F560">
        <v>0</v>
      </c>
      <c r="G560">
        <v>0</v>
      </c>
      <c r="H560">
        <v>0</v>
      </c>
    </row>
    <row r="561" spans="1:9">
      <c r="A561" t="s">
        <v>412</v>
      </c>
      <c r="B561" t="s">
        <v>301</v>
      </c>
      <c r="C561" t="s">
        <v>301</v>
      </c>
      <c r="D561" t="s">
        <v>413</v>
      </c>
      <c r="E561">
        <v>23263</v>
      </c>
      <c r="F561">
        <v>0</v>
      </c>
      <c r="G561">
        <v>0</v>
      </c>
      <c r="H561">
        <v>0</v>
      </c>
      <c r="I561" t="s">
        <v>27</v>
      </c>
    </row>
    <row r="562" spans="1:9">
      <c r="D562" t="s">
        <v>414</v>
      </c>
      <c r="E562">
        <v>0</v>
      </c>
      <c r="F562">
        <v>0</v>
      </c>
      <c r="G562">
        <v>0</v>
      </c>
      <c r="H562">
        <v>0</v>
      </c>
    </row>
    <row r="563" spans="1:9">
      <c r="D563" t="s">
        <v>415</v>
      </c>
      <c r="E563">
        <v>0</v>
      </c>
      <c r="F563">
        <v>0</v>
      </c>
      <c r="G563">
        <v>0</v>
      </c>
      <c r="H563">
        <v>0</v>
      </c>
    </row>
    <row r="564" spans="1:9">
      <c r="D564" t="s">
        <v>416</v>
      </c>
      <c r="E564">
        <v>0</v>
      </c>
      <c r="F564">
        <v>0</v>
      </c>
      <c r="G564">
        <v>0</v>
      </c>
      <c r="H564">
        <v>0</v>
      </c>
    </row>
    <row r="565" spans="1:9">
      <c r="D565" t="s">
        <v>417</v>
      </c>
      <c r="E565">
        <v>0</v>
      </c>
      <c r="F565">
        <v>0</v>
      </c>
      <c r="G565">
        <v>0</v>
      </c>
      <c r="H565">
        <v>0</v>
      </c>
    </row>
    <row r="566" spans="1:9">
      <c r="D566" t="s">
        <v>400</v>
      </c>
      <c r="E566">
        <v>0</v>
      </c>
      <c r="F566">
        <v>0</v>
      </c>
      <c r="G566">
        <v>0</v>
      </c>
      <c r="H566">
        <v>0</v>
      </c>
    </row>
    <row r="567" spans="1:9">
      <c r="D567" t="s">
        <v>401</v>
      </c>
      <c r="E567">
        <v>0</v>
      </c>
      <c r="F567">
        <v>0</v>
      </c>
      <c r="G567">
        <v>0</v>
      </c>
      <c r="H567">
        <v>0</v>
      </c>
    </row>
    <row r="568" spans="1:9">
      <c r="D568" t="s">
        <v>402</v>
      </c>
      <c r="E568">
        <v>0</v>
      </c>
      <c r="F568">
        <v>0</v>
      </c>
      <c r="G568">
        <v>0</v>
      </c>
      <c r="H568">
        <v>0</v>
      </c>
    </row>
    <row r="569" spans="1:9">
      <c r="D569" t="s">
        <v>418</v>
      </c>
      <c r="E569">
        <v>0</v>
      </c>
      <c r="F569">
        <v>0</v>
      </c>
      <c r="G569">
        <v>0</v>
      </c>
      <c r="H569">
        <v>0</v>
      </c>
    </row>
    <row r="570" spans="1:9">
      <c r="D570" t="s">
        <v>403</v>
      </c>
      <c r="E570">
        <v>0</v>
      </c>
      <c r="F570">
        <v>0</v>
      </c>
      <c r="G570">
        <v>0</v>
      </c>
      <c r="H570">
        <v>0</v>
      </c>
    </row>
    <row r="571" spans="1:9">
      <c r="A571" t="s">
        <v>419</v>
      </c>
      <c r="B571" t="s">
        <v>301</v>
      </c>
      <c r="C571" t="s">
        <v>301</v>
      </c>
      <c r="D571" t="s">
        <v>420</v>
      </c>
      <c r="E571">
        <v>30510</v>
      </c>
      <c r="F571">
        <v>0</v>
      </c>
      <c r="G571">
        <v>0</v>
      </c>
      <c r="H571">
        <v>0</v>
      </c>
      <c r="I571" t="s">
        <v>27</v>
      </c>
    </row>
    <row r="572" spans="1:9">
      <c r="D572" t="s">
        <v>421</v>
      </c>
      <c r="E572">
        <v>0</v>
      </c>
      <c r="F572">
        <v>0</v>
      </c>
      <c r="G572">
        <v>0</v>
      </c>
      <c r="H572">
        <v>0</v>
      </c>
    </row>
    <row r="573" spans="1:9">
      <c r="D573" t="s">
        <v>422</v>
      </c>
      <c r="E573">
        <v>0</v>
      </c>
      <c r="F573">
        <v>0</v>
      </c>
      <c r="G573">
        <v>0</v>
      </c>
      <c r="H573">
        <v>0</v>
      </c>
    </row>
    <row r="574" spans="1:9">
      <c r="D574" t="s">
        <v>416</v>
      </c>
      <c r="E574">
        <v>0</v>
      </c>
      <c r="F574">
        <v>0</v>
      </c>
      <c r="G574">
        <v>0</v>
      </c>
      <c r="H574">
        <v>0</v>
      </c>
    </row>
    <row r="575" spans="1:9">
      <c r="D575" t="s">
        <v>417</v>
      </c>
      <c r="E575">
        <v>0</v>
      </c>
      <c r="F575">
        <v>0</v>
      </c>
      <c r="G575">
        <v>0</v>
      </c>
      <c r="H575">
        <v>0</v>
      </c>
    </row>
    <row r="576" spans="1:9">
      <c r="D576" t="s">
        <v>406</v>
      </c>
      <c r="E576">
        <v>0</v>
      </c>
      <c r="F576">
        <v>0</v>
      </c>
      <c r="G576">
        <v>0</v>
      </c>
      <c r="H576">
        <v>0</v>
      </c>
    </row>
    <row r="577" spans="1:9">
      <c r="D577" t="s">
        <v>401</v>
      </c>
      <c r="E577">
        <v>0</v>
      </c>
      <c r="F577">
        <v>0</v>
      </c>
      <c r="G577">
        <v>0</v>
      </c>
      <c r="H577">
        <v>0</v>
      </c>
    </row>
    <row r="578" spans="1:9">
      <c r="D578" t="s">
        <v>402</v>
      </c>
      <c r="E578">
        <v>0</v>
      </c>
      <c r="F578">
        <v>0</v>
      </c>
      <c r="G578">
        <v>0</v>
      </c>
      <c r="H578">
        <v>0</v>
      </c>
    </row>
    <row r="579" spans="1:9">
      <c r="D579" t="s">
        <v>418</v>
      </c>
      <c r="E579">
        <v>0</v>
      </c>
      <c r="F579">
        <v>0</v>
      </c>
      <c r="G579">
        <v>0</v>
      </c>
      <c r="H579">
        <v>0</v>
      </c>
    </row>
    <row r="580" spans="1:9">
      <c r="D580" t="s">
        <v>403</v>
      </c>
      <c r="E580">
        <v>0</v>
      </c>
      <c r="F580">
        <v>0</v>
      </c>
      <c r="G580">
        <v>0</v>
      </c>
      <c r="H580">
        <v>0</v>
      </c>
    </row>
    <row r="581" spans="1:9">
      <c r="A581" t="s">
        <v>423</v>
      </c>
      <c r="B581" t="s">
        <v>301</v>
      </c>
      <c r="C581" t="s">
        <v>301</v>
      </c>
      <c r="D581" t="s">
        <v>1840</v>
      </c>
      <c r="E581">
        <v>38137</v>
      </c>
      <c r="F581">
        <v>0</v>
      </c>
      <c r="G581">
        <v>0</v>
      </c>
      <c r="H581">
        <v>0</v>
      </c>
      <c r="I581" t="s">
        <v>27</v>
      </c>
    </row>
    <row r="582" spans="1:9">
      <c r="D582" t="s">
        <v>424</v>
      </c>
      <c r="E582">
        <v>0</v>
      </c>
      <c r="F582">
        <v>0</v>
      </c>
      <c r="G582">
        <v>0</v>
      </c>
      <c r="H582">
        <v>0</v>
      </c>
    </row>
    <row r="583" spans="1:9">
      <c r="D583" t="s">
        <v>425</v>
      </c>
      <c r="E583">
        <v>0</v>
      </c>
      <c r="F583">
        <v>0</v>
      </c>
      <c r="G583">
        <v>0</v>
      </c>
      <c r="H583">
        <v>0</v>
      </c>
    </row>
    <row r="584" spans="1:9">
      <c r="D584" t="s">
        <v>416</v>
      </c>
      <c r="E584">
        <v>0</v>
      </c>
      <c r="F584">
        <v>0</v>
      </c>
      <c r="G584">
        <v>0</v>
      </c>
      <c r="H584">
        <v>0</v>
      </c>
    </row>
    <row r="585" spans="1:9">
      <c r="D585" t="s">
        <v>417</v>
      </c>
      <c r="E585">
        <v>0</v>
      </c>
      <c r="F585">
        <v>0</v>
      </c>
      <c r="G585">
        <v>0</v>
      </c>
      <c r="H585">
        <v>0</v>
      </c>
    </row>
    <row r="586" spans="1:9">
      <c r="D586" t="s">
        <v>426</v>
      </c>
      <c r="E586">
        <v>0</v>
      </c>
      <c r="F586">
        <v>0</v>
      </c>
      <c r="G586">
        <v>0</v>
      </c>
      <c r="H586">
        <v>0</v>
      </c>
    </row>
    <row r="587" spans="1:9">
      <c r="D587" t="s">
        <v>401</v>
      </c>
      <c r="E587">
        <v>0</v>
      </c>
      <c r="F587">
        <v>0</v>
      </c>
      <c r="G587">
        <v>0</v>
      </c>
      <c r="H587">
        <v>0</v>
      </c>
    </row>
    <row r="588" spans="1:9">
      <c r="D588" t="s">
        <v>402</v>
      </c>
      <c r="E588">
        <v>0</v>
      </c>
      <c r="F588">
        <v>0</v>
      </c>
      <c r="G588">
        <v>0</v>
      </c>
      <c r="H588">
        <v>0</v>
      </c>
    </row>
    <row r="589" spans="1:9">
      <c r="D589" t="s">
        <v>418</v>
      </c>
      <c r="E589">
        <v>0</v>
      </c>
      <c r="F589">
        <v>0</v>
      </c>
      <c r="G589">
        <v>0</v>
      </c>
      <c r="H589">
        <v>0</v>
      </c>
    </row>
    <row r="590" spans="1:9">
      <c r="D590" t="s">
        <v>403</v>
      </c>
      <c r="E590">
        <v>0</v>
      </c>
      <c r="F590">
        <v>0</v>
      </c>
      <c r="G590">
        <v>0</v>
      </c>
      <c r="H590">
        <v>0</v>
      </c>
    </row>
    <row r="591" spans="1:9">
      <c r="A591" t="s">
        <v>427</v>
      </c>
      <c r="B591" t="s">
        <v>301</v>
      </c>
      <c r="C591" t="s">
        <v>301</v>
      </c>
      <c r="D591" t="s">
        <v>1841</v>
      </c>
      <c r="E591">
        <v>44620</v>
      </c>
      <c r="F591">
        <v>0</v>
      </c>
      <c r="G591">
        <v>0</v>
      </c>
      <c r="H591">
        <v>0</v>
      </c>
      <c r="I591" t="s">
        <v>27</v>
      </c>
    </row>
    <row r="592" spans="1:9">
      <c r="D592" t="s">
        <v>428</v>
      </c>
      <c r="E592">
        <v>0</v>
      </c>
      <c r="F592">
        <v>0</v>
      </c>
      <c r="G592">
        <v>0</v>
      </c>
      <c r="H592">
        <v>0</v>
      </c>
    </row>
    <row r="593" spans="1:9">
      <c r="D593" t="s">
        <v>429</v>
      </c>
      <c r="E593">
        <v>0</v>
      </c>
      <c r="F593">
        <v>0</v>
      </c>
      <c r="G593">
        <v>0</v>
      </c>
      <c r="H593">
        <v>0</v>
      </c>
    </row>
    <row r="594" spans="1:9">
      <c r="D594" t="s">
        <v>416</v>
      </c>
      <c r="E594">
        <v>0</v>
      </c>
      <c r="F594">
        <v>0</v>
      </c>
      <c r="G594">
        <v>0</v>
      </c>
      <c r="H594">
        <v>0</v>
      </c>
    </row>
    <row r="595" spans="1:9">
      <c r="D595" t="s">
        <v>417</v>
      </c>
      <c r="E595">
        <v>0</v>
      </c>
      <c r="F595">
        <v>0</v>
      </c>
      <c r="G595">
        <v>0</v>
      </c>
      <c r="H595">
        <v>0</v>
      </c>
    </row>
    <row r="596" spans="1:9">
      <c r="D596" t="s">
        <v>430</v>
      </c>
      <c r="E596">
        <v>0</v>
      </c>
      <c r="F596">
        <v>0</v>
      </c>
      <c r="G596">
        <v>0</v>
      </c>
      <c r="H596">
        <v>0</v>
      </c>
    </row>
    <row r="597" spans="1:9">
      <c r="D597" t="s">
        <v>401</v>
      </c>
      <c r="E597">
        <v>0</v>
      </c>
      <c r="F597">
        <v>0</v>
      </c>
      <c r="G597">
        <v>0</v>
      </c>
      <c r="H597">
        <v>0</v>
      </c>
    </row>
    <row r="598" spans="1:9">
      <c r="D598" t="s">
        <v>402</v>
      </c>
      <c r="E598">
        <v>0</v>
      </c>
      <c r="F598">
        <v>0</v>
      </c>
      <c r="G598">
        <v>0</v>
      </c>
      <c r="H598">
        <v>0</v>
      </c>
    </row>
    <row r="599" spans="1:9">
      <c r="D599" t="s">
        <v>418</v>
      </c>
      <c r="E599">
        <v>0</v>
      </c>
      <c r="F599">
        <v>0</v>
      </c>
      <c r="G599">
        <v>0</v>
      </c>
      <c r="H599">
        <v>0</v>
      </c>
    </row>
    <row r="600" spans="1:9">
      <c r="D600" t="s">
        <v>403</v>
      </c>
      <c r="E600">
        <v>0</v>
      </c>
      <c r="F600">
        <v>0</v>
      </c>
      <c r="G600">
        <v>0</v>
      </c>
      <c r="H600">
        <v>0</v>
      </c>
    </row>
    <row r="601" spans="1:9">
      <c r="A601">
        <v>3.3</v>
      </c>
      <c r="B601" t="s">
        <v>301</v>
      </c>
      <c r="C601" t="s">
        <v>301</v>
      </c>
      <c r="D601" t="s">
        <v>431</v>
      </c>
      <c r="E601">
        <v>0</v>
      </c>
      <c r="F601">
        <v>0</v>
      </c>
      <c r="G601">
        <v>0</v>
      </c>
      <c r="H601">
        <v>0</v>
      </c>
    </row>
    <row r="602" spans="1:9">
      <c r="D602" t="s">
        <v>397</v>
      </c>
      <c r="E602">
        <v>0</v>
      </c>
      <c r="F602">
        <v>0</v>
      </c>
      <c r="G602">
        <v>0</v>
      </c>
      <c r="H602">
        <v>0</v>
      </c>
    </row>
    <row r="603" spans="1:9">
      <c r="A603" t="s">
        <v>432</v>
      </c>
      <c r="B603" t="s">
        <v>301</v>
      </c>
      <c r="C603" t="s">
        <v>301</v>
      </c>
      <c r="D603" t="s">
        <v>413</v>
      </c>
      <c r="E603">
        <v>32035</v>
      </c>
      <c r="F603">
        <v>0</v>
      </c>
      <c r="G603">
        <v>0</v>
      </c>
      <c r="H603">
        <v>0</v>
      </c>
      <c r="I603" t="s">
        <v>27</v>
      </c>
    </row>
    <row r="604" spans="1:9">
      <c r="D604" t="s">
        <v>414</v>
      </c>
      <c r="E604">
        <v>0</v>
      </c>
      <c r="F604">
        <v>0</v>
      </c>
      <c r="G604">
        <v>0</v>
      </c>
      <c r="H604">
        <v>0</v>
      </c>
    </row>
    <row r="605" spans="1:9">
      <c r="D605" t="s">
        <v>433</v>
      </c>
      <c r="E605">
        <v>0</v>
      </c>
      <c r="F605">
        <v>0</v>
      </c>
      <c r="G605">
        <v>0</v>
      </c>
      <c r="H605">
        <v>0</v>
      </c>
    </row>
    <row r="606" spans="1:9">
      <c r="D606" t="s">
        <v>416</v>
      </c>
      <c r="E606">
        <v>0</v>
      </c>
      <c r="F606">
        <v>0</v>
      </c>
      <c r="G606">
        <v>0</v>
      </c>
      <c r="H606">
        <v>0</v>
      </c>
    </row>
    <row r="607" spans="1:9">
      <c r="D607" t="s">
        <v>417</v>
      </c>
      <c r="E607">
        <v>0</v>
      </c>
      <c r="F607">
        <v>0</v>
      </c>
      <c r="G607">
        <v>0</v>
      </c>
      <c r="H607">
        <v>0</v>
      </c>
    </row>
    <row r="608" spans="1:9">
      <c r="D608" t="s">
        <v>400</v>
      </c>
      <c r="E608">
        <v>0</v>
      </c>
      <c r="F608">
        <v>0</v>
      </c>
      <c r="G608">
        <v>0</v>
      </c>
      <c r="H608">
        <v>0</v>
      </c>
    </row>
    <row r="609" spans="1:9">
      <c r="D609" t="s">
        <v>401</v>
      </c>
      <c r="E609">
        <v>0</v>
      </c>
      <c r="F609">
        <v>0</v>
      </c>
      <c r="G609">
        <v>0</v>
      </c>
      <c r="H609">
        <v>0</v>
      </c>
    </row>
    <row r="610" spans="1:9">
      <c r="D610" t="s">
        <v>402</v>
      </c>
      <c r="E610">
        <v>0</v>
      </c>
      <c r="F610">
        <v>0</v>
      </c>
      <c r="G610">
        <v>0</v>
      </c>
      <c r="H610">
        <v>0</v>
      </c>
    </row>
    <row r="611" spans="1:9">
      <c r="D611" t="s">
        <v>418</v>
      </c>
      <c r="E611">
        <v>0</v>
      </c>
      <c r="F611">
        <v>0</v>
      </c>
      <c r="G611">
        <v>0</v>
      </c>
      <c r="H611">
        <v>0</v>
      </c>
    </row>
    <row r="612" spans="1:9">
      <c r="D612" t="s">
        <v>403</v>
      </c>
      <c r="E612">
        <v>0</v>
      </c>
      <c r="F612">
        <v>0</v>
      </c>
      <c r="G612">
        <v>0</v>
      </c>
      <c r="H612">
        <v>0</v>
      </c>
    </row>
    <row r="613" spans="1:9">
      <c r="A613" t="s">
        <v>434</v>
      </c>
      <c r="B613" t="s">
        <v>301</v>
      </c>
      <c r="C613" t="s">
        <v>301</v>
      </c>
      <c r="D613" t="s">
        <v>420</v>
      </c>
      <c r="E613">
        <v>35467</v>
      </c>
      <c r="F613">
        <v>0</v>
      </c>
      <c r="G613">
        <v>0</v>
      </c>
      <c r="H613">
        <v>0</v>
      </c>
      <c r="I613" t="s">
        <v>27</v>
      </c>
    </row>
    <row r="614" spans="1:9">
      <c r="D614" t="s">
        <v>421</v>
      </c>
      <c r="E614">
        <v>0</v>
      </c>
      <c r="F614">
        <v>0</v>
      </c>
      <c r="G614">
        <v>0</v>
      </c>
      <c r="H614">
        <v>0</v>
      </c>
    </row>
    <row r="615" spans="1:9">
      <c r="D615" t="s">
        <v>435</v>
      </c>
      <c r="E615">
        <v>0</v>
      </c>
      <c r="F615">
        <v>0</v>
      </c>
      <c r="G615">
        <v>0</v>
      </c>
      <c r="H615">
        <v>0</v>
      </c>
    </row>
    <row r="616" spans="1:9">
      <c r="D616" t="s">
        <v>416</v>
      </c>
      <c r="E616">
        <v>0</v>
      </c>
      <c r="F616">
        <v>0</v>
      </c>
      <c r="G616">
        <v>0</v>
      </c>
      <c r="H616">
        <v>0</v>
      </c>
    </row>
    <row r="617" spans="1:9">
      <c r="D617" t="s">
        <v>417</v>
      </c>
      <c r="E617">
        <v>0</v>
      </c>
      <c r="F617">
        <v>0</v>
      </c>
      <c r="G617">
        <v>0</v>
      </c>
      <c r="H617">
        <v>0</v>
      </c>
    </row>
    <row r="618" spans="1:9">
      <c r="D618" t="s">
        <v>406</v>
      </c>
      <c r="E618">
        <v>0</v>
      </c>
      <c r="F618">
        <v>0</v>
      </c>
      <c r="G618">
        <v>0</v>
      </c>
      <c r="H618">
        <v>0</v>
      </c>
    </row>
    <row r="619" spans="1:9">
      <c r="D619" t="s">
        <v>401</v>
      </c>
      <c r="E619">
        <v>0</v>
      </c>
      <c r="F619">
        <v>0</v>
      </c>
      <c r="G619">
        <v>0</v>
      </c>
      <c r="H619">
        <v>0</v>
      </c>
    </row>
    <row r="620" spans="1:9">
      <c r="D620" t="s">
        <v>402</v>
      </c>
      <c r="E620">
        <v>0</v>
      </c>
      <c r="F620">
        <v>0</v>
      </c>
      <c r="G620">
        <v>0</v>
      </c>
      <c r="H620">
        <v>0</v>
      </c>
    </row>
    <row r="621" spans="1:9">
      <c r="D621" t="s">
        <v>418</v>
      </c>
      <c r="E621">
        <v>0</v>
      </c>
      <c r="F621">
        <v>0</v>
      </c>
      <c r="G621">
        <v>0</v>
      </c>
      <c r="H621">
        <v>0</v>
      </c>
    </row>
    <row r="622" spans="1:9">
      <c r="D622" t="s">
        <v>403</v>
      </c>
      <c r="E622">
        <v>0</v>
      </c>
      <c r="F622">
        <v>0</v>
      </c>
      <c r="G622">
        <v>0</v>
      </c>
      <c r="H622">
        <v>0</v>
      </c>
    </row>
    <row r="623" spans="1:9">
      <c r="A623" t="s">
        <v>436</v>
      </c>
      <c r="B623" t="s">
        <v>301</v>
      </c>
      <c r="C623" t="s">
        <v>301</v>
      </c>
      <c r="D623" t="s">
        <v>1840</v>
      </c>
      <c r="E623">
        <v>42714</v>
      </c>
      <c r="F623">
        <v>0</v>
      </c>
      <c r="G623">
        <v>0</v>
      </c>
      <c r="H623">
        <v>0</v>
      </c>
      <c r="I623" t="s">
        <v>27</v>
      </c>
    </row>
    <row r="624" spans="1:9">
      <c r="D624" t="s">
        <v>424</v>
      </c>
      <c r="E624">
        <v>0</v>
      </c>
      <c r="F624">
        <v>0</v>
      </c>
      <c r="G624">
        <v>0</v>
      </c>
      <c r="H624">
        <v>0</v>
      </c>
    </row>
    <row r="625" spans="1:9">
      <c r="D625" t="s">
        <v>437</v>
      </c>
      <c r="E625">
        <v>0</v>
      </c>
      <c r="F625">
        <v>0</v>
      </c>
      <c r="G625">
        <v>0</v>
      </c>
      <c r="H625">
        <v>0</v>
      </c>
    </row>
    <row r="626" spans="1:9">
      <c r="D626" t="s">
        <v>416</v>
      </c>
      <c r="E626">
        <v>0</v>
      </c>
      <c r="F626">
        <v>0</v>
      </c>
      <c r="G626">
        <v>0</v>
      </c>
      <c r="H626">
        <v>0</v>
      </c>
    </row>
    <row r="627" spans="1:9">
      <c r="D627" t="s">
        <v>417</v>
      </c>
      <c r="E627">
        <v>0</v>
      </c>
      <c r="F627">
        <v>0</v>
      </c>
      <c r="G627">
        <v>0</v>
      </c>
      <c r="H627">
        <v>0</v>
      </c>
    </row>
    <row r="628" spans="1:9">
      <c r="D628" t="s">
        <v>426</v>
      </c>
      <c r="E628">
        <v>0</v>
      </c>
      <c r="F628">
        <v>0</v>
      </c>
      <c r="G628">
        <v>0</v>
      </c>
      <c r="H628">
        <v>0</v>
      </c>
    </row>
    <row r="629" spans="1:9">
      <c r="D629" t="s">
        <v>401</v>
      </c>
      <c r="E629">
        <v>0</v>
      </c>
      <c r="F629">
        <v>0</v>
      </c>
      <c r="G629">
        <v>0</v>
      </c>
      <c r="H629">
        <v>0</v>
      </c>
    </row>
    <row r="630" spans="1:9">
      <c r="D630" t="s">
        <v>402</v>
      </c>
      <c r="E630">
        <v>0</v>
      </c>
      <c r="F630">
        <v>0</v>
      </c>
      <c r="G630">
        <v>0</v>
      </c>
      <c r="H630">
        <v>0</v>
      </c>
    </row>
    <row r="631" spans="1:9">
      <c r="D631" t="s">
        <v>418</v>
      </c>
      <c r="E631">
        <v>0</v>
      </c>
      <c r="F631">
        <v>0</v>
      </c>
      <c r="G631">
        <v>0</v>
      </c>
      <c r="H631">
        <v>0</v>
      </c>
    </row>
    <row r="632" spans="1:9">
      <c r="D632" t="s">
        <v>403</v>
      </c>
      <c r="E632">
        <v>0</v>
      </c>
      <c r="F632">
        <v>0</v>
      </c>
      <c r="G632">
        <v>0</v>
      </c>
      <c r="H632">
        <v>0</v>
      </c>
    </row>
    <row r="633" spans="1:9">
      <c r="A633" t="s">
        <v>438</v>
      </c>
      <c r="B633" t="s">
        <v>301</v>
      </c>
      <c r="C633" t="s">
        <v>301</v>
      </c>
      <c r="D633" t="s">
        <v>1841</v>
      </c>
      <c r="E633">
        <v>49578</v>
      </c>
      <c r="F633">
        <v>0</v>
      </c>
      <c r="G633">
        <v>0</v>
      </c>
      <c r="H633">
        <v>0</v>
      </c>
      <c r="I633" t="s">
        <v>27</v>
      </c>
    </row>
    <row r="634" spans="1:9">
      <c r="D634" t="s">
        <v>428</v>
      </c>
      <c r="E634">
        <v>0</v>
      </c>
      <c r="F634">
        <v>0</v>
      </c>
      <c r="G634">
        <v>0</v>
      </c>
      <c r="H634">
        <v>0</v>
      </c>
    </row>
    <row r="635" spans="1:9">
      <c r="D635" t="s">
        <v>439</v>
      </c>
      <c r="E635">
        <v>0</v>
      </c>
      <c r="F635">
        <v>0</v>
      </c>
      <c r="G635">
        <v>0</v>
      </c>
      <c r="H635">
        <v>0</v>
      </c>
    </row>
    <row r="636" spans="1:9">
      <c r="D636" t="s">
        <v>416</v>
      </c>
      <c r="E636">
        <v>0</v>
      </c>
      <c r="F636">
        <v>0</v>
      </c>
      <c r="G636">
        <v>0</v>
      </c>
      <c r="H636">
        <v>0</v>
      </c>
    </row>
    <row r="637" spans="1:9">
      <c r="D637" t="s">
        <v>417</v>
      </c>
      <c r="E637">
        <v>0</v>
      </c>
      <c r="F637">
        <v>0</v>
      </c>
      <c r="G637">
        <v>0</v>
      </c>
      <c r="H637">
        <v>0</v>
      </c>
    </row>
    <row r="638" spans="1:9">
      <c r="D638" t="s">
        <v>440</v>
      </c>
      <c r="E638">
        <v>0</v>
      </c>
      <c r="F638">
        <v>0</v>
      </c>
      <c r="G638">
        <v>0</v>
      </c>
      <c r="H638">
        <v>0</v>
      </c>
    </row>
    <row r="639" spans="1:9">
      <c r="D639" t="s">
        <v>401</v>
      </c>
      <c r="E639">
        <v>0</v>
      </c>
      <c r="F639">
        <v>0</v>
      </c>
      <c r="G639">
        <v>0</v>
      </c>
      <c r="H639">
        <v>0</v>
      </c>
    </row>
    <row r="640" spans="1:9">
      <c r="D640" t="s">
        <v>402</v>
      </c>
      <c r="E640">
        <v>0</v>
      </c>
      <c r="F640">
        <v>0</v>
      </c>
      <c r="G640">
        <v>0</v>
      </c>
      <c r="H640">
        <v>0</v>
      </c>
    </row>
    <row r="641" spans="1:9">
      <c r="D641" t="s">
        <v>418</v>
      </c>
      <c r="E641">
        <v>0</v>
      </c>
      <c r="F641">
        <v>0</v>
      </c>
      <c r="G641">
        <v>0</v>
      </c>
      <c r="H641">
        <v>0</v>
      </c>
    </row>
    <row r="642" spans="1:9">
      <c r="D642" t="s">
        <v>403</v>
      </c>
      <c r="E642">
        <v>0</v>
      </c>
      <c r="F642">
        <v>0</v>
      </c>
      <c r="G642">
        <v>0</v>
      </c>
      <c r="H642">
        <v>0</v>
      </c>
    </row>
    <row r="643" spans="1:9">
      <c r="D643" t="s">
        <v>441</v>
      </c>
      <c r="E643">
        <v>0</v>
      </c>
      <c r="F643">
        <v>0</v>
      </c>
      <c r="G643">
        <v>0</v>
      </c>
      <c r="H643">
        <v>0</v>
      </c>
    </row>
    <row r="644" spans="1:9">
      <c r="A644" t="s">
        <v>302</v>
      </c>
      <c r="B644" t="s">
        <v>301</v>
      </c>
      <c r="C644" t="s">
        <v>301</v>
      </c>
      <c r="D644" t="s">
        <v>442</v>
      </c>
      <c r="E644">
        <v>0</v>
      </c>
      <c r="F644">
        <v>0</v>
      </c>
      <c r="G644">
        <v>0</v>
      </c>
      <c r="H644">
        <v>0</v>
      </c>
    </row>
    <row r="645" spans="1:9">
      <c r="A645">
        <v>4.0999999999999996</v>
      </c>
      <c r="B645" t="s">
        <v>301</v>
      </c>
      <c r="C645" t="s">
        <v>301</v>
      </c>
      <c r="D645" t="s">
        <v>443</v>
      </c>
      <c r="E645">
        <v>0</v>
      </c>
      <c r="F645">
        <v>0</v>
      </c>
      <c r="G645">
        <v>0</v>
      </c>
      <c r="H645">
        <v>0</v>
      </c>
    </row>
    <row r="646" spans="1:9">
      <c r="D646" t="s">
        <v>444</v>
      </c>
      <c r="E646">
        <v>0</v>
      </c>
      <c r="F646">
        <v>0</v>
      </c>
      <c r="G646">
        <v>0</v>
      </c>
      <c r="H646">
        <v>0</v>
      </c>
    </row>
    <row r="647" spans="1:9">
      <c r="A647" t="s">
        <v>445</v>
      </c>
      <c r="B647" t="s">
        <v>301</v>
      </c>
      <c r="C647" t="s">
        <v>301</v>
      </c>
      <c r="D647" t="s">
        <v>446</v>
      </c>
      <c r="E647">
        <v>0</v>
      </c>
      <c r="F647">
        <v>0</v>
      </c>
      <c r="G647">
        <v>0</v>
      </c>
      <c r="H647">
        <v>0</v>
      </c>
    </row>
    <row r="648" spans="1:9">
      <c r="A648" t="s">
        <v>447</v>
      </c>
      <c r="B648" t="s">
        <v>301</v>
      </c>
      <c r="C648" t="s">
        <v>301</v>
      </c>
      <c r="D648" t="s">
        <v>448</v>
      </c>
      <c r="E648">
        <v>8771</v>
      </c>
      <c r="F648">
        <v>1</v>
      </c>
      <c r="G648">
        <v>8771</v>
      </c>
      <c r="H648">
        <v>3.85</v>
      </c>
      <c r="I648" t="s">
        <v>27</v>
      </c>
    </row>
    <row r="649" spans="1:9">
      <c r="D649" t="s">
        <v>449</v>
      </c>
      <c r="E649">
        <v>0</v>
      </c>
      <c r="F649">
        <v>0</v>
      </c>
      <c r="G649">
        <v>0</v>
      </c>
      <c r="H649">
        <v>0</v>
      </c>
    </row>
    <row r="650" spans="1:9">
      <c r="D650" t="s">
        <v>450</v>
      </c>
      <c r="E650">
        <v>0</v>
      </c>
      <c r="F650">
        <v>0</v>
      </c>
      <c r="G650">
        <v>0</v>
      </c>
      <c r="H650">
        <v>0</v>
      </c>
    </row>
    <row r="651" spans="1:9">
      <c r="D651" t="s">
        <v>1903</v>
      </c>
      <c r="E651">
        <v>0</v>
      </c>
      <c r="F651">
        <v>0</v>
      </c>
      <c r="G651">
        <v>0</v>
      </c>
      <c r="H651">
        <v>0</v>
      </c>
    </row>
    <row r="652" spans="1:9">
      <c r="D652" t="s">
        <v>452</v>
      </c>
      <c r="E652">
        <v>0</v>
      </c>
      <c r="F652">
        <v>0</v>
      </c>
      <c r="G652">
        <v>0</v>
      </c>
      <c r="H652">
        <v>0</v>
      </c>
    </row>
    <row r="653" spans="1:9">
      <c r="A653" t="s">
        <v>453</v>
      </c>
      <c r="B653" t="s">
        <v>301</v>
      </c>
      <c r="C653" t="s">
        <v>301</v>
      </c>
      <c r="D653" t="s">
        <v>1842</v>
      </c>
      <c r="E653">
        <v>6483</v>
      </c>
      <c r="F653">
        <v>0</v>
      </c>
      <c r="G653">
        <v>0</v>
      </c>
      <c r="H653">
        <v>0</v>
      </c>
      <c r="I653" t="s">
        <v>27</v>
      </c>
    </row>
    <row r="654" spans="1:9">
      <c r="D654" t="s">
        <v>455</v>
      </c>
      <c r="E654">
        <v>0</v>
      </c>
      <c r="F654">
        <v>0</v>
      </c>
      <c r="G654">
        <v>0</v>
      </c>
      <c r="H654">
        <v>0</v>
      </c>
    </row>
    <row r="655" spans="1:9">
      <c r="D655" t="s">
        <v>456</v>
      </c>
      <c r="E655">
        <v>0</v>
      </c>
      <c r="F655">
        <v>0</v>
      </c>
      <c r="G655">
        <v>0</v>
      </c>
      <c r="H655">
        <v>0</v>
      </c>
    </row>
    <row r="656" spans="1:9">
      <c r="D656" t="s">
        <v>1903</v>
      </c>
      <c r="E656">
        <v>0</v>
      </c>
      <c r="F656">
        <v>0</v>
      </c>
      <c r="G656">
        <v>0</v>
      </c>
      <c r="H656">
        <v>0</v>
      </c>
    </row>
    <row r="657" spans="1:9">
      <c r="A657" t="s">
        <v>457</v>
      </c>
      <c r="B657" t="s">
        <v>301</v>
      </c>
      <c r="C657" t="s">
        <v>301</v>
      </c>
      <c r="D657" t="s">
        <v>1843</v>
      </c>
      <c r="E657">
        <v>6483</v>
      </c>
      <c r="F657">
        <v>0</v>
      </c>
      <c r="G657">
        <v>0</v>
      </c>
      <c r="H657">
        <v>0</v>
      </c>
      <c r="I657" t="s">
        <v>27</v>
      </c>
    </row>
    <row r="658" spans="1:9">
      <c r="D658" t="s">
        <v>458</v>
      </c>
      <c r="E658">
        <v>0</v>
      </c>
      <c r="F658">
        <v>0</v>
      </c>
      <c r="G658">
        <v>0</v>
      </c>
      <c r="H658">
        <v>0</v>
      </c>
    </row>
    <row r="659" spans="1:9">
      <c r="D659" t="s">
        <v>459</v>
      </c>
      <c r="E659">
        <v>0</v>
      </c>
      <c r="F659">
        <v>0</v>
      </c>
      <c r="G659">
        <v>0</v>
      </c>
      <c r="H659">
        <v>0</v>
      </c>
    </row>
    <row r="660" spans="1:9">
      <c r="D660" t="s">
        <v>460</v>
      </c>
      <c r="E660">
        <v>0</v>
      </c>
      <c r="F660">
        <v>0</v>
      </c>
      <c r="G660">
        <v>0</v>
      </c>
      <c r="H660">
        <v>0</v>
      </c>
    </row>
    <row r="661" spans="1:9">
      <c r="A661" t="s">
        <v>461</v>
      </c>
      <c r="B661" t="s">
        <v>301</v>
      </c>
      <c r="C661" t="s">
        <v>301</v>
      </c>
      <c r="D661" t="s">
        <v>462</v>
      </c>
      <c r="E661">
        <v>0</v>
      </c>
      <c r="F661">
        <v>0</v>
      </c>
      <c r="G661">
        <v>0</v>
      </c>
      <c r="H661">
        <v>0</v>
      </c>
    </row>
    <row r="662" spans="1:9">
      <c r="A662" t="s">
        <v>463</v>
      </c>
      <c r="B662" t="s">
        <v>301</v>
      </c>
      <c r="C662" t="s">
        <v>301</v>
      </c>
      <c r="D662" t="s">
        <v>1844</v>
      </c>
      <c r="E662">
        <v>13638</v>
      </c>
      <c r="F662">
        <v>0</v>
      </c>
      <c r="G662">
        <v>0</v>
      </c>
      <c r="H662">
        <v>0</v>
      </c>
      <c r="I662" t="s">
        <v>27</v>
      </c>
    </row>
    <row r="663" spans="1:9">
      <c r="D663" t="s">
        <v>1904</v>
      </c>
      <c r="E663">
        <v>0</v>
      </c>
      <c r="F663">
        <v>0</v>
      </c>
      <c r="G663">
        <v>0</v>
      </c>
      <c r="H663">
        <v>0</v>
      </c>
    </row>
    <row r="664" spans="1:9">
      <c r="D664" t="s">
        <v>465</v>
      </c>
      <c r="E664">
        <v>0</v>
      </c>
      <c r="F664">
        <v>0</v>
      </c>
      <c r="G664">
        <v>0</v>
      </c>
      <c r="H664">
        <v>0</v>
      </c>
    </row>
    <row r="665" spans="1:9">
      <c r="D665" t="s">
        <v>466</v>
      </c>
      <c r="E665">
        <v>0</v>
      </c>
      <c r="F665">
        <v>0</v>
      </c>
      <c r="G665">
        <v>0</v>
      </c>
      <c r="H665">
        <v>0</v>
      </c>
    </row>
    <row r="666" spans="1:9">
      <c r="A666" t="s">
        <v>467</v>
      </c>
      <c r="B666" t="s">
        <v>301</v>
      </c>
      <c r="C666" t="s">
        <v>301</v>
      </c>
      <c r="D666" t="s">
        <v>1845</v>
      </c>
      <c r="E666">
        <v>14574</v>
      </c>
      <c r="F666">
        <v>1</v>
      </c>
      <c r="G666">
        <v>14574</v>
      </c>
      <c r="H666">
        <v>6.39</v>
      </c>
      <c r="I666" t="s">
        <v>27</v>
      </c>
    </row>
    <row r="667" spans="1:9">
      <c r="D667" t="s">
        <v>1904</v>
      </c>
      <c r="E667">
        <v>0</v>
      </c>
      <c r="F667">
        <v>0</v>
      </c>
      <c r="G667">
        <v>0</v>
      </c>
      <c r="H667">
        <v>0</v>
      </c>
    </row>
    <row r="668" spans="1:9">
      <c r="D668" t="s">
        <v>468</v>
      </c>
      <c r="E668">
        <v>0</v>
      </c>
      <c r="F668">
        <v>0</v>
      </c>
      <c r="G668">
        <v>0</v>
      </c>
      <c r="H668">
        <v>0</v>
      </c>
    </row>
    <row r="669" spans="1:9">
      <c r="D669" t="s">
        <v>469</v>
      </c>
      <c r="E669">
        <v>0</v>
      </c>
      <c r="F669">
        <v>0</v>
      </c>
      <c r="G669">
        <v>0</v>
      </c>
      <c r="H669">
        <v>0</v>
      </c>
    </row>
    <row r="670" spans="1:9">
      <c r="A670" t="s">
        <v>470</v>
      </c>
      <c r="B670" t="s">
        <v>301</v>
      </c>
      <c r="C670" t="s">
        <v>301</v>
      </c>
      <c r="D670" t="s">
        <v>471</v>
      </c>
      <c r="E670">
        <v>0</v>
      </c>
      <c r="F670">
        <v>0</v>
      </c>
      <c r="G670">
        <v>0</v>
      </c>
      <c r="H670">
        <v>0</v>
      </c>
    </row>
    <row r="671" spans="1:9">
      <c r="A671" t="s">
        <v>472</v>
      </c>
      <c r="B671" t="s">
        <v>301</v>
      </c>
      <c r="C671" t="s">
        <v>301</v>
      </c>
      <c r="D671" t="s">
        <v>1844</v>
      </c>
      <c r="E671">
        <v>13666</v>
      </c>
      <c r="F671">
        <v>0</v>
      </c>
      <c r="G671">
        <v>0</v>
      </c>
      <c r="H671">
        <v>0</v>
      </c>
      <c r="I671" t="s">
        <v>27</v>
      </c>
    </row>
    <row r="672" spans="1:9">
      <c r="D672" t="s">
        <v>1904</v>
      </c>
      <c r="E672">
        <v>0</v>
      </c>
      <c r="F672">
        <v>0</v>
      </c>
      <c r="G672">
        <v>0</v>
      </c>
      <c r="H672">
        <v>0</v>
      </c>
    </row>
    <row r="673" spans="1:9">
      <c r="D673" t="s">
        <v>473</v>
      </c>
      <c r="E673">
        <v>0</v>
      </c>
      <c r="F673">
        <v>0</v>
      </c>
      <c r="G673">
        <v>0</v>
      </c>
      <c r="H673">
        <v>0</v>
      </c>
    </row>
    <row r="674" spans="1:9">
      <c r="D674" t="s">
        <v>474</v>
      </c>
      <c r="E674">
        <v>0</v>
      </c>
      <c r="F674">
        <v>0</v>
      </c>
      <c r="G674">
        <v>0</v>
      </c>
      <c r="H674">
        <v>0</v>
      </c>
    </row>
    <row r="675" spans="1:9">
      <c r="A675" t="s">
        <v>475</v>
      </c>
      <c r="B675" t="s">
        <v>301</v>
      </c>
      <c r="C675" t="s">
        <v>301</v>
      </c>
      <c r="D675" t="s">
        <v>1845</v>
      </c>
      <c r="E675">
        <v>15021</v>
      </c>
      <c r="F675">
        <v>1</v>
      </c>
      <c r="G675">
        <v>15021</v>
      </c>
      <c r="H675">
        <v>6.59</v>
      </c>
      <c r="I675" t="s">
        <v>27</v>
      </c>
    </row>
    <row r="676" spans="1:9">
      <c r="D676" t="s">
        <v>1904</v>
      </c>
      <c r="E676">
        <v>0</v>
      </c>
      <c r="F676">
        <v>0</v>
      </c>
      <c r="G676">
        <v>0</v>
      </c>
      <c r="H676">
        <v>0</v>
      </c>
    </row>
    <row r="677" spans="1:9">
      <c r="D677" t="s">
        <v>473</v>
      </c>
      <c r="E677">
        <v>0</v>
      </c>
      <c r="F677">
        <v>0</v>
      </c>
      <c r="G677">
        <v>0</v>
      </c>
      <c r="H677">
        <v>0</v>
      </c>
    </row>
    <row r="678" spans="1:9">
      <c r="D678" t="s">
        <v>476</v>
      </c>
      <c r="E678">
        <v>0</v>
      </c>
      <c r="F678">
        <v>0</v>
      </c>
      <c r="G678">
        <v>0</v>
      </c>
      <c r="H678">
        <v>0</v>
      </c>
    </row>
    <row r="679" spans="1:9">
      <c r="D679" t="s">
        <v>477</v>
      </c>
      <c r="E679">
        <v>0</v>
      </c>
      <c r="F679">
        <v>0</v>
      </c>
      <c r="G679">
        <v>38366</v>
      </c>
      <c r="H679">
        <v>16.829999999999998</v>
      </c>
    </row>
    <row r="680" spans="1:9">
      <c r="A680" t="s">
        <v>302</v>
      </c>
      <c r="B680" t="s">
        <v>301</v>
      </c>
      <c r="C680" t="s">
        <v>301</v>
      </c>
      <c r="D680" t="s">
        <v>478</v>
      </c>
      <c r="E680">
        <v>0</v>
      </c>
      <c r="F680">
        <v>0</v>
      </c>
      <c r="G680">
        <v>0</v>
      </c>
      <c r="H680">
        <v>0</v>
      </c>
    </row>
    <row r="681" spans="1:9">
      <c r="A681">
        <v>5.0999999999999996</v>
      </c>
      <c r="B681" t="s">
        <v>301</v>
      </c>
      <c r="C681" t="s">
        <v>301</v>
      </c>
      <c r="D681" t="s">
        <v>1846</v>
      </c>
      <c r="E681">
        <v>0</v>
      </c>
      <c r="F681">
        <v>0</v>
      </c>
      <c r="G681">
        <v>0</v>
      </c>
      <c r="H681">
        <v>0</v>
      </c>
    </row>
    <row r="682" spans="1:9">
      <c r="A682" t="s">
        <v>480</v>
      </c>
      <c r="B682" t="s">
        <v>301</v>
      </c>
      <c r="C682" t="s">
        <v>301</v>
      </c>
      <c r="D682" t="s">
        <v>481</v>
      </c>
      <c r="E682">
        <v>805</v>
      </c>
      <c r="F682">
        <v>0</v>
      </c>
      <c r="G682">
        <v>0</v>
      </c>
      <c r="H682">
        <v>0</v>
      </c>
      <c r="I682" t="s">
        <v>482</v>
      </c>
    </row>
    <row r="683" spans="1:9">
      <c r="A683" t="s">
        <v>483</v>
      </c>
      <c r="B683" t="s">
        <v>301</v>
      </c>
      <c r="C683" t="s">
        <v>301</v>
      </c>
      <c r="D683" t="s">
        <v>484</v>
      </c>
      <c r="E683">
        <v>716</v>
      </c>
      <c r="F683">
        <v>0</v>
      </c>
      <c r="G683">
        <v>0</v>
      </c>
      <c r="H683">
        <v>0</v>
      </c>
      <c r="I683" t="s">
        <v>482</v>
      </c>
    </row>
    <row r="684" spans="1:9">
      <c r="A684" t="s">
        <v>485</v>
      </c>
      <c r="B684" t="s">
        <v>301</v>
      </c>
      <c r="C684" t="s">
        <v>301</v>
      </c>
      <c r="D684" t="s">
        <v>486</v>
      </c>
      <c r="E684">
        <v>553</v>
      </c>
      <c r="F684">
        <v>28</v>
      </c>
      <c r="G684">
        <v>15484</v>
      </c>
      <c r="H684">
        <v>6.79</v>
      </c>
      <c r="I684" t="s">
        <v>482</v>
      </c>
    </row>
    <row r="685" spans="1:9">
      <c r="A685" t="s">
        <v>487</v>
      </c>
      <c r="B685" t="s">
        <v>301</v>
      </c>
      <c r="C685" t="s">
        <v>301</v>
      </c>
      <c r="D685" t="s">
        <v>488</v>
      </c>
      <c r="E685">
        <v>466</v>
      </c>
      <c r="F685">
        <v>0</v>
      </c>
      <c r="G685">
        <v>0</v>
      </c>
      <c r="H685">
        <v>0</v>
      </c>
      <c r="I685" t="s">
        <v>482</v>
      </c>
    </row>
    <row r="686" spans="1:9">
      <c r="A686" t="s">
        <v>489</v>
      </c>
      <c r="B686" t="s">
        <v>301</v>
      </c>
      <c r="C686" t="s">
        <v>301</v>
      </c>
      <c r="D686" t="s">
        <v>490</v>
      </c>
      <c r="E686">
        <v>387</v>
      </c>
      <c r="F686">
        <v>0</v>
      </c>
      <c r="G686">
        <v>0</v>
      </c>
      <c r="H686">
        <v>0</v>
      </c>
      <c r="I686" t="s">
        <v>482</v>
      </c>
    </row>
    <row r="687" spans="1:9">
      <c r="A687" t="s">
        <v>491</v>
      </c>
      <c r="B687" t="s">
        <v>301</v>
      </c>
      <c r="C687" t="s">
        <v>301</v>
      </c>
      <c r="D687" t="s">
        <v>492</v>
      </c>
      <c r="E687">
        <v>340</v>
      </c>
      <c r="F687">
        <v>0</v>
      </c>
      <c r="G687">
        <v>0</v>
      </c>
      <c r="H687">
        <v>0</v>
      </c>
      <c r="I687" t="s">
        <v>482</v>
      </c>
    </row>
    <row r="688" spans="1:9">
      <c r="A688" t="s">
        <v>493</v>
      </c>
      <c r="B688" t="s">
        <v>301</v>
      </c>
      <c r="C688" t="s">
        <v>301</v>
      </c>
      <c r="D688" t="s">
        <v>494</v>
      </c>
      <c r="E688">
        <v>262</v>
      </c>
      <c r="F688">
        <v>0</v>
      </c>
      <c r="G688">
        <v>0</v>
      </c>
      <c r="H688">
        <v>0</v>
      </c>
      <c r="I688" t="s">
        <v>482</v>
      </c>
    </row>
    <row r="689" spans="1:9">
      <c r="A689" t="s">
        <v>495</v>
      </c>
      <c r="B689" t="s">
        <v>301</v>
      </c>
      <c r="C689" t="s">
        <v>301</v>
      </c>
      <c r="D689" t="s">
        <v>496</v>
      </c>
      <c r="E689">
        <v>250</v>
      </c>
      <c r="F689">
        <v>0</v>
      </c>
      <c r="G689">
        <v>0</v>
      </c>
      <c r="H689">
        <v>0</v>
      </c>
      <c r="I689" t="s">
        <v>482</v>
      </c>
    </row>
    <row r="690" spans="1:9">
      <c r="A690" t="s">
        <v>497</v>
      </c>
      <c r="B690" t="s">
        <v>301</v>
      </c>
      <c r="C690" t="s">
        <v>301</v>
      </c>
      <c r="D690" t="s">
        <v>498</v>
      </c>
      <c r="E690">
        <v>762</v>
      </c>
      <c r="F690">
        <v>0</v>
      </c>
      <c r="G690">
        <v>0</v>
      </c>
      <c r="H690">
        <v>0</v>
      </c>
      <c r="I690" t="s">
        <v>482</v>
      </c>
    </row>
    <row r="691" spans="1:9">
      <c r="A691" t="s">
        <v>499</v>
      </c>
      <c r="B691" t="s">
        <v>301</v>
      </c>
      <c r="C691" t="s">
        <v>301</v>
      </c>
      <c r="D691" t="s">
        <v>500</v>
      </c>
      <c r="E691">
        <v>508</v>
      </c>
      <c r="F691">
        <v>0</v>
      </c>
      <c r="G691">
        <v>0</v>
      </c>
      <c r="H691">
        <v>0</v>
      </c>
      <c r="I691" t="s">
        <v>482</v>
      </c>
    </row>
    <row r="692" spans="1:9">
      <c r="A692" t="s">
        <v>501</v>
      </c>
      <c r="B692" t="s">
        <v>301</v>
      </c>
      <c r="C692" t="s">
        <v>301</v>
      </c>
      <c r="D692" t="s">
        <v>502</v>
      </c>
      <c r="E692">
        <v>409</v>
      </c>
      <c r="F692">
        <v>90</v>
      </c>
      <c r="G692">
        <v>36810</v>
      </c>
      <c r="H692">
        <v>16.14</v>
      </c>
      <c r="I692" t="s">
        <v>482</v>
      </c>
    </row>
    <row r="693" spans="1:9">
      <c r="A693" t="s">
        <v>503</v>
      </c>
      <c r="B693" t="s">
        <v>301</v>
      </c>
      <c r="C693" t="s">
        <v>301</v>
      </c>
      <c r="D693" t="s">
        <v>504</v>
      </c>
      <c r="E693">
        <v>423</v>
      </c>
      <c r="F693">
        <v>0</v>
      </c>
      <c r="G693">
        <v>0</v>
      </c>
      <c r="H693">
        <v>0</v>
      </c>
      <c r="I693" t="s">
        <v>482</v>
      </c>
    </row>
    <row r="694" spans="1:9">
      <c r="A694" t="s">
        <v>505</v>
      </c>
      <c r="B694" t="s">
        <v>301</v>
      </c>
      <c r="C694" t="s">
        <v>301</v>
      </c>
      <c r="D694" t="s">
        <v>506</v>
      </c>
      <c r="E694">
        <v>593</v>
      </c>
      <c r="F694">
        <v>0</v>
      </c>
      <c r="G694">
        <v>0</v>
      </c>
      <c r="H694">
        <v>0</v>
      </c>
      <c r="I694" t="s">
        <v>482</v>
      </c>
    </row>
    <row r="695" spans="1:9">
      <c r="A695" t="s">
        <v>507</v>
      </c>
      <c r="B695" t="s">
        <v>301</v>
      </c>
      <c r="C695" t="s">
        <v>301</v>
      </c>
      <c r="D695" t="s">
        <v>508</v>
      </c>
      <c r="E695">
        <v>411</v>
      </c>
      <c r="F695">
        <v>0</v>
      </c>
      <c r="G695">
        <v>0</v>
      </c>
      <c r="H695">
        <v>0</v>
      </c>
      <c r="I695" t="s">
        <v>482</v>
      </c>
    </row>
    <row r="696" spans="1:9">
      <c r="A696" t="s">
        <v>509</v>
      </c>
      <c r="B696" t="s">
        <v>301</v>
      </c>
      <c r="C696" t="s">
        <v>301</v>
      </c>
      <c r="D696" t="s">
        <v>510</v>
      </c>
      <c r="E696">
        <v>282</v>
      </c>
      <c r="F696">
        <v>50</v>
      </c>
      <c r="G696">
        <v>14100</v>
      </c>
      <c r="H696">
        <v>6.18</v>
      </c>
      <c r="I696" t="s">
        <v>482</v>
      </c>
    </row>
    <row r="697" spans="1:9">
      <c r="A697" t="s">
        <v>511</v>
      </c>
      <c r="B697" t="s">
        <v>301</v>
      </c>
      <c r="C697" t="s">
        <v>301</v>
      </c>
      <c r="D697" t="s">
        <v>512</v>
      </c>
      <c r="E697">
        <v>211</v>
      </c>
      <c r="F697">
        <v>48</v>
      </c>
      <c r="G697">
        <v>10128</v>
      </c>
      <c r="H697">
        <v>4.4400000000000004</v>
      </c>
      <c r="I697" t="s">
        <v>482</v>
      </c>
    </row>
    <row r="698" spans="1:9">
      <c r="A698" t="s">
        <v>513</v>
      </c>
      <c r="B698" t="s">
        <v>301</v>
      </c>
      <c r="C698" t="s">
        <v>301</v>
      </c>
      <c r="D698" t="s">
        <v>1847</v>
      </c>
      <c r="E698">
        <v>0</v>
      </c>
      <c r="F698">
        <v>0</v>
      </c>
      <c r="G698">
        <v>0</v>
      </c>
      <c r="H698">
        <v>0</v>
      </c>
    </row>
    <row r="699" spans="1:9">
      <c r="A699" t="s">
        <v>515</v>
      </c>
      <c r="B699" t="s">
        <v>301</v>
      </c>
      <c r="C699" t="s">
        <v>301</v>
      </c>
      <c r="D699" t="s">
        <v>481</v>
      </c>
      <c r="E699">
        <v>953</v>
      </c>
      <c r="F699">
        <v>0</v>
      </c>
      <c r="G699">
        <v>0</v>
      </c>
      <c r="H699">
        <v>0</v>
      </c>
      <c r="I699" t="s">
        <v>27</v>
      </c>
    </row>
    <row r="700" spans="1:9">
      <c r="A700" t="s">
        <v>516</v>
      </c>
      <c r="B700" t="s">
        <v>301</v>
      </c>
      <c r="C700" t="s">
        <v>301</v>
      </c>
      <c r="D700" t="s">
        <v>484</v>
      </c>
      <c r="E700">
        <v>798</v>
      </c>
      <c r="F700">
        <v>0</v>
      </c>
      <c r="G700">
        <v>0</v>
      </c>
      <c r="H700">
        <v>0</v>
      </c>
      <c r="I700" t="s">
        <v>27</v>
      </c>
    </row>
    <row r="701" spans="1:9">
      <c r="A701" t="s">
        <v>517</v>
      </c>
      <c r="B701" t="s">
        <v>301</v>
      </c>
      <c r="C701" t="s">
        <v>301</v>
      </c>
      <c r="D701" t="s">
        <v>486</v>
      </c>
      <c r="E701">
        <v>722</v>
      </c>
      <c r="F701">
        <v>2</v>
      </c>
      <c r="G701">
        <v>1444</v>
      </c>
      <c r="H701">
        <v>0.63</v>
      </c>
      <c r="I701" t="s">
        <v>27</v>
      </c>
    </row>
    <row r="702" spans="1:9">
      <c r="A702" t="s">
        <v>518</v>
      </c>
      <c r="B702" t="s">
        <v>301</v>
      </c>
      <c r="C702" t="s">
        <v>301</v>
      </c>
      <c r="D702" t="s">
        <v>488</v>
      </c>
      <c r="E702">
        <v>632</v>
      </c>
      <c r="F702">
        <v>0</v>
      </c>
      <c r="G702">
        <v>0</v>
      </c>
      <c r="H702">
        <v>0</v>
      </c>
      <c r="I702" t="s">
        <v>27</v>
      </c>
    </row>
    <row r="703" spans="1:9">
      <c r="A703" t="s">
        <v>519</v>
      </c>
      <c r="B703" t="s">
        <v>301</v>
      </c>
      <c r="C703" t="s">
        <v>301</v>
      </c>
      <c r="D703" t="s">
        <v>490</v>
      </c>
      <c r="E703">
        <v>461</v>
      </c>
      <c r="F703">
        <v>0</v>
      </c>
      <c r="G703">
        <v>0</v>
      </c>
      <c r="H703">
        <v>0</v>
      </c>
      <c r="I703" t="s">
        <v>482</v>
      </c>
    </row>
    <row r="704" spans="1:9">
      <c r="A704" t="s">
        <v>520</v>
      </c>
      <c r="B704" t="s">
        <v>301</v>
      </c>
      <c r="C704" t="s">
        <v>301</v>
      </c>
      <c r="D704" t="s">
        <v>492</v>
      </c>
      <c r="E704">
        <v>416</v>
      </c>
      <c r="F704">
        <v>0</v>
      </c>
      <c r="G704">
        <v>0</v>
      </c>
      <c r="H704">
        <v>0</v>
      </c>
      <c r="I704" t="s">
        <v>27</v>
      </c>
    </row>
    <row r="705" spans="1:9">
      <c r="A705" t="s">
        <v>521</v>
      </c>
      <c r="B705" t="s">
        <v>301</v>
      </c>
      <c r="C705" t="s">
        <v>301</v>
      </c>
      <c r="D705" t="s">
        <v>494</v>
      </c>
      <c r="E705">
        <v>415</v>
      </c>
      <c r="F705">
        <v>0</v>
      </c>
      <c r="G705">
        <v>0</v>
      </c>
      <c r="H705">
        <v>0</v>
      </c>
      <c r="I705" t="s">
        <v>522</v>
      </c>
    </row>
    <row r="706" spans="1:9">
      <c r="A706" t="s">
        <v>523</v>
      </c>
      <c r="B706" t="s">
        <v>301</v>
      </c>
      <c r="C706" t="s">
        <v>301</v>
      </c>
      <c r="D706" t="s">
        <v>496</v>
      </c>
      <c r="E706">
        <v>381</v>
      </c>
      <c r="F706">
        <v>0</v>
      </c>
      <c r="G706">
        <v>0</v>
      </c>
      <c r="H706">
        <v>0</v>
      </c>
      <c r="I706" t="s">
        <v>522</v>
      </c>
    </row>
    <row r="707" spans="1:9">
      <c r="A707" t="s">
        <v>524</v>
      </c>
      <c r="B707" t="s">
        <v>301</v>
      </c>
      <c r="C707" t="s">
        <v>301</v>
      </c>
      <c r="D707" t="s">
        <v>498</v>
      </c>
      <c r="E707">
        <v>555</v>
      </c>
      <c r="F707">
        <v>0</v>
      </c>
      <c r="G707">
        <v>0</v>
      </c>
      <c r="H707">
        <v>0</v>
      </c>
      <c r="I707" t="s">
        <v>27</v>
      </c>
    </row>
    <row r="708" spans="1:9">
      <c r="A708" t="s">
        <v>525</v>
      </c>
      <c r="B708" t="s">
        <v>301</v>
      </c>
      <c r="C708" t="s">
        <v>301</v>
      </c>
      <c r="D708" t="s">
        <v>500</v>
      </c>
      <c r="E708">
        <v>490</v>
      </c>
      <c r="F708">
        <v>0</v>
      </c>
      <c r="G708">
        <v>0</v>
      </c>
      <c r="H708">
        <v>0</v>
      </c>
      <c r="I708" t="s">
        <v>27</v>
      </c>
    </row>
    <row r="709" spans="1:9">
      <c r="A709" t="s">
        <v>526</v>
      </c>
      <c r="B709" t="s">
        <v>301</v>
      </c>
      <c r="C709" t="s">
        <v>301</v>
      </c>
      <c r="D709" t="s">
        <v>502</v>
      </c>
      <c r="E709">
        <v>427</v>
      </c>
      <c r="F709">
        <v>5</v>
      </c>
      <c r="G709">
        <v>2135</v>
      </c>
      <c r="H709">
        <v>0.94</v>
      </c>
      <c r="I709" t="s">
        <v>27</v>
      </c>
    </row>
    <row r="710" spans="1:9">
      <c r="A710" t="s">
        <v>527</v>
      </c>
      <c r="B710" t="s">
        <v>301</v>
      </c>
      <c r="C710" t="s">
        <v>301</v>
      </c>
      <c r="D710" t="s">
        <v>504</v>
      </c>
      <c r="E710">
        <v>371</v>
      </c>
      <c r="F710">
        <v>0</v>
      </c>
      <c r="G710">
        <v>0</v>
      </c>
      <c r="H710">
        <v>0</v>
      </c>
      <c r="I710" t="s">
        <v>27</v>
      </c>
    </row>
    <row r="711" spans="1:9">
      <c r="A711" t="s">
        <v>528</v>
      </c>
      <c r="B711" t="s">
        <v>301</v>
      </c>
      <c r="C711" t="s">
        <v>301</v>
      </c>
      <c r="D711" t="s">
        <v>506</v>
      </c>
      <c r="E711">
        <v>165</v>
      </c>
      <c r="F711">
        <v>0</v>
      </c>
      <c r="G711">
        <v>0</v>
      </c>
      <c r="H711">
        <v>0</v>
      </c>
      <c r="I711" t="s">
        <v>27</v>
      </c>
    </row>
    <row r="712" spans="1:9">
      <c r="A712" t="s">
        <v>529</v>
      </c>
      <c r="B712" t="s">
        <v>301</v>
      </c>
      <c r="C712" t="s">
        <v>301</v>
      </c>
      <c r="D712" t="s">
        <v>508</v>
      </c>
      <c r="E712">
        <v>144</v>
      </c>
      <c r="F712">
        <v>0</v>
      </c>
      <c r="G712">
        <v>0</v>
      </c>
      <c r="H712">
        <v>0</v>
      </c>
      <c r="I712" t="s">
        <v>27</v>
      </c>
    </row>
    <row r="713" spans="1:9">
      <c r="A713" t="s">
        <v>530</v>
      </c>
      <c r="B713" t="s">
        <v>301</v>
      </c>
      <c r="C713" t="s">
        <v>301</v>
      </c>
      <c r="D713" t="s">
        <v>510</v>
      </c>
      <c r="E713">
        <v>137</v>
      </c>
      <c r="F713">
        <v>8</v>
      </c>
      <c r="G713">
        <v>1096</v>
      </c>
      <c r="H713">
        <v>0.48</v>
      </c>
      <c r="I713" t="s">
        <v>27</v>
      </c>
    </row>
    <row r="714" spans="1:9">
      <c r="A714" t="s">
        <v>531</v>
      </c>
      <c r="B714" t="s">
        <v>301</v>
      </c>
      <c r="C714" t="s">
        <v>301</v>
      </c>
      <c r="D714" t="s">
        <v>512</v>
      </c>
      <c r="E714">
        <v>129</v>
      </c>
      <c r="F714">
        <v>10</v>
      </c>
      <c r="G714">
        <v>1290</v>
      </c>
      <c r="H714">
        <v>0.56999999999999995</v>
      </c>
      <c r="I714" t="s">
        <v>27</v>
      </c>
    </row>
    <row r="715" spans="1:9">
      <c r="D715" t="s">
        <v>532</v>
      </c>
      <c r="E715">
        <v>0</v>
      </c>
      <c r="F715">
        <v>0</v>
      </c>
      <c r="G715">
        <v>82487</v>
      </c>
      <c r="H715">
        <v>36.18</v>
      </c>
    </row>
    <row r="716" spans="1:9">
      <c r="A716" t="s">
        <v>302</v>
      </c>
      <c r="B716" t="s">
        <v>301</v>
      </c>
      <c r="C716" t="s">
        <v>301</v>
      </c>
      <c r="D716" t="s">
        <v>1848</v>
      </c>
      <c r="E716">
        <v>0</v>
      </c>
      <c r="F716">
        <v>0</v>
      </c>
      <c r="G716">
        <v>0</v>
      </c>
      <c r="H716">
        <v>0</v>
      </c>
    </row>
    <row r="717" spans="1:9">
      <c r="A717">
        <v>6.1</v>
      </c>
      <c r="B717" t="s">
        <v>301</v>
      </c>
      <c r="C717" t="s">
        <v>301</v>
      </c>
      <c r="D717" t="s">
        <v>534</v>
      </c>
      <c r="E717">
        <v>0</v>
      </c>
      <c r="F717">
        <v>0</v>
      </c>
      <c r="G717">
        <v>0</v>
      </c>
      <c r="H717">
        <v>0</v>
      </c>
    </row>
    <row r="718" spans="1:9">
      <c r="A718" t="s">
        <v>535</v>
      </c>
      <c r="B718" t="s">
        <v>301</v>
      </c>
      <c r="C718" t="s">
        <v>301</v>
      </c>
      <c r="D718" t="s">
        <v>536</v>
      </c>
      <c r="E718">
        <v>113</v>
      </c>
      <c r="F718">
        <v>0</v>
      </c>
      <c r="G718">
        <v>0</v>
      </c>
      <c r="H718">
        <v>0</v>
      </c>
      <c r="I718" t="s">
        <v>482</v>
      </c>
    </row>
    <row r="719" spans="1:9">
      <c r="A719" t="s">
        <v>537</v>
      </c>
      <c r="B719" t="s">
        <v>301</v>
      </c>
      <c r="C719" t="s">
        <v>301</v>
      </c>
      <c r="D719" t="s">
        <v>538</v>
      </c>
      <c r="E719">
        <v>94</v>
      </c>
      <c r="F719">
        <v>0</v>
      </c>
      <c r="G719">
        <v>0</v>
      </c>
      <c r="H719">
        <v>0</v>
      </c>
      <c r="I719" t="s">
        <v>482</v>
      </c>
    </row>
    <row r="720" spans="1:9">
      <c r="D720" t="s">
        <v>452</v>
      </c>
      <c r="E720">
        <v>0</v>
      </c>
      <c r="F720">
        <v>0</v>
      </c>
      <c r="G720">
        <v>0</v>
      </c>
      <c r="H720">
        <v>0</v>
      </c>
    </row>
    <row r="721" spans="1:9">
      <c r="A721" t="s">
        <v>539</v>
      </c>
      <c r="B721" t="s">
        <v>301</v>
      </c>
      <c r="C721" t="s">
        <v>301</v>
      </c>
      <c r="D721" t="s">
        <v>540</v>
      </c>
      <c r="E721">
        <v>76</v>
      </c>
      <c r="F721">
        <v>0</v>
      </c>
      <c r="G721">
        <v>0</v>
      </c>
      <c r="H721">
        <v>0</v>
      </c>
      <c r="I721" t="s">
        <v>482</v>
      </c>
    </row>
    <row r="722" spans="1:9">
      <c r="A722" t="s">
        <v>541</v>
      </c>
      <c r="B722" t="s">
        <v>301</v>
      </c>
      <c r="C722" t="s">
        <v>301</v>
      </c>
      <c r="D722" t="s">
        <v>542</v>
      </c>
      <c r="E722">
        <v>87</v>
      </c>
      <c r="F722">
        <v>0</v>
      </c>
      <c r="G722">
        <v>0</v>
      </c>
      <c r="H722">
        <v>0</v>
      </c>
      <c r="I722" t="s">
        <v>482</v>
      </c>
    </row>
    <row r="723" spans="1:9">
      <c r="A723" t="s">
        <v>543</v>
      </c>
      <c r="B723" t="s">
        <v>301</v>
      </c>
      <c r="C723" t="s">
        <v>301</v>
      </c>
      <c r="D723" t="s">
        <v>544</v>
      </c>
      <c r="E723">
        <v>92</v>
      </c>
      <c r="F723">
        <v>0</v>
      </c>
      <c r="G723">
        <v>0</v>
      </c>
      <c r="H723">
        <v>0</v>
      </c>
      <c r="I723" t="s">
        <v>482</v>
      </c>
    </row>
    <row r="724" spans="1:9">
      <c r="A724" t="s">
        <v>545</v>
      </c>
      <c r="B724" t="s">
        <v>301</v>
      </c>
      <c r="C724" t="s">
        <v>301</v>
      </c>
      <c r="D724" t="s">
        <v>546</v>
      </c>
      <c r="E724">
        <v>97</v>
      </c>
      <c r="F724">
        <v>160</v>
      </c>
      <c r="G724">
        <v>15520</v>
      </c>
      <c r="H724">
        <v>6.81</v>
      </c>
      <c r="I724" t="s">
        <v>482</v>
      </c>
    </row>
    <row r="725" spans="1:9">
      <c r="A725">
        <v>6.2</v>
      </c>
      <c r="B725" t="s">
        <v>301</v>
      </c>
      <c r="C725" t="s">
        <v>301</v>
      </c>
      <c r="D725" t="s">
        <v>547</v>
      </c>
      <c r="E725">
        <v>0</v>
      </c>
      <c r="F725">
        <v>0</v>
      </c>
      <c r="G725">
        <v>0</v>
      </c>
      <c r="H725">
        <v>0</v>
      </c>
    </row>
    <row r="726" spans="1:9">
      <c r="A726" t="s">
        <v>548</v>
      </c>
      <c r="B726" t="s">
        <v>301</v>
      </c>
      <c r="C726" t="s">
        <v>301</v>
      </c>
      <c r="D726" t="s">
        <v>549</v>
      </c>
      <c r="E726">
        <v>120</v>
      </c>
      <c r="F726">
        <v>75</v>
      </c>
      <c r="G726">
        <v>9000</v>
      </c>
      <c r="H726">
        <v>3.95</v>
      </c>
      <c r="I726" t="s">
        <v>482</v>
      </c>
    </row>
    <row r="727" spans="1:9">
      <c r="A727">
        <v>6.3</v>
      </c>
      <c r="B727" t="s">
        <v>301</v>
      </c>
      <c r="C727" t="s">
        <v>301</v>
      </c>
      <c r="D727" t="s">
        <v>550</v>
      </c>
      <c r="E727">
        <v>0</v>
      </c>
      <c r="F727">
        <v>0</v>
      </c>
      <c r="G727">
        <v>0</v>
      </c>
      <c r="H727">
        <v>0</v>
      </c>
    </row>
    <row r="728" spans="1:9">
      <c r="A728" t="s">
        <v>551</v>
      </c>
      <c r="B728" t="s">
        <v>301</v>
      </c>
      <c r="C728" t="s">
        <v>301</v>
      </c>
      <c r="D728" t="s">
        <v>552</v>
      </c>
      <c r="E728">
        <v>99</v>
      </c>
      <c r="F728">
        <v>0</v>
      </c>
      <c r="G728">
        <v>0</v>
      </c>
      <c r="H728">
        <v>0</v>
      </c>
      <c r="I728" t="s">
        <v>482</v>
      </c>
    </row>
    <row r="729" spans="1:9">
      <c r="A729">
        <v>6.4</v>
      </c>
      <c r="B729" t="s">
        <v>301</v>
      </c>
      <c r="C729" t="s">
        <v>301</v>
      </c>
      <c r="D729" t="s">
        <v>553</v>
      </c>
      <c r="E729">
        <v>0</v>
      </c>
      <c r="F729">
        <v>0</v>
      </c>
      <c r="G729">
        <v>0</v>
      </c>
      <c r="H729">
        <v>0</v>
      </c>
    </row>
    <row r="730" spans="1:9">
      <c r="A730" t="s">
        <v>554</v>
      </c>
      <c r="B730" t="s">
        <v>301</v>
      </c>
      <c r="C730" t="s">
        <v>301</v>
      </c>
      <c r="D730" t="s">
        <v>555</v>
      </c>
      <c r="E730">
        <v>122</v>
      </c>
      <c r="F730">
        <v>122</v>
      </c>
      <c r="G730">
        <v>14884</v>
      </c>
      <c r="H730">
        <v>6.53</v>
      </c>
      <c r="I730" t="s">
        <v>482</v>
      </c>
    </row>
    <row r="731" spans="1:9">
      <c r="A731" t="s">
        <v>556</v>
      </c>
      <c r="B731" t="s">
        <v>301</v>
      </c>
      <c r="C731" t="s">
        <v>301</v>
      </c>
      <c r="D731" t="s">
        <v>1849</v>
      </c>
      <c r="E731">
        <v>106</v>
      </c>
      <c r="F731">
        <v>0</v>
      </c>
      <c r="G731">
        <v>0</v>
      </c>
      <c r="H731">
        <v>0</v>
      </c>
      <c r="I731" t="s">
        <v>482</v>
      </c>
    </row>
    <row r="732" spans="1:9">
      <c r="D732" t="s">
        <v>558</v>
      </c>
      <c r="E732">
        <v>0</v>
      </c>
      <c r="F732">
        <v>0</v>
      </c>
      <c r="G732">
        <v>39404</v>
      </c>
      <c r="H732">
        <v>17.28</v>
      </c>
    </row>
    <row r="733" spans="1:9">
      <c r="A733" t="s">
        <v>302</v>
      </c>
      <c r="B733" t="s">
        <v>301</v>
      </c>
      <c r="C733" t="s">
        <v>301</v>
      </c>
      <c r="D733" t="s">
        <v>559</v>
      </c>
      <c r="E733">
        <v>0</v>
      </c>
      <c r="F733">
        <v>0</v>
      </c>
      <c r="G733">
        <v>0</v>
      </c>
      <c r="H733">
        <v>0</v>
      </c>
    </row>
    <row r="734" spans="1:9">
      <c r="A734">
        <v>7.1</v>
      </c>
      <c r="B734" t="s">
        <v>301</v>
      </c>
      <c r="C734" t="s">
        <v>301</v>
      </c>
      <c r="D734" t="s">
        <v>560</v>
      </c>
      <c r="E734">
        <v>0</v>
      </c>
      <c r="F734">
        <v>0</v>
      </c>
      <c r="G734">
        <v>0</v>
      </c>
      <c r="H734">
        <v>0</v>
      </c>
    </row>
    <row r="735" spans="1:9">
      <c r="A735" t="s">
        <v>561</v>
      </c>
      <c r="B735" t="s">
        <v>301</v>
      </c>
      <c r="C735" t="s">
        <v>301</v>
      </c>
      <c r="D735" t="s">
        <v>562</v>
      </c>
      <c r="E735">
        <v>141</v>
      </c>
      <c r="F735">
        <v>0</v>
      </c>
      <c r="G735">
        <v>0</v>
      </c>
      <c r="H735">
        <v>0</v>
      </c>
      <c r="I735" t="s">
        <v>482</v>
      </c>
    </row>
    <row r="736" spans="1:9">
      <c r="A736" t="s">
        <v>563</v>
      </c>
      <c r="B736" t="s">
        <v>301</v>
      </c>
      <c r="C736" t="s">
        <v>301</v>
      </c>
      <c r="D736" t="s">
        <v>564</v>
      </c>
      <c r="E736">
        <v>194</v>
      </c>
      <c r="F736">
        <v>0</v>
      </c>
      <c r="G736">
        <v>0</v>
      </c>
      <c r="H736">
        <v>0</v>
      </c>
      <c r="I736" t="s">
        <v>482</v>
      </c>
    </row>
    <row r="737" spans="1:9">
      <c r="A737" t="s">
        <v>565</v>
      </c>
      <c r="B737" t="s">
        <v>301</v>
      </c>
      <c r="C737" t="s">
        <v>301</v>
      </c>
      <c r="D737" t="s">
        <v>566</v>
      </c>
      <c r="E737">
        <v>724</v>
      </c>
      <c r="F737">
        <v>0</v>
      </c>
      <c r="G737">
        <v>0</v>
      </c>
      <c r="H737">
        <v>0</v>
      </c>
      <c r="I737" t="s">
        <v>482</v>
      </c>
    </row>
    <row r="738" spans="1:9">
      <c r="A738" t="s">
        <v>567</v>
      </c>
      <c r="B738" t="s">
        <v>301</v>
      </c>
      <c r="C738" t="s">
        <v>301</v>
      </c>
      <c r="D738" t="s">
        <v>1850</v>
      </c>
      <c r="E738">
        <v>76</v>
      </c>
      <c r="F738">
        <v>0</v>
      </c>
      <c r="G738">
        <v>0</v>
      </c>
      <c r="H738">
        <v>0</v>
      </c>
      <c r="I738" t="s">
        <v>482</v>
      </c>
    </row>
    <row r="739" spans="1:9">
      <c r="A739" t="s">
        <v>569</v>
      </c>
      <c r="B739" t="s">
        <v>301</v>
      </c>
      <c r="C739" t="s">
        <v>301</v>
      </c>
      <c r="D739" t="s">
        <v>570</v>
      </c>
      <c r="E739">
        <v>114</v>
      </c>
      <c r="F739">
        <v>0</v>
      </c>
      <c r="G739">
        <v>0</v>
      </c>
      <c r="H739">
        <v>0</v>
      </c>
      <c r="I739" t="s">
        <v>482</v>
      </c>
    </row>
    <row r="740" spans="1:9">
      <c r="A740" t="s">
        <v>571</v>
      </c>
      <c r="B740" t="s">
        <v>301</v>
      </c>
      <c r="C740" t="s">
        <v>301</v>
      </c>
      <c r="D740" t="s">
        <v>572</v>
      </c>
      <c r="E740">
        <v>83</v>
      </c>
      <c r="F740">
        <v>0</v>
      </c>
      <c r="G740">
        <v>0</v>
      </c>
      <c r="H740">
        <v>0</v>
      </c>
      <c r="I740" t="s">
        <v>482</v>
      </c>
    </row>
    <row r="741" spans="1:9">
      <c r="A741">
        <v>7.2</v>
      </c>
      <c r="B741" t="s">
        <v>301</v>
      </c>
      <c r="C741" t="s">
        <v>301</v>
      </c>
      <c r="D741" t="s">
        <v>1851</v>
      </c>
      <c r="E741">
        <v>13842</v>
      </c>
      <c r="F741">
        <v>0</v>
      </c>
      <c r="G741">
        <v>0</v>
      </c>
      <c r="H741">
        <v>0</v>
      </c>
      <c r="I741" t="s">
        <v>27</v>
      </c>
    </row>
    <row r="742" spans="1:9">
      <c r="A742">
        <v>7.3</v>
      </c>
      <c r="B742" t="s">
        <v>301</v>
      </c>
      <c r="C742" t="s">
        <v>301</v>
      </c>
      <c r="D742" t="s">
        <v>1852</v>
      </c>
      <c r="E742">
        <v>11759</v>
      </c>
      <c r="F742">
        <v>0</v>
      </c>
      <c r="G742">
        <v>0</v>
      </c>
      <c r="H742">
        <v>0</v>
      </c>
      <c r="I742" t="s">
        <v>27</v>
      </c>
    </row>
    <row r="743" spans="1:9" ht="409.6">
      <c r="A743">
        <v>7.4</v>
      </c>
      <c r="B743" t="s">
        <v>301</v>
      </c>
      <c r="C743" t="s">
        <v>301</v>
      </c>
      <c r="D743" s="518" t="s">
        <v>1853</v>
      </c>
      <c r="E743">
        <v>16017</v>
      </c>
      <c r="F743">
        <v>0</v>
      </c>
      <c r="G743">
        <v>0</v>
      </c>
      <c r="H743">
        <v>0</v>
      </c>
      <c r="I743" t="s">
        <v>27</v>
      </c>
    </row>
    <row r="744" spans="1:9">
      <c r="D744" t="s">
        <v>573</v>
      </c>
      <c r="E744">
        <v>0</v>
      </c>
      <c r="F744">
        <v>0</v>
      </c>
      <c r="G744">
        <v>0</v>
      </c>
      <c r="H744">
        <v>0</v>
      </c>
    </row>
    <row r="745" spans="1:9">
      <c r="A745" t="s">
        <v>302</v>
      </c>
      <c r="B745" t="s">
        <v>301</v>
      </c>
      <c r="C745" t="s">
        <v>301</v>
      </c>
      <c r="D745" t="s">
        <v>1854</v>
      </c>
      <c r="E745">
        <v>0</v>
      </c>
      <c r="F745">
        <v>0</v>
      </c>
      <c r="G745">
        <v>0</v>
      </c>
      <c r="H745">
        <v>0</v>
      </c>
    </row>
    <row r="746" spans="1:9">
      <c r="A746">
        <v>8.1</v>
      </c>
      <c r="B746" t="s">
        <v>301</v>
      </c>
      <c r="C746" t="s">
        <v>301</v>
      </c>
      <c r="D746" t="s">
        <v>575</v>
      </c>
      <c r="E746">
        <v>0</v>
      </c>
      <c r="F746">
        <v>0</v>
      </c>
      <c r="G746">
        <v>0</v>
      </c>
      <c r="H746">
        <v>0</v>
      </c>
    </row>
    <row r="747" spans="1:9">
      <c r="A747" t="s">
        <v>576</v>
      </c>
      <c r="B747" t="s">
        <v>301</v>
      </c>
      <c r="C747" t="s">
        <v>301</v>
      </c>
      <c r="D747" t="s">
        <v>1855</v>
      </c>
      <c r="E747">
        <v>13729</v>
      </c>
      <c r="F747">
        <v>0</v>
      </c>
      <c r="G747">
        <v>0</v>
      </c>
      <c r="H747">
        <v>0</v>
      </c>
      <c r="I747" t="s">
        <v>27</v>
      </c>
    </row>
    <row r="748" spans="1:9">
      <c r="A748" t="s">
        <v>578</v>
      </c>
      <c r="B748" t="s">
        <v>301</v>
      </c>
      <c r="C748" t="s">
        <v>301</v>
      </c>
      <c r="D748" t="s">
        <v>1856</v>
      </c>
      <c r="E748">
        <v>14492</v>
      </c>
      <c r="F748">
        <v>0</v>
      </c>
      <c r="G748">
        <v>0</v>
      </c>
      <c r="H748">
        <v>0</v>
      </c>
      <c r="I748" t="s">
        <v>27</v>
      </c>
    </row>
    <row r="749" spans="1:9">
      <c r="A749" t="s">
        <v>580</v>
      </c>
      <c r="B749" t="s">
        <v>301</v>
      </c>
      <c r="C749" t="s">
        <v>301</v>
      </c>
      <c r="D749" t="s">
        <v>1857</v>
      </c>
      <c r="E749">
        <v>15954</v>
      </c>
      <c r="F749">
        <v>0</v>
      </c>
      <c r="G749">
        <v>0</v>
      </c>
      <c r="H749">
        <v>0</v>
      </c>
      <c r="I749" t="s">
        <v>27</v>
      </c>
    </row>
    <row r="750" spans="1:9">
      <c r="A750" t="s">
        <v>582</v>
      </c>
      <c r="B750" t="s">
        <v>301</v>
      </c>
      <c r="C750" t="s">
        <v>301</v>
      </c>
      <c r="D750" t="s">
        <v>1858</v>
      </c>
      <c r="E750">
        <v>18009</v>
      </c>
      <c r="F750">
        <v>0</v>
      </c>
      <c r="G750">
        <v>0</v>
      </c>
      <c r="H750">
        <v>0</v>
      </c>
      <c r="I750" t="s">
        <v>27</v>
      </c>
    </row>
    <row r="751" spans="1:9">
      <c r="A751" t="s">
        <v>584</v>
      </c>
      <c r="B751" t="s">
        <v>301</v>
      </c>
      <c r="C751" t="s">
        <v>301</v>
      </c>
      <c r="D751" t="s">
        <v>1859</v>
      </c>
      <c r="E751">
        <v>19675</v>
      </c>
      <c r="F751">
        <v>0</v>
      </c>
      <c r="G751">
        <v>0</v>
      </c>
      <c r="H751">
        <v>0</v>
      </c>
      <c r="I751" t="s">
        <v>27</v>
      </c>
    </row>
    <row r="752" spans="1:9">
      <c r="D752" t="s">
        <v>586</v>
      </c>
      <c r="E752">
        <v>0</v>
      </c>
      <c r="F752">
        <v>0</v>
      </c>
      <c r="G752">
        <v>0</v>
      </c>
      <c r="H752">
        <v>0</v>
      </c>
    </row>
    <row r="753" spans="1:9">
      <c r="A753" t="s">
        <v>302</v>
      </c>
      <c r="B753" t="s">
        <v>301</v>
      </c>
      <c r="C753" t="s">
        <v>301</v>
      </c>
      <c r="D753" t="s">
        <v>587</v>
      </c>
      <c r="E753">
        <v>0</v>
      </c>
      <c r="F753">
        <v>0</v>
      </c>
      <c r="G753">
        <v>0</v>
      </c>
      <c r="H753">
        <v>0</v>
      </c>
    </row>
    <row r="754" spans="1:9" ht="409.6">
      <c r="A754">
        <v>9.1</v>
      </c>
      <c r="B754" t="s">
        <v>301</v>
      </c>
      <c r="C754" t="s">
        <v>301</v>
      </c>
      <c r="D754" s="518" t="s">
        <v>588</v>
      </c>
      <c r="E754">
        <v>0</v>
      </c>
      <c r="F754">
        <v>0</v>
      </c>
      <c r="G754">
        <v>0</v>
      </c>
      <c r="H754">
        <v>0</v>
      </c>
    </row>
    <row r="755" spans="1:9">
      <c r="A755" t="s">
        <v>589</v>
      </c>
      <c r="B755" t="s">
        <v>301</v>
      </c>
      <c r="C755" t="s">
        <v>301</v>
      </c>
      <c r="D755" t="s">
        <v>1860</v>
      </c>
      <c r="E755">
        <v>1137</v>
      </c>
      <c r="F755">
        <v>44</v>
      </c>
      <c r="G755">
        <v>50028</v>
      </c>
      <c r="H755">
        <v>21.94</v>
      </c>
      <c r="I755" t="s">
        <v>27</v>
      </c>
    </row>
    <row r="756" spans="1:9">
      <c r="A756" t="s">
        <v>590</v>
      </c>
      <c r="B756" t="s">
        <v>301</v>
      </c>
      <c r="C756" t="s">
        <v>301</v>
      </c>
      <c r="D756" t="s">
        <v>1861</v>
      </c>
      <c r="E756">
        <v>522</v>
      </c>
      <c r="F756">
        <v>46</v>
      </c>
      <c r="G756">
        <v>24012</v>
      </c>
      <c r="H756">
        <v>10.53</v>
      </c>
      <c r="I756" t="s">
        <v>27</v>
      </c>
    </row>
    <row r="757" spans="1:9">
      <c r="A757" t="s">
        <v>591</v>
      </c>
      <c r="B757" t="s">
        <v>301</v>
      </c>
      <c r="C757" t="s">
        <v>301</v>
      </c>
      <c r="D757" t="s">
        <v>592</v>
      </c>
      <c r="E757">
        <v>1483</v>
      </c>
      <c r="F757">
        <v>0</v>
      </c>
      <c r="G757">
        <v>0</v>
      </c>
      <c r="H757">
        <v>0</v>
      </c>
      <c r="I757" t="s">
        <v>27</v>
      </c>
    </row>
    <row r="758" spans="1:9">
      <c r="A758">
        <v>9.1999999999999993</v>
      </c>
      <c r="B758" t="s">
        <v>301</v>
      </c>
      <c r="C758" t="s">
        <v>301</v>
      </c>
      <c r="D758" t="s">
        <v>593</v>
      </c>
      <c r="E758">
        <v>0</v>
      </c>
      <c r="F758">
        <v>0</v>
      </c>
      <c r="G758">
        <v>0</v>
      </c>
      <c r="H758">
        <v>0</v>
      </c>
    </row>
    <row r="759" spans="1:9">
      <c r="A759" t="s">
        <v>594</v>
      </c>
      <c r="B759" t="s">
        <v>301</v>
      </c>
      <c r="C759" t="s">
        <v>301</v>
      </c>
      <c r="D759" t="s">
        <v>595</v>
      </c>
      <c r="E759">
        <v>587</v>
      </c>
      <c r="F759">
        <v>20</v>
      </c>
      <c r="G759">
        <v>11740</v>
      </c>
      <c r="H759">
        <v>5.15</v>
      </c>
      <c r="I759" t="s">
        <v>27</v>
      </c>
    </row>
    <row r="760" spans="1:9">
      <c r="D760" t="s">
        <v>596</v>
      </c>
      <c r="E760">
        <v>0</v>
      </c>
      <c r="F760">
        <v>0</v>
      </c>
      <c r="G760">
        <v>0</v>
      </c>
      <c r="H760">
        <v>0</v>
      </c>
    </row>
    <row r="761" spans="1:9">
      <c r="A761" t="s">
        <v>597</v>
      </c>
      <c r="B761" t="s">
        <v>301</v>
      </c>
      <c r="C761" t="s">
        <v>301</v>
      </c>
      <c r="D761" t="s">
        <v>1862</v>
      </c>
      <c r="E761">
        <v>839</v>
      </c>
      <c r="F761">
        <v>0</v>
      </c>
      <c r="G761">
        <v>0</v>
      </c>
      <c r="H761">
        <v>0</v>
      </c>
      <c r="I761" t="s">
        <v>27</v>
      </c>
    </row>
    <row r="762" spans="1:9">
      <c r="A762" t="s">
        <v>598</v>
      </c>
      <c r="B762" t="s">
        <v>301</v>
      </c>
      <c r="C762" t="s">
        <v>301</v>
      </c>
      <c r="D762" t="s">
        <v>1863</v>
      </c>
      <c r="E762">
        <v>1283</v>
      </c>
      <c r="F762">
        <v>9</v>
      </c>
      <c r="G762">
        <v>11547</v>
      </c>
      <c r="H762">
        <v>5.0599999999999996</v>
      </c>
      <c r="I762" t="s">
        <v>27</v>
      </c>
    </row>
    <row r="763" spans="1:9">
      <c r="A763" t="s">
        <v>599</v>
      </c>
      <c r="B763" t="s">
        <v>301</v>
      </c>
      <c r="C763" t="s">
        <v>301</v>
      </c>
      <c r="D763" t="s">
        <v>1864</v>
      </c>
      <c r="E763">
        <v>2288</v>
      </c>
      <c r="F763">
        <v>0</v>
      </c>
      <c r="G763">
        <v>0</v>
      </c>
      <c r="H763">
        <v>0</v>
      </c>
      <c r="I763" t="s">
        <v>27</v>
      </c>
    </row>
    <row r="764" spans="1:9">
      <c r="D764" t="s">
        <v>600</v>
      </c>
      <c r="E764">
        <v>0</v>
      </c>
      <c r="F764">
        <v>0</v>
      </c>
      <c r="G764">
        <v>97327</v>
      </c>
      <c r="H764">
        <v>42.69</v>
      </c>
    </row>
    <row r="765" spans="1:9">
      <c r="A765" t="s">
        <v>302</v>
      </c>
      <c r="B765" t="s">
        <v>301</v>
      </c>
      <c r="C765" t="s">
        <v>301</v>
      </c>
      <c r="D765" t="s">
        <v>601</v>
      </c>
      <c r="E765">
        <v>0</v>
      </c>
      <c r="F765">
        <v>0</v>
      </c>
      <c r="G765">
        <v>0</v>
      </c>
      <c r="H765">
        <v>0</v>
      </c>
    </row>
    <row r="766" spans="1:9">
      <c r="A766">
        <v>10.1</v>
      </c>
      <c r="B766" t="s">
        <v>301</v>
      </c>
      <c r="C766" t="s">
        <v>301</v>
      </c>
      <c r="D766" t="s">
        <v>1865</v>
      </c>
      <c r="E766">
        <v>0</v>
      </c>
      <c r="F766">
        <v>0</v>
      </c>
      <c r="G766">
        <v>0</v>
      </c>
      <c r="H766">
        <v>0</v>
      </c>
    </row>
    <row r="767" spans="1:9">
      <c r="A767" t="s">
        <v>603</v>
      </c>
      <c r="B767" t="s">
        <v>301</v>
      </c>
      <c r="C767" t="s">
        <v>301</v>
      </c>
      <c r="D767" t="s">
        <v>604</v>
      </c>
      <c r="E767">
        <v>758</v>
      </c>
      <c r="F767">
        <v>0</v>
      </c>
      <c r="G767">
        <v>0</v>
      </c>
      <c r="H767">
        <v>0</v>
      </c>
      <c r="I767" t="s">
        <v>27</v>
      </c>
    </row>
    <row r="768" spans="1:9">
      <c r="A768" t="s">
        <v>605</v>
      </c>
      <c r="B768" t="s">
        <v>301</v>
      </c>
      <c r="C768" t="s">
        <v>301</v>
      </c>
      <c r="D768" t="s">
        <v>606</v>
      </c>
      <c r="E768">
        <v>1991</v>
      </c>
      <c r="F768">
        <v>0</v>
      </c>
      <c r="G768">
        <v>0</v>
      </c>
      <c r="H768">
        <v>0</v>
      </c>
      <c r="I768" t="s">
        <v>27</v>
      </c>
    </row>
    <row r="769" spans="1:9">
      <c r="A769" t="s">
        <v>607</v>
      </c>
      <c r="B769" t="s">
        <v>301</v>
      </c>
      <c r="C769" t="s">
        <v>301</v>
      </c>
      <c r="D769" t="s">
        <v>608</v>
      </c>
      <c r="E769">
        <v>1226</v>
      </c>
      <c r="F769">
        <v>25</v>
      </c>
      <c r="G769">
        <v>30650</v>
      </c>
      <c r="H769">
        <v>13.44</v>
      </c>
      <c r="I769" t="s">
        <v>27</v>
      </c>
    </row>
    <row r="770" spans="1:9">
      <c r="A770" t="s">
        <v>609</v>
      </c>
      <c r="B770" t="s">
        <v>301</v>
      </c>
      <c r="C770" t="s">
        <v>301</v>
      </c>
      <c r="D770" t="s">
        <v>610</v>
      </c>
      <c r="E770">
        <v>608</v>
      </c>
      <c r="F770">
        <v>21</v>
      </c>
      <c r="G770">
        <v>12768</v>
      </c>
      <c r="H770">
        <v>5.6</v>
      </c>
      <c r="I770" t="s">
        <v>27</v>
      </c>
    </row>
    <row r="771" spans="1:9">
      <c r="A771" t="s">
        <v>611</v>
      </c>
      <c r="B771" t="s">
        <v>301</v>
      </c>
      <c r="C771" t="s">
        <v>301</v>
      </c>
      <c r="D771" t="s">
        <v>612</v>
      </c>
      <c r="E771">
        <v>932</v>
      </c>
      <c r="F771">
        <v>1.33</v>
      </c>
      <c r="G771">
        <v>1239.56</v>
      </c>
      <c r="H771">
        <v>0.54</v>
      </c>
      <c r="I771" t="s">
        <v>27</v>
      </c>
    </row>
    <row r="772" spans="1:9">
      <c r="A772" t="s">
        <v>613</v>
      </c>
      <c r="B772" t="s">
        <v>301</v>
      </c>
      <c r="C772" t="s">
        <v>301</v>
      </c>
      <c r="D772" t="s">
        <v>1866</v>
      </c>
      <c r="E772">
        <v>1439</v>
      </c>
      <c r="F772">
        <v>0</v>
      </c>
      <c r="G772">
        <v>0</v>
      </c>
      <c r="H772">
        <v>0</v>
      </c>
      <c r="I772" t="s">
        <v>27</v>
      </c>
    </row>
    <row r="773" spans="1:9">
      <c r="A773" t="s">
        <v>615</v>
      </c>
      <c r="B773" t="s">
        <v>301</v>
      </c>
      <c r="C773" t="s">
        <v>301</v>
      </c>
      <c r="D773" t="s">
        <v>616</v>
      </c>
      <c r="E773">
        <v>1105</v>
      </c>
      <c r="F773">
        <v>0</v>
      </c>
      <c r="G773">
        <v>0</v>
      </c>
      <c r="H773">
        <v>0</v>
      </c>
      <c r="I773" t="s">
        <v>27</v>
      </c>
    </row>
    <row r="774" spans="1:9">
      <c r="D774" t="s">
        <v>617</v>
      </c>
      <c r="E774">
        <v>0</v>
      </c>
      <c r="F774">
        <v>0</v>
      </c>
      <c r="G774">
        <v>44657.56</v>
      </c>
      <c r="H774">
        <v>19.59</v>
      </c>
    </row>
    <row r="775" spans="1:9">
      <c r="A775" t="s">
        <v>302</v>
      </c>
      <c r="B775" t="s">
        <v>301</v>
      </c>
      <c r="C775" t="s">
        <v>301</v>
      </c>
      <c r="D775" t="s">
        <v>618</v>
      </c>
      <c r="E775">
        <v>0</v>
      </c>
      <c r="F775">
        <v>0</v>
      </c>
      <c r="G775">
        <v>0</v>
      </c>
      <c r="H775">
        <v>0</v>
      </c>
    </row>
    <row r="776" spans="1:9">
      <c r="A776">
        <v>11.1</v>
      </c>
      <c r="B776" t="s">
        <v>301</v>
      </c>
      <c r="C776" t="s">
        <v>301</v>
      </c>
      <c r="D776" t="s">
        <v>1867</v>
      </c>
      <c r="E776">
        <v>0</v>
      </c>
      <c r="F776">
        <v>0</v>
      </c>
      <c r="G776">
        <v>0</v>
      </c>
      <c r="H776">
        <v>0</v>
      </c>
    </row>
    <row r="777" spans="1:9">
      <c r="A777" t="s">
        <v>619</v>
      </c>
      <c r="B777" t="s">
        <v>301</v>
      </c>
      <c r="C777" t="s">
        <v>301</v>
      </c>
      <c r="D777" t="s">
        <v>620</v>
      </c>
      <c r="E777">
        <v>854</v>
      </c>
      <c r="F777">
        <v>6</v>
      </c>
      <c r="G777">
        <v>5124</v>
      </c>
      <c r="H777">
        <v>2.25</v>
      </c>
      <c r="I777" t="s">
        <v>621</v>
      </c>
    </row>
    <row r="778" spans="1:9">
      <c r="A778" t="s">
        <v>622</v>
      </c>
      <c r="B778" t="s">
        <v>301</v>
      </c>
      <c r="C778" t="s">
        <v>301</v>
      </c>
      <c r="D778" t="s">
        <v>623</v>
      </c>
      <c r="E778">
        <v>1340</v>
      </c>
      <c r="F778">
        <v>4</v>
      </c>
      <c r="G778">
        <v>5360</v>
      </c>
      <c r="H778">
        <v>2.35</v>
      </c>
      <c r="I778" t="s">
        <v>621</v>
      </c>
    </row>
    <row r="779" spans="1:9">
      <c r="A779" t="s">
        <v>624</v>
      </c>
      <c r="B779" t="s">
        <v>301</v>
      </c>
      <c r="C779" t="s">
        <v>301</v>
      </c>
      <c r="D779" t="s">
        <v>625</v>
      </c>
      <c r="E779">
        <v>2045</v>
      </c>
      <c r="F779">
        <v>2</v>
      </c>
      <c r="G779">
        <v>4090</v>
      </c>
      <c r="H779">
        <v>1.79</v>
      </c>
      <c r="I779" t="s">
        <v>621</v>
      </c>
    </row>
    <row r="780" spans="1:9">
      <c r="A780" t="s">
        <v>626</v>
      </c>
      <c r="B780" t="s">
        <v>301</v>
      </c>
      <c r="C780" t="s">
        <v>301</v>
      </c>
      <c r="D780" t="s">
        <v>627</v>
      </c>
      <c r="E780">
        <v>2733</v>
      </c>
      <c r="F780">
        <v>4</v>
      </c>
      <c r="G780">
        <v>10932</v>
      </c>
      <c r="H780">
        <v>4.79</v>
      </c>
      <c r="I780" t="s">
        <v>621</v>
      </c>
    </row>
    <row r="781" spans="1:9">
      <c r="A781">
        <v>11.2</v>
      </c>
      <c r="B781" t="s">
        <v>301</v>
      </c>
      <c r="C781" t="s">
        <v>301</v>
      </c>
      <c r="D781" t="s">
        <v>1868</v>
      </c>
      <c r="E781">
        <v>0</v>
      </c>
      <c r="F781">
        <v>0</v>
      </c>
      <c r="G781">
        <v>0</v>
      </c>
      <c r="H781">
        <v>0</v>
      </c>
    </row>
    <row r="782" spans="1:9">
      <c r="A782" t="s">
        <v>628</v>
      </c>
      <c r="B782" t="s">
        <v>301</v>
      </c>
      <c r="C782" t="s">
        <v>301</v>
      </c>
      <c r="D782" t="s">
        <v>623</v>
      </c>
      <c r="E782">
        <v>1340</v>
      </c>
      <c r="F782">
        <v>7</v>
      </c>
      <c r="G782">
        <v>9380</v>
      </c>
      <c r="H782">
        <v>4.1100000000000003</v>
      </c>
      <c r="I782" t="s">
        <v>621</v>
      </c>
    </row>
    <row r="783" spans="1:9">
      <c r="A783" t="s">
        <v>629</v>
      </c>
      <c r="B783" t="s">
        <v>301</v>
      </c>
      <c r="C783" t="s">
        <v>301</v>
      </c>
      <c r="D783" t="s">
        <v>625</v>
      </c>
      <c r="E783">
        <v>2030</v>
      </c>
      <c r="F783">
        <v>0</v>
      </c>
      <c r="G783">
        <v>0</v>
      </c>
      <c r="H783">
        <v>0</v>
      </c>
      <c r="I783" t="s">
        <v>621</v>
      </c>
    </row>
    <row r="784" spans="1:9">
      <c r="A784" t="s">
        <v>630</v>
      </c>
      <c r="B784" t="s">
        <v>301</v>
      </c>
      <c r="C784" t="s">
        <v>301</v>
      </c>
      <c r="D784" t="s">
        <v>627</v>
      </c>
      <c r="E784">
        <v>2690</v>
      </c>
      <c r="F784">
        <v>6</v>
      </c>
      <c r="G784">
        <v>16140</v>
      </c>
      <c r="H784">
        <v>7.08</v>
      </c>
      <c r="I784" t="s">
        <v>621</v>
      </c>
    </row>
    <row r="785" spans="1:9">
      <c r="A785" t="s">
        <v>631</v>
      </c>
      <c r="B785" t="s">
        <v>301</v>
      </c>
      <c r="C785" t="s">
        <v>301</v>
      </c>
      <c r="D785" t="s">
        <v>632</v>
      </c>
      <c r="E785">
        <v>1528</v>
      </c>
      <c r="F785">
        <v>0</v>
      </c>
      <c r="G785">
        <v>0</v>
      </c>
      <c r="H785">
        <v>0</v>
      </c>
      <c r="I785" t="s">
        <v>621</v>
      </c>
    </row>
    <row r="786" spans="1:9">
      <c r="A786" t="s">
        <v>633</v>
      </c>
      <c r="B786" t="s">
        <v>301</v>
      </c>
      <c r="C786" t="s">
        <v>301</v>
      </c>
      <c r="D786" t="s">
        <v>634</v>
      </c>
      <c r="E786">
        <v>2400</v>
      </c>
      <c r="F786">
        <v>0</v>
      </c>
      <c r="G786">
        <v>0</v>
      </c>
      <c r="H786">
        <v>0</v>
      </c>
      <c r="I786" t="s">
        <v>621</v>
      </c>
    </row>
    <row r="787" spans="1:9">
      <c r="A787" t="s">
        <v>635</v>
      </c>
      <c r="B787" t="s">
        <v>301</v>
      </c>
      <c r="C787" t="s">
        <v>301</v>
      </c>
      <c r="D787" t="s">
        <v>636</v>
      </c>
      <c r="E787">
        <v>3034</v>
      </c>
      <c r="F787">
        <v>0</v>
      </c>
      <c r="G787">
        <v>0</v>
      </c>
      <c r="H787">
        <v>0</v>
      </c>
      <c r="I787" t="s">
        <v>621</v>
      </c>
    </row>
    <row r="788" spans="1:9">
      <c r="A788" t="s">
        <v>637</v>
      </c>
      <c r="B788" t="s">
        <v>301</v>
      </c>
      <c r="C788" t="s">
        <v>301</v>
      </c>
      <c r="D788" t="s">
        <v>638</v>
      </c>
      <c r="E788">
        <v>2284</v>
      </c>
      <c r="F788">
        <v>0</v>
      </c>
      <c r="G788">
        <v>0</v>
      </c>
      <c r="H788">
        <v>0</v>
      </c>
      <c r="I788" t="s">
        <v>621</v>
      </c>
    </row>
    <row r="789" spans="1:9">
      <c r="A789" t="s">
        <v>639</v>
      </c>
      <c r="B789" t="s">
        <v>301</v>
      </c>
      <c r="C789" t="s">
        <v>301</v>
      </c>
      <c r="D789" t="s">
        <v>640</v>
      </c>
      <c r="E789">
        <v>3279</v>
      </c>
      <c r="F789">
        <v>0</v>
      </c>
      <c r="G789">
        <v>0</v>
      </c>
      <c r="H789">
        <v>0</v>
      </c>
      <c r="I789" t="s">
        <v>621</v>
      </c>
    </row>
    <row r="790" spans="1:9">
      <c r="A790" t="s">
        <v>641</v>
      </c>
      <c r="B790" t="s">
        <v>301</v>
      </c>
      <c r="C790" t="s">
        <v>301</v>
      </c>
      <c r="D790" t="s">
        <v>642</v>
      </c>
      <c r="E790">
        <v>4979</v>
      </c>
      <c r="F790">
        <v>0</v>
      </c>
      <c r="G790">
        <v>0</v>
      </c>
      <c r="H790">
        <v>0</v>
      </c>
      <c r="I790" t="s">
        <v>621</v>
      </c>
    </row>
    <row r="791" spans="1:9">
      <c r="A791">
        <v>11.3</v>
      </c>
      <c r="B791" t="s">
        <v>301</v>
      </c>
      <c r="C791" t="s">
        <v>301</v>
      </c>
      <c r="D791" t="s">
        <v>1869</v>
      </c>
      <c r="E791">
        <v>0</v>
      </c>
      <c r="F791">
        <v>0</v>
      </c>
      <c r="G791">
        <v>0</v>
      </c>
      <c r="H791">
        <v>0</v>
      </c>
    </row>
    <row r="792" spans="1:9">
      <c r="A792" t="s">
        <v>643</v>
      </c>
      <c r="B792" t="s">
        <v>301</v>
      </c>
      <c r="C792" t="s">
        <v>301</v>
      </c>
      <c r="D792" t="s">
        <v>644</v>
      </c>
      <c r="E792">
        <v>1093</v>
      </c>
      <c r="F792">
        <v>3</v>
      </c>
      <c r="G792">
        <v>3279</v>
      </c>
      <c r="H792">
        <v>1.44</v>
      </c>
      <c r="I792" t="s">
        <v>621</v>
      </c>
    </row>
    <row r="793" spans="1:9">
      <c r="A793" t="s">
        <v>645</v>
      </c>
      <c r="B793" t="s">
        <v>301</v>
      </c>
      <c r="C793" t="s">
        <v>301</v>
      </c>
      <c r="D793" t="s">
        <v>646</v>
      </c>
      <c r="E793">
        <v>1622</v>
      </c>
      <c r="F793">
        <v>2</v>
      </c>
      <c r="G793">
        <v>3244</v>
      </c>
      <c r="H793">
        <v>1.42</v>
      </c>
      <c r="I793" t="s">
        <v>621</v>
      </c>
    </row>
    <row r="794" spans="1:9">
      <c r="A794" t="s">
        <v>647</v>
      </c>
      <c r="B794" t="s">
        <v>301</v>
      </c>
      <c r="C794" t="s">
        <v>301</v>
      </c>
      <c r="D794" t="s">
        <v>648</v>
      </c>
      <c r="E794">
        <v>2509</v>
      </c>
      <c r="F794">
        <v>4</v>
      </c>
      <c r="G794">
        <v>10036</v>
      </c>
      <c r="H794">
        <v>4.4000000000000004</v>
      </c>
      <c r="I794" t="s">
        <v>621</v>
      </c>
    </row>
    <row r="795" spans="1:9">
      <c r="A795" t="s">
        <v>649</v>
      </c>
      <c r="B795" t="s">
        <v>301</v>
      </c>
      <c r="C795" t="s">
        <v>301</v>
      </c>
      <c r="D795" t="s">
        <v>650</v>
      </c>
      <c r="E795">
        <v>3276</v>
      </c>
      <c r="F795">
        <v>6</v>
      </c>
      <c r="G795">
        <v>19656</v>
      </c>
      <c r="H795">
        <v>8.6199999999999992</v>
      </c>
      <c r="I795" t="s">
        <v>621</v>
      </c>
    </row>
    <row r="796" spans="1:9">
      <c r="D796" t="s">
        <v>651</v>
      </c>
      <c r="E796">
        <v>0</v>
      </c>
      <c r="F796">
        <v>0</v>
      </c>
      <c r="G796">
        <v>87241</v>
      </c>
      <c r="H796">
        <v>38.26</v>
      </c>
    </row>
    <row r="797" spans="1:9">
      <c r="A797" t="s">
        <v>302</v>
      </c>
      <c r="B797" t="s">
        <v>301</v>
      </c>
      <c r="C797" t="s">
        <v>301</v>
      </c>
      <c r="D797" t="s">
        <v>652</v>
      </c>
      <c r="E797">
        <v>0</v>
      </c>
      <c r="F797">
        <v>0</v>
      </c>
      <c r="G797">
        <v>0</v>
      </c>
      <c r="H797">
        <v>0</v>
      </c>
    </row>
    <row r="798" spans="1:9">
      <c r="A798">
        <v>12.1</v>
      </c>
      <c r="B798" t="s">
        <v>301</v>
      </c>
      <c r="C798" t="s">
        <v>301</v>
      </c>
      <c r="D798" t="s">
        <v>653</v>
      </c>
      <c r="E798">
        <v>0</v>
      </c>
      <c r="F798">
        <v>0</v>
      </c>
      <c r="G798">
        <v>0</v>
      </c>
      <c r="H798">
        <v>0</v>
      </c>
    </row>
    <row r="799" spans="1:9">
      <c r="D799" t="s">
        <v>654</v>
      </c>
      <c r="E799">
        <v>0</v>
      </c>
      <c r="F799">
        <v>0</v>
      </c>
      <c r="G799">
        <v>0</v>
      </c>
      <c r="H799">
        <v>0</v>
      </c>
    </row>
    <row r="800" spans="1:9">
      <c r="A800" t="s">
        <v>655</v>
      </c>
      <c r="B800" t="s">
        <v>301</v>
      </c>
      <c r="C800" t="s">
        <v>301</v>
      </c>
      <c r="D800" t="s">
        <v>656</v>
      </c>
      <c r="E800">
        <v>0</v>
      </c>
      <c r="F800">
        <v>0</v>
      </c>
      <c r="G800">
        <v>0</v>
      </c>
      <c r="H800">
        <v>0</v>
      </c>
    </row>
    <row r="801" spans="1:9">
      <c r="D801" t="s">
        <v>657</v>
      </c>
      <c r="E801">
        <v>0</v>
      </c>
      <c r="F801">
        <v>0</v>
      </c>
      <c r="G801">
        <v>0</v>
      </c>
      <c r="H801">
        <v>0</v>
      </c>
    </row>
    <row r="802" spans="1:9">
      <c r="A802" t="s">
        <v>16</v>
      </c>
      <c r="B802" t="s">
        <v>301</v>
      </c>
      <c r="C802" t="s">
        <v>301</v>
      </c>
      <c r="D802" t="s">
        <v>658</v>
      </c>
      <c r="E802">
        <v>2118</v>
      </c>
      <c r="F802">
        <v>34</v>
      </c>
      <c r="G802">
        <v>72012</v>
      </c>
      <c r="H802">
        <v>31.58</v>
      </c>
      <c r="I802" t="s">
        <v>522</v>
      </c>
    </row>
    <row r="803" spans="1:9">
      <c r="A803" t="s">
        <v>19</v>
      </c>
      <c r="B803" t="s">
        <v>1914</v>
      </c>
      <c r="C803" t="s">
        <v>1739</v>
      </c>
      <c r="D803" t="s">
        <v>659</v>
      </c>
      <c r="E803">
        <v>2118</v>
      </c>
      <c r="F803">
        <v>0</v>
      </c>
      <c r="G803">
        <v>0</v>
      </c>
      <c r="H803">
        <v>0</v>
      </c>
      <c r="I803" t="s">
        <v>522</v>
      </c>
    </row>
    <row r="804" spans="1:9">
      <c r="A804" t="s">
        <v>21</v>
      </c>
      <c r="B804" t="s">
        <v>149</v>
      </c>
      <c r="C804" t="s">
        <v>148</v>
      </c>
      <c r="D804" t="s">
        <v>660</v>
      </c>
      <c r="E804">
        <v>2118</v>
      </c>
      <c r="F804">
        <v>0</v>
      </c>
      <c r="G804">
        <v>0</v>
      </c>
      <c r="H804">
        <v>0</v>
      </c>
      <c r="I804" t="s">
        <v>522</v>
      </c>
    </row>
    <row r="805" spans="1:9">
      <c r="A805" t="s">
        <v>661</v>
      </c>
      <c r="B805" t="s">
        <v>149</v>
      </c>
      <c r="C805" t="s">
        <v>148</v>
      </c>
      <c r="D805" t="s">
        <v>662</v>
      </c>
      <c r="E805">
        <v>0</v>
      </c>
      <c r="F805">
        <v>0</v>
      </c>
      <c r="G805">
        <v>0</v>
      </c>
      <c r="H805">
        <v>0</v>
      </c>
    </row>
    <row r="806" spans="1:9">
      <c r="D806" t="s">
        <v>657</v>
      </c>
      <c r="E806">
        <v>0</v>
      </c>
      <c r="F806">
        <v>0</v>
      </c>
      <c r="G806">
        <v>0</v>
      </c>
      <c r="H806">
        <v>0</v>
      </c>
    </row>
    <row r="807" spans="1:9">
      <c r="A807" t="s">
        <v>16</v>
      </c>
      <c r="B807" t="s">
        <v>149</v>
      </c>
      <c r="C807" t="s">
        <v>148</v>
      </c>
      <c r="D807" t="s">
        <v>668</v>
      </c>
      <c r="E807">
        <v>922</v>
      </c>
      <c r="F807">
        <v>50</v>
      </c>
      <c r="G807">
        <v>46100</v>
      </c>
      <c r="H807">
        <v>20.22</v>
      </c>
      <c r="I807" t="s">
        <v>522</v>
      </c>
    </row>
    <row r="808" spans="1:9">
      <c r="A808" t="s">
        <v>19</v>
      </c>
      <c r="B808" t="s">
        <v>1914</v>
      </c>
      <c r="C808" t="s">
        <v>1739</v>
      </c>
      <c r="D808" t="s">
        <v>664</v>
      </c>
      <c r="E808">
        <v>833</v>
      </c>
      <c r="F808">
        <v>0</v>
      </c>
      <c r="G808">
        <v>0</v>
      </c>
      <c r="H808">
        <v>0</v>
      </c>
      <c r="I808" t="s">
        <v>522</v>
      </c>
    </row>
    <row r="809" spans="1:9">
      <c r="A809" t="s">
        <v>21</v>
      </c>
      <c r="B809" t="s">
        <v>149</v>
      </c>
      <c r="C809" t="s">
        <v>148</v>
      </c>
      <c r="D809" t="s">
        <v>665</v>
      </c>
      <c r="E809">
        <v>715</v>
      </c>
      <c r="F809">
        <v>0</v>
      </c>
      <c r="G809">
        <v>0</v>
      </c>
      <c r="H809">
        <v>0</v>
      </c>
      <c r="I809" t="s">
        <v>522</v>
      </c>
    </row>
    <row r="810" spans="1:9">
      <c r="A810" t="s">
        <v>666</v>
      </c>
      <c r="B810" t="s">
        <v>149</v>
      </c>
      <c r="C810" t="s">
        <v>148</v>
      </c>
      <c r="D810" t="s">
        <v>667</v>
      </c>
      <c r="E810">
        <v>0</v>
      </c>
      <c r="F810">
        <v>0</v>
      </c>
      <c r="G810">
        <v>0</v>
      </c>
      <c r="H810">
        <v>0</v>
      </c>
    </row>
    <row r="811" spans="1:9">
      <c r="D811" t="s">
        <v>657</v>
      </c>
      <c r="E811">
        <v>0</v>
      </c>
      <c r="F811">
        <v>0</v>
      </c>
      <c r="G811">
        <v>0</v>
      </c>
      <c r="H811">
        <v>0</v>
      </c>
    </row>
    <row r="812" spans="1:9">
      <c r="A812" t="s">
        <v>16</v>
      </c>
      <c r="B812" t="s">
        <v>149</v>
      </c>
      <c r="C812" t="s">
        <v>148</v>
      </c>
      <c r="D812" t="s">
        <v>668</v>
      </c>
      <c r="E812">
        <v>922</v>
      </c>
      <c r="F812">
        <v>0</v>
      </c>
      <c r="G812">
        <v>0</v>
      </c>
      <c r="H812">
        <v>0</v>
      </c>
      <c r="I812" t="s">
        <v>522</v>
      </c>
    </row>
    <row r="813" spans="1:9">
      <c r="A813" t="s">
        <v>19</v>
      </c>
      <c r="B813" t="s">
        <v>1914</v>
      </c>
      <c r="C813" t="s">
        <v>1739</v>
      </c>
      <c r="D813" t="s">
        <v>664</v>
      </c>
      <c r="E813">
        <v>833</v>
      </c>
      <c r="F813">
        <v>0</v>
      </c>
      <c r="G813">
        <v>0</v>
      </c>
      <c r="H813">
        <v>0</v>
      </c>
      <c r="I813" t="s">
        <v>522</v>
      </c>
    </row>
    <row r="814" spans="1:9">
      <c r="A814" t="s">
        <v>21</v>
      </c>
      <c r="B814" t="s">
        <v>149</v>
      </c>
      <c r="C814" t="s">
        <v>148</v>
      </c>
      <c r="D814" t="s">
        <v>665</v>
      </c>
      <c r="E814">
        <v>717</v>
      </c>
      <c r="F814">
        <v>0</v>
      </c>
      <c r="G814">
        <v>0</v>
      </c>
      <c r="H814">
        <v>0</v>
      </c>
      <c r="I814" t="s">
        <v>522</v>
      </c>
    </row>
    <row r="815" spans="1:9">
      <c r="A815" t="s">
        <v>671</v>
      </c>
      <c r="B815" t="s">
        <v>149</v>
      </c>
      <c r="C815" t="s">
        <v>148</v>
      </c>
      <c r="D815" t="s">
        <v>672</v>
      </c>
      <c r="E815">
        <v>0</v>
      </c>
      <c r="F815">
        <v>0</v>
      </c>
      <c r="G815">
        <v>0</v>
      </c>
      <c r="H815">
        <v>0</v>
      </c>
    </row>
    <row r="816" spans="1:9">
      <c r="D816" t="s">
        <v>657</v>
      </c>
      <c r="E816">
        <v>0</v>
      </c>
      <c r="F816">
        <v>0</v>
      </c>
      <c r="G816">
        <v>0</v>
      </c>
      <c r="H816">
        <v>0</v>
      </c>
    </row>
    <row r="817" spans="1:9">
      <c r="A817" t="s">
        <v>16</v>
      </c>
      <c r="B817" t="s">
        <v>149</v>
      </c>
      <c r="C817" t="s">
        <v>148</v>
      </c>
      <c r="D817" t="s">
        <v>1870</v>
      </c>
      <c r="E817">
        <v>3841</v>
      </c>
      <c r="F817">
        <v>0</v>
      </c>
      <c r="G817">
        <v>0</v>
      </c>
      <c r="H817">
        <v>0</v>
      </c>
      <c r="I817" t="s">
        <v>522</v>
      </c>
    </row>
    <row r="818" spans="1:9">
      <c r="A818" t="s">
        <v>674</v>
      </c>
      <c r="B818" t="s">
        <v>149</v>
      </c>
      <c r="C818" t="s">
        <v>148</v>
      </c>
      <c r="D818" t="s">
        <v>675</v>
      </c>
      <c r="E818">
        <v>0</v>
      </c>
      <c r="F818">
        <v>0</v>
      </c>
      <c r="G818">
        <v>0</v>
      </c>
      <c r="H818">
        <v>0</v>
      </c>
    </row>
    <row r="819" spans="1:9">
      <c r="D819" t="s">
        <v>657</v>
      </c>
      <c r="E819">
        <v>0</v>
      </c>
      <c r="F819">
        <v>0</v>
      </c>
      <c r="G819">
        <v>0</v>
      </c>
      <c r="H819">
        <v>0</v>
      </c>
    </row>
    <row r="820" spans="1:9">
      <c r="A820" t="s">
        <v>16</v>
      </c>
      <c r="B820" t="s">
        <v>149</v>
      </c>
      <c r="C820" t="s">
        <v>148</v>
      </c>
      <c r="D820" t="s">
        <v>1870</v>
      </c>
      <c r="E820">
        <v>4258</v>
      </c>
      <c r="F820">
        <v>0</v>
      </c>
      <c r="G820">
        <v>0</v>
      </c>
      <c r="H820">
        <v>0</v>
      </c>
      <c r="I820" t="s">
        <v>522</v>
      </c>
    </row>
    <row r="821" spans="1:9">
      <c r="A821" t="s">
        <v>676</v>
      </c>
      <c r="B821" t="s">
        <v>149</v>
      </c>
      <c r="C821" t="s">
        <v>148</v>
      </c>
      <c r="D821" t="s">
        <v>677</v>
      </c>
      <c r="E821">
        <v>0</v>
      </c>
      <c r="F821">
        <v>0</v>
      </c>
      <c r="G821">
        <v>0</v>
      </c>
      <c r="H821">
        <v>0</v>
      </c>
    </row>
    <row r="822" spans="1:9">
      <c r="D822" t="s">
        <v>678</v>
      </c>
      <c r="E822">
        <v>0</v>
      </c>
      <c r="F822">
        <v>0</v>
      </c>
      <c r="G822">
        <v>0</v>
      </c>
      <c r="H822">
        <v>0</v>
      </c>
    </row>
    <row r="823" spans="1:9">
      <c r="A823" t="s">
        <v>16</v>
      </c>
      <c r="B823" t="s">
        <v>149</v>
      </c>
      <c r="C823" t="s">
        <v>148</v>
      </c>
      <c r="D823" t="s">
        <v>1871</v>
      </c>
      <c r="E823">
        <v>466</v>
      </c>
      <c r="F823">
        <v>0</v>
      </c>
      <c r="G823">
        <v>0</v>
      </c>
      <c r="H823">
        <v>0</v>
      </c>
      <c r="I823" t="s">
        <v>522</v>
      </c>
    </row>
    <row r="824" spans="1:9">
      <c r="A824" t="s">
        <v>19</v>
      </c>
      <c r="B824" t="s">
        <v>1914</v>
      </c>
      <c r="C824" t="s">
        <v>1739</v>
      </c>
      <c r="D824" t="s">
        <v>681</v>
      </c>
      <c r="E824">
        <v>542</v>
      </c>
      <c r="F824">
        <v>0</v>
      </c>
      <c r="G824">
        <v>0</v>
      </c>
      <c r="H824">
        <v>0</v>
      </c>
      <c r="I824" t="s">
        <v>522</v>
      </c>
    </row>
    <row r="825" spans="1:9">
      <c r="D825" t="s">
        <v>657</v>
      </c>
      <c r="E825">
        <v>0</v>
      </c>
      <c r="F825">
        <v>0</v>
      </c>
      <c r="G825">
        <v>0</v>
      </c>
      <c r="H825">
        <v>0</v>
      </c>
    </row>
    <row r="826" spans="1:9">
      <c r="A826" t="s">
        <v>21</v>
      </c>
      <c r="B826" t="s">
        <v>149</v>
      </c>
      <c r="C826" t="s">
        <v>148</v>
      </c>
      <c r="D826" t="s">
        <v>1871</v>
      </c>
      <c r="E826">
        <v>466</v>
      </c>
      <c r="F826">
        <v>0</v>
      </c>
      <c r="G826">
        <v>0</v>
      </c>
      <c r="H826">
        <v>0</v>
      </c>
      <c r="I826" t="s">
        <v>522</v>
      </c>
    </row>
    <row r="827" spans="1:9">
      <c r="A827" t="s">
        <v>23</v>
      </c>
      <c r="B827" t="s">
        <v>6</v>
      </c>
      <c r="C827" t="s">
        <v>6</v>
      </c>
      <c r="D827" t="s">
        <v>681</v>
      </c>
      <c r="E827">
        <v>527</v>
      </c>
      <c r="F827">
        <v>0</v>
      </c>
      <c r="G827">
        <v>0</v>
      </c>
      <c r="H827">
        <v>0</v>
      </c>
      <c r="I827" t="s">
        <v>522</v>
      </c>
    </row>
    <row r="828" spans="1:9">
      <c r="A828" t="s">
        <v>682</v>
      </c>
      <c r="B828" t="s">
        <v>6</v>
      </c>
      <c r="C828" t="s">
        <v>6</v>
      </c>
      <c r="D828" t="s">
        <v>683</v>
      </c>
      <c r="E828">
        <v>0</v>
      </c>
      <c r="F828">
        <v>0</v>
      </c>
      <c r="G828">
        <v>0</v>
      </c>
      <c r="H828">
        <v>0</v>
      </c>
    </row>
    <row r="829" spans="1:9">
      <c r="D829" t="s">
        <v>657</v>
      </c>
      <c r="E829">
        <v>0</v>
      </c>
      <c r="F829">
        <v>0</v>
      </c>
      <c r="G829">
        <v>0</v>
      </c>
      <c r="H829">
        <v>0</v>
      </c>
    </row>
    <row r="830" spans="1:9">
      <c r="A830" t="s">
        <v>16</v>
      </c>
      <c r="B830" t="s">
        <v>6</v>
      </c>
      <c r="C830" t="s">
        <v>6</v>
      </c>
      <c r="D830" t="s">
        <v>668</v>
      </c>
      <c r="E830">
        <v>988</v>
      </c>
      <c r="F830">
        <v>0</v>
      </c>
      <c r="G830">
        <v>0</v>
      </c>
      <c r="H830">
        <v>0</v>
      </c>
      <c r="I830" t="s">
        <v>522</v>
      </c>
    </row>
    <row r="831" spans="1:9">
      <c r="A831" t="s">
        <v>19</v>
      </c>
      <c r="B831" t="s">
        <v>1914</v>
      </c>
      <c r="C831" t="s">
        <v>1739</v>
      </c>
      <c r="D831" t="s">
        <v>664</v>
      </c>
      <c r="E831">
        <v>876</v>
      </c>
      <c r="F831">
        <v>0</v>
      </c>
      <c r="G831">
        <v>0</v>
      </c>
      <c r="H831">
        <v>0</v>
      </c>
      <c r="I831" t="s">
        <v>522</v>
      </c>
    </row>
    <row r="832" spans="1:9">
      <c r="A832" t="s">
        <v>21</v>
      </c>
      <c r="B832" t="s">
        <v>149</v>
      </c>
      <c r="C832" t="s">
        <v>148</v>
      </c>
      <c r="D832" t="s">
        <v>665</v>
      </c>
      <c r="E832">
        <v>716</v>
      </c>
      <c r="F832">
        <v>0</v>
      </c>
      <c r="G832">
        <v>0</v>
      </c>
      <c r="H832">
        <v>0</v>
      </c>
      <c r="I832" t="s">
        <v>522</v>
      </c>
    </row>
    <row r="833" spans="1:9">
      <c r="A833" t="s">
        <v>684</v>
      </c>
      <c r="B833" t="s">
        <v>149</v>
      </c>
      <c r="C833" t="s">
        <v>148</v>
      </c>
      <c r="D833" t="s">
        <v>1872</v>
      </c>
      <c r="E833">
        <v>2002</v>
      </c>
      <c r="F833">
        <v>3</v>
      </c>
      <c r="G833">
        <v>6006</v>
      </c>
      <c r="H833">
        <v>2.63</v>
      </c>
      <c r="I833" t="s">
        <v>522</v>
      </c>
    </row>
    <row r="834" spans="1:9">
      <c r="A834" t="s">
        <v>685</v>
      </c>
      <c r="B834" t="s">
        <v>149</v>
      </c>
      <c r="C834" t="s">
        <v>148</v>
      </c>
      <c r="D834" t="s">
        <v>1873</v>
      </c>
      <c r="E834">
        <v>2034</v>
      </c>
      <c r="F834">
        <v>0</v>
      </c>
      <c r="G834">
        <v>0</v>
      </c>
      <c r="H834">
        <v>0</v>
      </c>
      <c r="I834" t="s">
        <v>522</v>
      </c>
    </row>
    <row r="835" spans="1:9">
      <c r="A835" t="s">
        <v>686</v>
      </c>
      <c r="B835" t="s">
        <v>149</v>
      </c>
      <c r="C835" t="s">
        <v>148</v>
      </c>
      <c r="D835" t="s">
        <v>687</v>
      </c>
      <c r="E835">
        <v>2449</v>
      </c>
      <c r="F835">
        <v>4</v>
      </c>
      <c r="G835">
        <v>9796</v>
      </c>
      <c r="H835">
        <v>4.3</v>
      </c>
      <c r="I835" t="s">
        <v>522</v>
      </c>
    </row>
    <row r="836" spans="1:9">
      <c r="A836" t="s">
        <v>688</v>
      </c>
      <c r="B836" t="s">
        <v>149</v>
      </c>
      <c r="C836" t="s">
        <v>148</v>
      </c>
      <c r="D836" t="s">
        <v>689</v>
      </c>
      <c r="E836">
        <v>2836</v>
      </c>
      <c r="F836">
        <v>2</v>
      </c>
      <c r="G836">
        <v>5672</v>
      </c>
      <c r="H836">
        <v>2.4900000000000002</v>
      </c>
      <c r="I836" t="s">
        <v>522</v>
      </c>
    </row>
    <row r="837" spans="1:9">
      <c r="D837" t="s">
        <v>690</v>
      </c>
      <c r="E837">
        <v>0</v>
      </c>
      <c r="F837">
        <v>0</v>
      </c>
      <c r="G837">
        <v>139586</v>
      </c>
      <c r="H837">
        <v>61.22</v>
      </c>
    </row>
    <row r="838" spans="1:9">
      <c r="A838" t="s">
        <v>302</v>
      </c>
      <c r="B838" t="s">
        <v>149</v>
      </c>
      <c r="C838" t="s">
        <v>148</v>
      </c>
      <c r="D838" t="s">
        <v>691</v>
      </c>
      <c r="E838">
        <v>0</v>
      </c>
      <c r="F838">
        <v>0</v>
      </c>
      <c r="G838">
        <v>0</v>
      </c>
      <c r="H838">
        <v>0</v>
      </c>
    </row>
    <row r="839" spans="1:9" ht="409.6">
      <c r="A839">
        <v>13.1</v>
      </c>
      <c r="B839" t="s">
        <v>149</v>
      </c>
      <c r="C839" t="s">
        <v>148</v>
      </c>
      <c r="D839" s="518" t="s">
        <v>692</v>
      </c>
      <c r="E839">
        <v>0</v>
      </c>
      <c r="F839">
        <v>0</v>
      </c>
      <c r="G839">
        <v>0</v>
      </c>
      <c r="H839">
        <v>0</v>
      </c>
    </row>
    <row r="840" spans="1:9">
      <c r="A840" t="s">
        <v>693</v>
      </c>
      <c r="B840" t="s">
        <v>149</v>
      </c>
      <c r="C840" t="s">
        <v>148</v>
      </c>
      <c r="D840" t="s">
        <v>694</v>
      </c>
      <c r="E840">
        <v>305</v>
      </c>
      <c r="F840">
        <v>0</v>
      </c>
      <c r="G840">
        <v>0</v>
      </c>
      <c r="H840">
        <v>0</v>
      </c>
      <c r="I840" t="s">
        <v>482</v>
      </c>
    </row>
    <row r="841" spans="1:9">
      <c r="A841" t="s">
        <v>695</v>
      </c>
      <c r="B841" t="s">
        <v>149</v>
      </c>
      <c r="C841" t="s">
        <v>148</v>
      </c>
      <c r="D841" t="s">
        <v>696</v>
      </c>
      <c r="E841">
        <v>404</v>
      </c>
      <c r="F841">
        <v>0</v>
      </c>
      <c r="G841">
        <v>0</v>
      </c>
      <c r="H841">
        <v>0</v>
      </c>
      <c r="I841" t="s">
        <v>482</v>
      </c>
    </row>
    <row r="842" spans="1:9">
      <c r="A842" t="s">
        <v>697</v>
      </c>
      <c r="B842" t="s">
        <v>149</v>
      </c>
      <c r="C842" t="s">
        <v>148</v>
      </c>
      <c r="D842" t="s">
        <v>698</v>
      </c>
      <c r="E842">
        <v>495</v>
      </c>
      <c r="F842">
        <v>0</v>
      </c>
      <c r="G842">
        <v>0</v>
      </c>
      <c r="H842">
        <v>0</v>
      </c>
      <c r="I842" t="s">
        <v>482</v>
      </c>
    </row>
    <row r="843" spans="1:9">
      <c r="A843" t="s">
        <v>699</v>
      </c>
      <c r="B843" t="s">
        <v>149</v>
      </c>
      <c r="C843" t="s">
        <v>148</v>
      </c>
      <c r="D843" t="s">
        <v>700</v>
      </c>
      <c r="E843">
        <v>572</v>
      </c>
      <c r="F843">
        <v>0</v>
      </c>
      <c r="G843">
        <v>0</v>
      </c>
      <c r="H843">
        <v>0</v>
      </c>
      <c r="I843" t="s">
        <v>482</v>
      </c>
    </row>
    <row r="844" spans="1:9">
      <c r="A844" t="s">
        <v>701</v>
      </c>
      <c r="B844" t="s">
        <v>149</v>
      </c>
      <c r="C844" t="s">
        <v>148</v>
      </c>
      <c r="D844" t="s">
        <v>702</v>
      </c>
      <c r="E844">
        <v>762</v>
      </c>
      <c r="F844">
        <v>0</v>
      </c>
      <c r="G844">
        <v>0</v>
      </c>
      <c r="H844">
        <v>0</v>
      </c>
      <c r="I844" t="s">
        <v>482</v>
      </c>
    </row>
    <row r="845" spans="1:9">
      <c r="A845">
        <v>13.2</v>
      </c>
      <c r="B845" t="s">
        <v>149</v>
      </c>
      <c r="C845" t="s">
        <v>148</v>
      </c>
      <c r="D845" t="s">
        <v>703</v>
      </c>
      <c r="E845">
        <v>0</v>
      </c>
      <c r="F845">
        <v>0</v>
      </c>
      <c r="G845">
        <v>0</v>
      </c>
      <c r="H845">
        <v>0</v>
      </c>
    </row>
    <row r="846" spans="1:9">
      <c r="A846" t="s">
        <v>704</v>
      </c>
      <c r="B846" t="s">
        <v>149</v>
      </c>
      <c r="C846" t="s">
        <v>148</v>
      </c>
      <c r="D846" t="s">
        <v>705</v>
      </c>
      <c r="E846">
        <v>686</v>
      </c>
      <c r="F846">
        <v>0</v>
      </c>
      <c r="G846">
        <v>0</v>
      </c>
      <c r="H846">
        <v>0</v>
      </c>
      <c r="I846" t="s">
        <v>522</v>
      </c>
    </row>
    <row r="847" spans="1:9">
      <c r="A847" t="s">
        <v>706</v>
      </c>
      <c r="B847" t="s">
        <v>149</v>
      </c>
      <c r="C847" t="s">
        <v>148</v>
      </c>
      <c r="D847" t="s">
        <v>707</v>
      </c>
      <c r="E847">
        <v>911</v>
      </c>
      <c r="F847">
        <v>3</v>
      </c>
      <c r="G847">
        <v>2733</v>
      </c>
      <c r="H847">
        <v>1.2</v>
      </c>
      <c r="I847" t="s">
        <v>522</v>
      </c>
    </row>
    <row r="848" spans="1:9">
      <c r="A848" t="s">
        <v>708</v>
      </c>
      <c r="B848" t="s">
        <v>149</v>
      </c>
      <c r="C848" t="s">
        <v>148</v>
      </c>
      <c r="D848" t="s">
        <v>709</v>
      </c>
      <c r="E848">
        <v>1048</v>
      </c>
      <c r="F848">
        <v>2</v>
      </c>
      <c r="G848">
        <v>2096</v>
      </c>
      <c r="H848">
        <v>0.92</v>
      </c>
      <c r="I848" t="s">
        <v>522</v>
      </c>
    </row>
    <row r="849" spans="1:9">
      <c r="A849" t="s">
        <v>710</v>
      </c>
      <c r="B849" t="s">
        <v>149</v>
      </c>
      <c r="C849" t="s">
        <v>148</v>
      </c>
      <c r="D849" t="s">
        <v>711</v>
      </c>
      <c r="E849">
        <v>1144</v>
      </c>
      <c r="F849">
        <v>9</v>
      </c>
      <c r="G849">
        <v>10296</v>
      </c>
      <c r="H849">
        <v>4.5199999999999996</v>
      </c>
      <c r="I849" t="s">
        <v>522</v>
      </c>
    </row>
    <row r="850" spans="1:9">
      <c r="A850">
        <v>13.3</v>
      </c>
      <c r="B850" t="s">
        <v>149</v>
      </c>
      <c r="C850" t="s">
        <v>148</v>
      </c>
      <c r="D850" t="s">
        <v>712</v>
      </c>
      <c r="E850">
        <v>0</v>
      </c>
      <c r="F850">
        <v>0</v>
      </c>
      <c r="G850">
        <v>0</v>
      </c>
      <c r="H850">
        <v>0</v>
      </c>
    </row>
    <row r="851" spans="1:9">
      <c r="A851" t="s">
        <v>713</v>
      </c>
      <c r="B851" t="s">
        <v>149</v>
      </c>
      <c r="C851" t="s">
        <v>148</v>
      </c>
      <c r="D851" t="s">
        <v>714</v>
      </c>
      <c r="E851">
        <v>50</v>
      </c>
      <c r="F851">
        <v>0</v>
      </c>
      <c r="G851">
        <v>0</v>
      </c>
      <c r="H851">
        <v>0</v>
      </c>
      <c r="I851" t="s">
        <v>482</v>
      </c>
    </row>
    <row r="852" spans="1:9">
      <c r="A852" t="s">
        <v>715</v>
      </c>
      <c r="B852" t="s">
        <v>149</v>
      </c>
      <c r="C852" t="s">
        <v>148</v>
      </c>
      <c r="D852" t="s">
        <v>716</v>
      </c>
      <c r="E852">
        <v>55</v>
      </c>
      <c r="F852">
        <v>38</v>
      </c>
      <c r="G852">
        <v>2090</v>
      </c>
      <c r="H852">
        <v>0.92</v>
      </c>
      <c r="I852" t="s">
        <v>482</v>
      </c>
    </row>
    <row r="853" spans="1:9">
      <c r="A853" t="s">
        <v>717</v>
      </c>
      <c r="B853" t="s">
        <v>149</v>
      </c>
      <c r="C853" t="s">
        <v>148</v>
      </c>
      <c r="D853" t="s">
        <v>718</v>
      </c>
      <c r="E853">
        <v>73</v>
      </c>
      <c r="F853">
        <v>210</v>
      </c>
      <c r="G853">
        <v>15330</v>
      </c>
      <c r="H853">
        <v>6.72</v>
      </c>
      <c r="I853" t="s">
        <v>482</v>
      </c>
    </row>
    <row r="854" spans="1:9">
      <c r="A854">
        <v>13.4</v>
      </c>
      <c r="B854" t="s">
        <v>149</v>
      </c>
      <c r="C854" t="s">
        <v>148</v>
      </c>
      <c r="D854" t="s">
        <v>719</v>
      </c>
      <c r="E854">
        <v>0</v>
      </c>
      <c r="F854">
        <v>0</v>
      </c>
      <c r="G854">
        <v>0</v>
      </c>
      <c r="H854">
        <v>0</v>
      </c>
    </row>
    <row r="855" spans="1:9">
      <c r="A855" t="s">
        <v>720</v>
      </c>
      <c r="B855" t="s">
        <v>149</v>
      </c>
      <c r="C855" t="s">
        <v>148</v>
      </c>
      <c r="D855" t="s">
        <v>716</v>
      </c>
      <c r="E855">
        <v>53</v>
      </c>
      <c r="F855">
        <v>10</v>
      </c>
      <c r="G855">
        <v>530</v>
      </c>
      <c r="H855">
        <v>0.23</v>
      </c>
      <c r="I855" t="s">
        <v>482</v>
      </c>
    </row>
    <row r="856" spans="1:9">
      <c r="A856" t="s">
        <v>722</v>
      </c>
      <c r="B856" t="s">
        <v>149</v>
      </c>
      <c r="C856" t="s">
        <v>148</v>
      </c>
      <c r="D856" t="s">
        <v>1874</v>
      </c>
      <c r="E856">
        <v>97</v>
      </c>
      <c r="F856">
        <v>20</v>
      </c>
      <c r="G856">
        <v>1940</v>
      </c>
      <c r="H856">
        <v>0.85</v>
      </c>
      <c r="I856" t="s">
        <v>482</v>
      </c>
    </row>
    <row r="857" spans="1:9">
      <c r="A857">
        <v>13.5</v>
      </c>
      <c r="B857" t="s">
        <v>149</v>
      </c>
      <c r="C857" t="s">
        <v>148</v>
      </c>
      <c r="D857" t="s">
        <v>724</v>
      </c>
      <c r="E857">
        <v>0</v>
      </c>
      <c r="F857">
        <v>0</v>
      </c>
      <c r="G857">
        <v>0</v>
      </c>
      <c r="H857">
        <v>0</v>
      </c>
    </row>
    <row r="858" spans="1:9">
      <c r="A858" t="s">
        <v>725</v>
      </c>
      <c r="B858" t="s">
        <v>149</v>
      </c>
      <c r="C858" t="s">
        <v>148</v>
      </c>
      <c r="D858" t="s">
        <v>1875</v>
      </c>
      <c r="E858">
        <v>861</v>
      </c>
      <c r="F858">
        <v>0</v>
      </c>
      <c r="G858">
        <v>0</v>
      </c>
      <c r="H858">
        <v>0</v>
      </c>
      <c r="I858" t="s">
        <v>727</v>
      </c>
    </row>
    <row r="859" spans="1:9">
      <c r="A859" t="s">
        <v>728</v>
      </c>
      <c r="B859" t="s">
        <v>149</v>
      </c>
      <c r="C859" t="s">
        <v>148</v>
      </c>
      <c r="D859" t="s">
        <v>729</v>
      </c>
      <c r="E859">
        <v>550</v>
      </c>
      <c r="F859">
        <v>0</v>
      </c>
      <c r="G859">
        <v>0</v>
      </c>
      <c r="H859">
        <v>0</v>
      </c>
      <c r="I859" t="s">
        <v>727</v>
      </c>
    </row>
    <row r="860" spans="1:9">
      <c r="A860" t="s">
        <v>730</v>
      </c>
      <c r="B860" t="s">
        <v>149</v>
      </c>
      <c r="C860" t="s">
        <v>148</v>
      </c>
      <c r="D860" t="s">
        <v>731</v>
      </c>
      <c r="E860">
        <v>482</v>
      </c>
      <c r="F860">
        <v>0</v>
      </c>
      <c r="G860">
        <v>0</v>
      </c>
      <c r="H860">
        <v>0</v>
      </c>
      <c r="I860" t="s">
        <v>727</v>
      </c>
    </row>
    <row r="861" spans="1:9">
      <c r="A861">
        <v>13.6</v>
      </c>
      <c r="B861" t="s">
        <v>149</v>
      </c>
      <c r="C861" t="s">
        <v>148</v>
      </c>
      <c r="D861" t="s">
        <v>732</v>
      </c>
      <c r="E861">
        <v>0</v>
      </c>
      <c r="F861">
        <v>0</v>
      </c>
      <c r="G861">
        <v>0</v>
      </c>
      <c r="H861">
        <v>0</v>
      </c>
    </row>
    <row r="862" spans="1:9">
      <c r="A862" t="s">
        <v>733</v>
      </c>
      <c r="B862" t="s">
        <v>149</v>
      </c>
      <c r="C862" t="s">
        <v>148</v>
      </c>
      <c r="D862" t="s">
        <v>716</v>
      </c>
      <c r="E862">
        <v>175</v>
      </c>
      <c r="F862">
        <v>0</v>
      </c>
      <c r="G862">
        <v>0</v>
      </c>
      <c r="H862">
        <v>0</v>
      </c>
      <c r="I862" t="s">
        <v>482</v>
      </c>
    </row>
    <row r="863" spans="1:9">
      <c r="A863" t="s">
        <v>734</v>
      </c>
      <c r="B863" t="s">
        <v>149</v>
      </c>
      <c r="C863" t="s">
        <v>148</v>
      </c>
      <c r="D863" t="s">
        <v>1874</v>
      </c>
      <c r="E863">
        <v>350</v>
      </c>
      <c r="F863">
        <v>0</v>
      </c>
      <c r="G863">
        <v>0</v>
      </c>
      <c r="H863">
        <v>0</v>
      </c>
      <c r="I863" t="s">
        <v>482</v>
      </c>
    </row>
    <row r="864" spans="1:9">
      <c r="D864" t="s">
        <v>735</v>
      </c>
      <c r="E864">
        <v>0</v>
      </c>
      <c r="F864">
        <v>0</v>
      </c>
      <c r="G864">
        <v>35015</v>
      </c>
      <c r="H864">
        <v>15.36</v>
      </c>
    </row>
    <row r="865" spans="1:9">
      <c r="A865" t="s">
        <v>736</v>
      </c>
      <c r="B865" t="s">
        <v>149</v>
      </c>
      <c r="C865" t="s">
        <v>148</v>
      </c>
      <c r="D865" t="s">
        <v>737</v>
      </c>
      <c r="E865">
        <v>0</v>
      </c>
      <c r="F865">
        <v>0</v>
      </c>
      <c r="G865">
        <v>0</v>
      </c>
      <c r="H865">
        <v>0</v>
      </c>
    </row>
    <row r="866" spans="1:9">
      <c r="A866">
        <v>14.1</v>
      </c>
      <c r="B866" t="s">
        <v>149</v>
      </c>
      <c r="C866" t="s">
        <v>148</v>
      </c>
      <c r="D866" t="s">
        <v>1876</v>
      </c>
      <c r="E866">
        <v>6059</v>
      </c>
      <c r="F866">
        <v>0</v>
      </c>
      <c r="G866">
        <v>0</v>
      </c>
      <c r="H866">
        <v>0</v>
      </c>
      <c r="I866" t="s">
        <v>621</v>
      </c>
    </row>
    <row r="867" spans="1:9">
      <c r="D867" t="s">
        <v>738</v>
      </c>
      <c r="E867">
        <v>0</v>
      </c>
      <c r="F867">
        <v>0</v>
      </c>
      <c r="G867">
        <v>0</v>
      </c>
      <c r="H867">
        <v>0</v>
      </c>
    </row>
    <row r="868" spans="1:9">
      <c r="A868" t="s">
        <v>302</v>
      </c>
      <c r="B868" t="s">
        <v>149</v>
      </c>
      <c r="C868" t="s">
        <v>148</v>
      </c>
      <c r="D868" t="s">
        <v>739</v>
      </c>
      <c r="E868">
        <v>0</v>
      </c>
      <c r="F868">
        <v>0</v>
      </c>
      <c r="G868">
        <v>0</v>
      </c>
      <c r="H868">
        <v>0</v>
      </c>
    </row>
    <row r="869" spans="1:9">
      <c r="A869">
        <v>15.1</v>
      </c>
      <c r="B869" t="s">
        <v>149</v>
      </c>
      <c r="C869" t="s">
        <v>148</v>
      </c>
      <c r="D869" t="s">
        <v>740</v>
      </c>
      <c r="E869">
        <v>17034</v>
      </c>
      <c r="F869">
        <v>1</v>
      </c>
      <c r="G869">
        <v>17034</v>
      </c>
      <c r="H869">
        <v>7.47</v>
      </c>
      <c r="I869" t="s">
        <v>741</v>
      </c>
    </row>
    <row r="870" spans="1:9">
      <c r="A870">
        <v>15.2</v>
      </c>
      <c r="B870" t="s">
        <v>149</v>
      </c>
      <c r="C870" t="s">
        <v>148</v>
      </c>
      <c r="D870" t="s">
        <v>1877</v>
      </c>
      <c r="E870">
        <v>0</v>
      </c>
      <c r="F870">
        <v>0</v>
      </c>
      <c r="G870">
        <v>0</v>
      </c>
      <c r="H870">
        <v>0</v>
      </c>
    </row>
    <row r="871" spans="1:9">
      <c r="A871" t="s">
        <v>14</v>
      </c>
      <c r="B871" t="s">
        <v>149</v>
      </c>
      <c r="C871" t="s">
        <v>148</v>
      </c>
      <c r="D871" t="s">
        <v>1878</v>
      </c>
      <c r="E871">
        <v>12107</v>
      </c>
      <c r="F871">
        <v>0</v>
      </c>
      <c r="G871">
        <v>0</v>
      </c>
      <c r="H871">
        <v>0</v>
      </c>
      <c r="I871" t="s">
        <v>1918</v>
      </c>
    </row>
    <row r="872" spans="1:9">
      <c r="A872" t="s">
        <v>44</v>
      </c>
      <c r="B872" t="s">
        <v>149</v>
      </c>
      <c r="C872" t="s">
        <v>148</v>
      </c>
      <c r="D872" t="s">
        <v>745</v>
      </c>
      <c r="E872">
        <v>15134</v>
      </c>
      <c r="F872">
        <v>0</v>
      </c>
      <c r="G872">
        <v>0</v>
      </c>
      <c r="H872">
        <v>0</v>
      </c>
      <c r="I872" t="s">
        <v>1918</v>
      </c>
    </row>
    <row r="873" spans="1:9">
      <c r="A873" t="s">
        <v>46</v>
      </c>
      <c r="B873" t="s">
        <v>149</v>
      </c>
      <c r="C873" t="s">
        <v>148</v>
      </c>
      <c r="D873" t="s">
        <v>1879</v>
      </c>
      <c r="E873">
        <v>18221</v>
      </c>
      <c r="F873">
        <v>0</v>
      </c>
      <c r="G873">
        <v>0</v>
      </c>
      <c r="H873">
        <v>0</v>
      </c>
      <c r="I873" t="s">
        <v>1918</v>
      </c>
    </row>
    <row r="874" spans="1:9">
      <c r="A874">
        <v>15.3</v>
      </c>
      <c r="B874" t="s">
        <v>149</v>
      </c>
      <c r="C874" t="s">
        <v>148</v>
      </c>
      <c r="D874" t="s">
        <v>1880</v>
      </c>
      <c r="E874">
        <v>3334</v>
      </c>
      <c r="F874">
        <v>0</v>
      </c>
      <c r="G874">
        <v>0</v>
      </c>
      <c r="H874">
        <v>0</v>
      </c>
      <c r="I874" t="s">
        <v>1919</v>
      </c>
    </row>
    <row r="875" spans="1:9">
      <c r="D875" t="s">
        <v>748</v>
      </c>
      <c r="E875">
        <v>0</v>
      </c>
      <c r="F875">
        <v>0</v>
      </c>
      <c r="G875">
        <v>17034</v>
      </c>
      <c r="H875">
        <v>7.47</v>
      </c>
    </row>
    <row r="876" spans="1:9">
      <c r="D876" t="s">
        <v>1905</v>
      </c>
      <c r="E876">
        <v>0</v>
      </c>
      <c r="F876">
        <v>0</v>
      </c>
      <c r="G876">
        <v>212537</v>
      </c>
      <c r="H876">
        <v>93.22</v>
      </c>
    </row>
    <row r="877" spans="1:9">
      <c r="D877" t="s">
        <v>1553</v>
      </c>
      <c r="E877">
        <v>0</v>
      </c>
      <c r="F877">
        <v>0</v>
      </c>
      <c r="G877">
        <v>0</v>
      </c>
      <c r="H877">
        <v>0</v>
      </c>
    </row>
    <row r="878" spans="1:9">
      <c r="D878" t="s">
        <v>1554</v>
      </c>
      <c r="E878">
        <v>0</v>
      </c>
      <c r="F878">
        <v>0</v>
      </c>
      <c r="G878">
        <v>0</v>
      </c>
      <c r="H878">
        <v>0</v>
      </c>
    </row>
    <row r="879" spans="1:9">
      <c r="D879" t="s">
        <v>1555</v>
      </c>
      <c r="E879">
        <v>0</v>
      </c>
      <c r="F879">
        <v>0</v>
      </c>
      <c r="G879">
        <v>38366</v>
      </c>
      <c r="H879">
        <v>16.829999999999998</v>
      </c>
    </row>
    <row r="880" spans="1:9">
      <c r="D880" t="s">
        <v>1556</v>
      </c>
      <c r="E880">
        <v>0</v>
      </c>
      <c r="F880">
        <v>0</v>
      </c>
      <c r="G880">
        <v>82487</v>
      </c>
      <c r="H880">
        <v>36.18</v>
      </c>
    </row>
    <row r="881" spans="1:9">
      <c r="D881" t="s">
        <v>1557</v>
      </c>
      <c r="E881">
        <v>0</v>
      </c>
      <c r="F881">
        <v>0</v>
      </c>
      <c r="G881">
        <v>39404</v>
      </c>
      <c r="H881">
        <v>17.28</v>
      </c>
    </row>
    <row r="882" spans="1:9">
      <c r="D882" t="s">
        <v>1558</v>
      </c>
      <c r="E882">
        <v>0</v>
      </c>
      <c r="F882">
        <v>0</v>
      </c>
      <c r="G882">
        <v>0</v>
      </c>
      <c r="H882">
        <v>0</v>
      </c>
    </row>
    <row r="883" spans="1:9">
      <c r="D883" t="s">
        <v>1906</v>
      </c>
      <c r="E883">
        <v>0</v>
      </c>
      <c r="F883">
        <v>0</v>
      </c>
      <c r="G883">
        <v>0</v>
      </c>
      <c r="H883">
        <v>0</v>
      </c>
    </row>
    <row r="884" spans="1:9">
      <c r="D884" t="s">
        <v>1560</v>
      </c>
      <c r="E884">
        <v>0</v>
      </c>
      <c r="F884">
        <v>0</v>
      </c>
      <c r="G884">
        <v>97327</v>
      </c>
      <c r="H884">
        <v>42.69</v>
      </c>
    </row>
    <row r="885" spans="1:9">
      <c r="D885" t="s">
        <v>1561</v>
      </c>
      <c r="E885">
        <v>0</v>
      </c>
      <c r="F885">
        <v>0</v>
      </c>
      <c r="G885">
        <v>44657.56</v>
      </c>
      <c r="H885">
        <v>19.59</v>
      </c>
    </row>
    <row r="886" spans="1:9">
      <c r="D886" t="s">
        <v>1562</v>
      </c>
      <c r="E886">
        <v>0</v>
      </c>
      <c r="F886">
        <v>0</v>
      </c>
      <c r="G886">
        <v>87241</v>
      </c>
      <c r="H886">
        <v>38.26</v>
      </c>
    </row>
    <row r="887" spans="1:9">
      <c r="D887" t="s">
        <v>1563</v>
      </c>
      <c r="E887">
        <v>0</v>
      </c>
      <c r="F887">
        <v>0</v>
      </c>
      <c r="G887">
        <v>139586</v>
      </c>
      <c r="H887">
        <v>61.22</v>
      </c>
    </row>
    <row r="888" spans="1:9">
      <c r="D888" t="s">
        <v>1564</v>
      </c>
      <c r="E888">
        <v>0</v>
      </c>
      <c r="F888">
        <v>0</v>
      </c>
      <c r="G888">
        <v>35015</v>
      </c>
      <c r="H888">
        <v>15.36</v>
      </c>
    </row>
    <row r="889" spans="1:9">
      <c r="D889" t="s">
        <v>1565</v>
      </c>
      <c r="E889">
        <v>0</v>
      </c>
      <c r="F889">
        <v>0</v>
      </c>
      <c r="G889">
        <v>0</v>
      </c>
      <c r="H889">
        <v>0</v>
      </c>
    </row>
    <row r="890" spans="1:9">
      <c r="D890" t="s">
        <v>1566</v>
      </c>
      <c r="E890">
        <v>0</v>
      </c>
      <c r="F890">
        <v>0</v>
      </c>
      <c r="G890">
        <v>17034</v>
      </c>
      <c r="H890">
        <v>7.47</v>
      </c>
    </row>
    <row r="891" spans="1:9">
      <c r="A891" t="s">
        <v>9</v>
      </c>
      <c r="B891" t="s">
        <v>1576</v>
      </c>
      <c r="C891" t="s">
        <v>1576</v>
      </c>
      <c r="D891" t="s">
        <v>1883</v>
      </c>
      <c r="E891">
        <v>0</v>
      </c>
      <c r="F891">
        <v>0</v>
      </c>
      <c r="G891">
        <v>0</v>
      </c>
      <c r="H891">
        <v>0</v>
      </c>
    </row>
    <row r="892" spans="1:9">
      <c r="A892">
        <v>1</v>
      </c>
      <c r="B892" t="s">
        <v>1576</v>
      </c>
      <c r="C892" t="s">
        <v>1576</v>
      </c>
      <c r="D892" t="s">
        <v>750</v>
      </c>
      <c r="E892">
        <v>1500</v>
      </c>
      <c r="F892">
        <v>0</v>
      </c>
      <c r="G892">
        <v>0</v>
      </c>
      <c r="H892">
        <v>0</v>
      </c>
      <c r="I892" t="s">
        <v>522</v>
      </c>
    </row>
    <row r="893" spans="1:9">
      <c r="A893">
        <v>2</v>
      </c>
      <c r="B893" t="s">
        <v>1576</v>
      </c>
      <c r="C893" t="s">
        <v>1576</v>
      </c>
      <c r="D893" t="s">
        <v>751</v>
      </c>
      <c r="E893">
        <v>1800</v>
      </c>
      <c r="F893">
        <v>0</v>
      </c>
      <c r="G893">
        <v>0</v>
      </c>
      <c r="H893">
        <v>0</v>
      </c>
      <c r="I893" t="s">
        <v>522</v>
      </c>
    </row>
    <row r="894" spans="1:9">
      <c r="A894">
        <v>3</v>
      </c>
      <c r="B894" t="s">
        <v>1576</v>
      </c>
      <c r="C894" t="s">
        <v>1576</v>
      </c>
      <c r="D894" t="s">
        <v>752</v>
      </c>
      <c r="E894">
        <v>789</v>
      </c>
      <c r="F894">
        <v>94.4</v>
      </c>
      <c r="G894">
        <v>74481.600000000006</v>
      </c>
      <c r="H894">
        <v>32.67</v>
      </c>
      <c r="I894" t="s">
        <v>18</v>
      </c>
    </row>
    <row r="895" spans="1:9">
      <c r="A895">
        <v>4</v>
      </c>
      <c r="B895" t="s">
        <v>1576</v>
      </c>
      <c r="C895" t="s">
        <v>1576</v>
      </c>
      <c r="D895" t="s">
        <v>753</v>
      </c>
      <c r="E895">
        <v>996</v>
      </c>
      <c r="F895">
        <v>54</v>
      </c>
      <c r="G895">
        <v>53784</v>
      </c>
      <c r="H895">
        <v>23.59</v>
      </c>
      <c r="I895" t="s">
        <v>18</v>
      </c>
    </row>
    <row r="896" spans="1:9">
      <c r="A896">
        <v>5</v>
      </c>
      <c r="B896" t="s">
        <v>1576</v>
      </c>
      <c r="C896" t="s">
        <v>1576</v>
      </c>
      <c r="D896" t="s">
        <v>754</v>
      </c>
      <c r="E896">
        <v>695</v>
      </c>
      <c r="F896">
        <v>21</v>
      </c>
      <c r="G896">
        <v>14595</v>
      </c>
      <c r="H896">
        <v>6.4</v>
      </c>
      <c r="I896" t="s">
        <v>18</v>
      </c>
    </row>
    <row r="897" spans="1:9">
      <c r="A897">
        <v>6</v>
      </c>
      <c r="B897" t="s">
        <v>1576</v>
      </c>
      <c r="C897" t="s">
        <v>1576</v>
      </c>
      <c r="D897" t="s">
        <v>755</v>
      </c>
      <c r="E897">
        <v>180</v>
      </c>
      <c r="F897">
        <v>15</v>
      </c>
      <c r="G897">
        <v>2700</v>
      </c>
      <c r="H897">
        <v>1.18</v>
      </c>
      <c r="I897" t="s">
        <v>756</v>
      </c>
    </row>
    <row r="898" spans="1:9">
      <c r="A898">
        <v>7</v>
      </c>
      <c r="B898" t="s">
        <v>1576</v>
      </c>
      <c r="C898" t="s">
        <v>1576</v>
      </c>
      <c r="D898" t="s">
        <v>755</v>
      </c>
      <c r="E898">
        <v>180</v>
      </c>
      <c r="F898">
        <v>25</v>
      </c>
      <c r="G898">
        <v>4500</v>
      </c>
      <c r="H898">
        <v>1.97</v>
      </c>
      <c r="I898" t="s">
        <v>756</v>
      </c>
    </row>
    <row r="899" spans="1:9">
      <c r="A899">
        <v>8</v>
      </c>
      <c r="B899" t="s">
        <v>1576</v>
      </c>
      <c r="C899" t="s">
        <v>1576</v>
      </c>
      <c r="D899" t="s">
        <v>1881</v>
      </c>
      <c r="E899">
        <v>110</v>
      </c>
      <c r="F899">
        <v>25</v>
      </c>
      <c r="G899">
        <v>2750</v>
      </c>
      <c r="H899">
        <v>1.21</v>
      </c>
      <c r="I899" t="s">
        <v>758</v>
      </c>
    </row>
    <row r="900" spans="1:9">
      <c r="A900">
        <v>9</v>
      </c>
      <c r="B900" t="s">
        <v>1576</v>
      </c>
      <c r="C900" t="s">
        <v>1576</v>
      </c>
      <c r="D900" t="s">
        <v>759</v>
      </c>
      <c r="E900">
        <v>1500</v>
      </c>
      <c r="F900">
        <v>5</v>
      </c>
      <c r="G900">
        <v>7500</v>
      </c>
      <c r="H900">
        <v>3.29</v>
      </c>
      <c r="I900" t="s">
        <v>522</v>
      </c>
    </row>
    <row r="901" spans="1:9">
      <c r="A901">
        <v>10</v>
      </c>
      <c r="B901" t="s">
        <v>1576</v>
      </c>
      <c r="C901" t="s">
        <v>1576</v>
      </c>
      <c r="D901" t="s">
        <v>1483</v>
      </c>
      <c r="E901">
        <v>1000</v>
      </c>
      <c r="F901">
        <v>1</v>
      </c>
      <c r="G901">
        <v>1000</v>
      </c>
      <c r="H901">
        <v>0.44</v>
      </c>
      <c r="I901" t="s">
        <v>522</v>
      </c>
    </row>
    <row r="902" spans="1:9">
      <c r="A902">
        <v>11</v>
      </c>
      <c r="B902" t="s">
        <v>1576</v>
      </c>
      <c r="C902" t="s">
        <v>1576</v>
      </c>
      <c r="D902" t="s">
        <v>1590</v>
      </c>
      <c r="E902">
        <v>500</v>
      </c>
      <c r="F902">
        <v>3</v>
      </c>
      <c r="G902">
        <v>1500</v>
      </c>
      <c r="H902">
        <v>0.66</v>
      </c>
      <c r="I902" t="s">
        <v>522</v>
      </c>
    </row>
    <row r="903" spans="1:9">
      <c r="A903" t="s">
        <v>1</v>
      </c>
      <c r="B903" t="s">
        <v>1912</v>
      </c>
      <c r="C903" t="s">
        <v>1913</v>
      </c>
      <c r="D903" t="s">
        <v>2</v>
      </c>
      <c r="E903">
        <v>0</v>
      </c>
      <c r="F903">
        <v>0</v>
      </c>
      <c r="G903">
        <v>0</v>
      </c>
      <c r="H903">
        <v>0</v>
      </c>
    </row>
    <row r="904" spans="1:9">
      <c r="A904">
        <v>1</v>
      </c>
      <c r="B904" t="s">
        <v>1912</v>
      </c>
      <c r="C904" t="s">
        <v>1913</v>
      </c>
      <c r="D904" t="s">
        <v>13</v>
      </c>
      <c r="E904">
        <v>0</v>
      </c>
      <c r="F904">
        <v>0</v>
      </c>
      <c r="G904">
        <v>0</v>
      </c>
      <c r="H904">
        <v>0</v>
      </c>
    </row>
    <row r="905" spans="1:9">
      <c r="A905" t="s">
        <v>19</v>
      </c>
      <c r="B905" t="s">
        <v>1914</v>
      </c>
      <c r="C905" t="s">
        <v>1739</v>
      </c>
      <c r="D905" t="s">
        <v>20</v>
      </c>
      <c r="E905">
        <v>0</v>
      </c>
      <c r="F905">
        <v>0</v>
      </c>
      <c r="G905">
        <v>0</v>
      </c>
      <c r="H905">
        <v>0</v>
      </c>
    </row>
    <row r="906" spans="1:9">
      <c r="D906" t="s">
        <v>766</v>
      </c>
      <c r="E906">
        <v>0</v>
      </c>
      <c r="F906">
        <v>0</v>
      </c>
      <c r="G906">
        <v>0</v>
      </c>
      <c r="H906">
        <v>0</v>
      </c>
    </row>
    <row r="907" spans="1:9">
      <c r="D907" t="s">
        <v>767</v>
      </c>
      <c r="E907">
        <v>0</v>
      </c>
      <c r="F907">
        <v>0</v>
      </c>
      <c r="G907">
        <v>0</v>
      </c>
      <c r="H907">
        <v>0</v>
      </c>
    </row>
    <row r="908" spans="1:9">
      <c r="D908" t="s">
        <v>768</v>
      </c>
      <c r="E908">
        <v>0</v>
      </c>
      <c r="F908">
        <v>0</v>
      </c>
      <c r="G908">
        <v>0</v>
      </c>
      <c r="H908">
        <v>0</v>
      </c>
    </row>
    <row r="909" spans="1:9">
      <c r="D909" t="s">
        <v>769</v>
      </c>
      <c r="E909">
        <v>0</v>
      </c>
      <c r="F909">
        <v>0</v>
      </c>
      <c r="G909">
        <v>0</v>
      </c>
      <c r="H909">
        <v>0</v>
      </c>
    </row>
    <row r="910" spans="1:9">
      <c r="D910" t="s">
        <v>770</v>
      </c>
      <c r="E910">
        <v>0</v>
      </c>
      <c r="F910">
        <v>0</v>
      </c>
      <c r="G910">
        <v>0</v>
      </c>
      <c r="H910">
        <v>0</v>
      </c>
    </row>
    <row r="911" spans="1:9">
      <c r="D911" t="s">
        <v>771</v>
      </c>
      <c r="E911">
        <v>0</v>
      </c>
      <c r="F911">
        <v>0</v>
      </c>
      <c r="G911">
        <v>0</v>
      </c>
      <c r="H911">
        <v>0</v>
      </c>
    </row>
    <row r="912" spans="1:9">
      <c r="D912" t="s">
        <v>772</v>
      </c>
      <c r="E912">
        <v>0</v>
      </c>
      <c r="F912">
        <v>0</v>
      </c>
      <c r="G912">
        <v>0</v>
      </c>
      <c r="H912">
        <v>0</v>
      </c>
    </row>
    <row r="913" spans="1:8">
      <c r="D913" t="s">
        <v>773</v>
      </c>
      <c r="E913">
        <v>0</v>
      </c>
      <c r="F913">
        <v>0</v>
      </c>
      <c r="G913">
        <v>0</v>
      </c>
      <c r="H913">
        <v>0</v>
      </c>
    </row>
    <row r="914" spans="1:8">
      <c r="D914" t="s">
        <v>774</v>
      </c>
      <c r="E914">
        <v>0</v>
      </c>
      <c r="F914">
        <v>0</v>
      </c>
      <c r="G914">
        <v>0</v>
      </c>
      <c r="H914">
        <v>0</v>
      </c>
    </row>
    <row r="915" spans="1:8">
      <c r="D915" t="s">
        <v>775</v>
      </c>
      <c r="E915">
        <v>0</v>
      </c>
      <c r="F915">
        <v>0</v>
      </c>
      <c r="G915">
        <v>0</v>
      </c>
      <c r="H915">
        <v>0</v>
      </c>
    </row>
    <row r="916" spans="1:8">
      <c r="D916" t="s">
        <v>776</v>
      </c>
      <c r="E916">
        <v>0</v>
      </c>
      <c r="F916">
        <v>0</v>
      </c>
      <c r="G916">
        <v>0</v>
      </c>
      <c r="H916">
        <v>0</v>
      </c>
    </row>
    <row r="917" spans="1:8">
      <c r="D917" t="s">
        <v>777</v>
      </c>
      <c r="E917">
        <v>0</v>
      </c>
      <c r="F917">
        <v>0</v>
      </c>
      <c r="G917">
        <v>0</v>
      </c>
      <c r="H917">
        <v>0</v>
      </c>
    </row>
    <row r="918" spans="1:8">
      <c r="D918" t="s">
        <v>778</v>
      </c>
      <c r="E918">
        <v>0</v>
      </c>
      <c r="F918">
        <v>0</v>
      </c>
      <c r="G918">
        <v>0</v>
      </c>
      <c r="H918">
        <v>0</v>
      </c>
    </row>
    <row r="919" spans="1:8">
      <c r="D919" t="s">
        <v>1920</v>
      </c>
      <c r="E919">
        <v>0</v>
      </c>
      <c r="F919">
        <v>0</v>
      </c>
      <c r="G919">
        <v>0</v>
      </c>
      <c r="H919">
        <v>0</v>
      </c>
    </row>
    <row r="920" spans="1:8">
      <c r="D920" t="s">
        <v>780</v>
      </c>
      <c r="E920">
        <v>0</v>
      </c>
      <c r="F920">
        <v>0</v>
      </c>
      <c r="G920">
        <v>0</v>
      </c>
      <c r="H920">
        <v>0</v>
      </c>
    </row>
    <row r="921" spans="1:8">
      <c r="D921" t="s">
        <v>781</v>
      </c>
      <c r="E921">
        <v>0</v>
      </c>
      <c r="F921">
        <v>0</v>
      </c>
      <c r="G921">
        <v>0</v>
      </c>
      <c r="H921">
        <v>0</v>
      </c>
    </row>
    <row r="922" spans="1:8">
      <c r="D922" t="s">
        <v>782</v>
      </c>
      <c r="E922">
        <v>0</v>
      </c>
      <c r="F922">
        <v>0</v>
      </c>
      <c r="G922">
        <v>0</v>
      </c>
      <c r="H922">
        <v>0</v>
      </c>
    </row>
    <row r="923" spans="1:8">
      <c r="D923" t="s">
        <v>783</v>
      </c>
      <c r="E923">
        <v>0</v>
      </c>
      <c r="F923">
        <v>0</v>
      </c>
      <c r="G923">
        <v>0</v>
      </c>
      <c r="H923">
        <v>0</v>
      </c>
    </row>
    <row r="924" spans="1:8">
      <c r="D924" t="s">
        <v>784</v>
      </c>
      <c r="E924">
        <v>0</v>
      </c>
      <c r="F924">
        <v>0</v>
      </c>
      <c r="G924">
        <v>0</v>
      </c>
      <c r="H924">
        <v>0</v>
      </c>
    </row>
    <row r="925" spans="1:8">
      <c r="A925" t="s">
        <v>21</v>
      </c>
      <c r="B925" t="s">
        <v>149</v>
      </c>
      <c r="C925" t="s">
        <v>148</v>
      </c>
      <c r="D925" t="s">
        <v>22</v>
      </c>
      <c r="E925">
        <v>0</v>
      </c>
      <c r="F925">
        <v>0</v>
      </c>
      <c r="G925">
        <v>0</v>
      </c>
      <c r="H925">
        <v>0</v>
      </c>
    </row>
    <row r="926" spans="1:8">
      <c r="D926" t="s">
        <v>786</v>
      </c>
      <c r="E926">
        <v>0</v>
      </c>
      <c r="F926">
        <v>0</v>
      </c>
      <c r="G926">
        <v>0</v>
      </c>
      <c r="H926">
        <v>0</v>
      </c>
    </row>
    <row r="927" spans="1:8">
      <c r="D927" t="s">
        <v>787</v>
      </c>
      <c r="E927">
        <v>0</v>
      </c>
      <c r="F927">
        <v>0</v>
      </c>
      <c r="G927">
        <v>0</v>
      </c>
      <c r="H927">
        <v>0</v>
      </c>
    </row>
    <row r="928" spans="1:8">
      <c r="D928" t="s">
        <v>788</v>
      </c>
      <c r="E928">
        <v>0</v>
      </c>
      <c r="F928">
        <v>0</v>
      </c>
      <c r="G928">
        <v>0</v>
      </c>
      <c r="H928">
        <v>0</v>
      </c>
    </row>
    <row r="929" spans="1:8">
      <c r="D929" t="s">
        <v>768</v>
      </c>
      <c r="E929">
        <v>0</v>
      </c>
      <c r="F929">
        <v>0</v>
      </c>
      <c r="G929">
        <v>0</v>
      </c>
      <c r="H929">
        <v>0</v>
      </c>
    </row>
    <row r="930" spans="1:8">
      <c r="D930" t="s">
        <v>789</v>
      </c>
      <c r="E930">
        <v>0</v>
      </c>
      <c r="F930">
        <v>0</v>
      </c>
      <c r="G930">
        <v>0</v>
      </c>
      <c r="H930">
        <v>0</v>
      </c>
    </row>
    <row r="931" spans="1:8">
      <c r="D931" t="s">
        <v>790</v>
      </c>
      <c r="E931">
        <v>0</v>
      </c>
      <c r="F931">
        <v>0</v>
      </c>
      <c r="G931">
        <v>0</v>
      </c>
      <c r="H931">
        <v>0</v>
      </c>
    </row>
    <row r="932" spans="1:8">
      <c r="D932" t="s">
        <v>791</v>
      </c>
      <c r="E932">
        <v>0</v>
      </c>
      <c r="F932">
        <v>0</v>
      </c>
      <c r="G932">
        <v>0</v>
      </c>
      <c r="H932">
        <v>0</v>
      </c>
    </row>
    <row r="933" spans="1:8">
      <c r="A933" t="s">
        <v>23</v>
      </c>
      <c r="B933" t="s">
        <v>6</v>
      </c>
      <c r="C933" t="s">
        <v>6</v>
      </c>
      <c r="D933" t="s">
        <v>24</v>
      </c>
      <c r="E933">
        <v>0</v>
      </c>
      <c r="F933">
        <v>0</v>
      </c>
      <c r="G933">
        <v>0</v>
      </c>
      <c r="H933">
        <v>0</v>
      </c>
    </row>
    <row r="934" spans="1:8">
      <c r="D934" t="s">
        <v>792</v>
      </c>
      <c r="E934">
        <v>0</v>
      </c>
      <c r="F934">
        <v>0</v>
      </c>
      <c r="G934">
        <v>0</v>
      </c>
      <c r="H934">
        <v>0</v>
      </c>
    </row>
    <row r="935" spans="1:8">
      <c r="D935" t="s">
        <v>788</v>
      </c>
      <c r="E935">
        <v>0</v>
      </c>
      <c r="F935">
        <v>0</v>
      </c>
      <c r="G935">
        <v>0</v>
      </c>
      <c r="H935">
        <v>0</v>
      </c>
    </row>
    <row r="936" spans="1:8">
      <c r="D936" t="s">
        <v>793</v>
      </c>
      <c r="E936">
        <v>0</v>
      </c>
      <c r="F936">
        <v>0</v>
      </c>
      <c r="G936">
        <v>0</v>
      </c>
      <c r="H936">
        <v>0</v>
      </c>
    </row>
    <row r="937" spans="1:8">
      <c r="D937" t="s">
        <v>767</v>
      </c>
      <c r="E937">
        <v>0</v>
      </c>
      <c r="F937">
        <v>0</v>
      </c>
      <c r="G937">
        <v>0</v>
      </c>
      <c r="H937">
        <v>0</v>
      </c>
    </row>
    <row r="938" spans="1:8">
      <c r="D938" t="s">
        <v>794</v>
      </c>
      <c r="E938">
        <v>0</v>
      </c>
      <c r="F938">
        <v>0</v>
      </c>
      <c r="G938">
        <v>0</v>
      </c>
      <c r="H938">
        <v>0</v>
      </c>
    </row>
    <row r="939" spans="1:8">
      <c r="D939" t="s">
        <v>769</v>
      </c>
      <c r="E939">
        <v>0</v>
      </c>
      <c r="F939">
        <v>0</v>
      </c>
      <c r="G939">
        <v>0</v>
      </c>
      <c r="H939">
        <v>0</v>
      </c>
    </row>
    <row r="940" spans="1:8">
      <c r="D940" t="s">
        <v>825</v>
      </c>
      <c r="E940">
        <v>0</v>
      </c>
      <c r="F940">
        <v>0</v>
      </c>
      <c r="G940">
        <v>0</v>
      </c>
      <c r="H940">
        <v>0</v>
      </c>
    </row>
    <row r="941" spans="1:8">
      <c r="D941" t="s">
        <v>796</v>
      </c>
      <c r="E941">
        <v>0</v>
      </c>
      <c r="F941">
        <v>0</v>
      </c>
      <c r="G941">
        <v>0</v>
      </c>
      <c r="H941">
        <v>0</v>
      </c>
    </row>
    <row r="942" spans="1:8">
      <c r="D942" t="s">
        <v>772</v>
      </c>
      <c r="E942">
        <v>0</v>
      </c>
      <c r="F942">
        <v>0</v>
      </c>
      <c r="G942">
        <v>0</v>
      </c>
      <c r="H942">
        <v>0</v>
      </c>
    </row>
    <row r="943" spans="1:8">
      <c r="A943" t="s">
        <v>25</v>
      </c>
      <c r="B943" t="s">
        <v>289</v>
      </c>
      <c r="C943" t="s">
        <v>289</v>
      </c>
      <c r="D943" t="s">
        <v>26</v>
      </c>
      <c r="E943">
        <v>0</v>
      </c>
      <c r="F943">
        <v>0</v>
      </c>
      <c r="G943">
        <v>0</v>
      </c>
      <c r="H943">
        <v>0</v>
      </c>
    </row>
    <row r="944" spans="1:8">
      <c r="D944" t="s">
        <v>797</v>
      </c>
      <c r="E944">
        <v>0</v>
      </c>
      <c r="F944">
        <v>0</v>
      </c>
      <c r="G944">
        <v>0</v>
      </c>
      <c r="H944">
        <v>0</v>
      </c>
    </row>
    <row r="945" spans="1:8">
      <c r="D945" t="s">
        <v>798</v>
      </c>
      <c r="E945">
        <v>0</v>
      </c>
      <c r="F945">
        <v>0</v>
      </c>
      <c r="G945">
        <v>0</v>
      </c>
      <c r="H945">
        <v>0</v>
      </c>
    </row>
    <row r="946" spans="1:8">
      <c r="A946" t="s">
        <v>40</v>
      </c>
      <c r="B946" t="s">
        <v>289</v>
      </c>
      <c r="C946" t="s">
        <v>289</v>
      </c>
      <c r="D946" t="s">
        <v>41</v>
      </c>
      <c r="E946">
        <v>0</v>
      </c>
      <c r="F946">
        <v>0</v>
      </c>
      <c r="G946">
        <v>0</v>
      </c>
      <c r="H946">
        <v>0</v>
      </c>
    </row>
    <row r="947" spans="1:8">
      <c r="D947" t="s">
        <v>799</v>
      </c>
      <c r="E947">
        <v>0</v>
      </c>
      <c r="F947">
        <v>0</v>
      </c>
      <c r="G947">
        <v>0</v>
      </c>
      <c r="H947">
        <v>0</v>
      </c>
    </row>
    <row r="948" spans="1:8">
      <c r="A948">
        <v>2</v>
      </c>
      <c r="B948" t="s">
        <v>289</v>
      </c>
      <c r="C948" t="s">
        <v>289</v>
      </c>
      <c r="D948" t="s">
        <v>42</v>
      </c>
      <c r="E948">
        <v>0</v>
      </c>
      <c r="F948">
        <v>0</v>
      </c>
      <c r="G948">
        <v>0</v>
      </c>
      <c r="H948">
        <v>0</v>
      </c>
    </row>
    <row r="949" spans="1:8">
      <c r="A949" t="s">
        <v>47</v>
      </c>
      <c r="B949" t="s">
        <v>289</v>
      </c>
      <c r="C949" t="s">
        <v>289</v>
      </c>
      <c r="D949" t="s">
        <v>1921</v>
      </c>
      <c r="E949">
        <v>0</v>
      </c>
      <c r="F949">
        <v>0</v>
      </c>
      <c r="G949">
        <v>0</v>
      </c>
      <c r="H949">
        <v>0</v>
      </c>
    </row>
    <row r="950" spans="1:8">
      <c r="D950" t="s">
        <v>801</v>
      </c>
      <c r="E950">
        <v>0</v>
      </c>
      <c r="F950">
        <v>0</v>
      </c>
      <c r="G950">
        <v>0</v>
      </c>
      <c r="H950">
        <v>0</v>
      </c>
    </row>
    <row r="951" spans="1:8">
      <c r="D951" t="s">
        <v>802</v>
      </c>
      <c r="E951">
        <v>0</v>
      </c>
      <c r="F951">
        <v>0</v>
      </c>
      <c r="G951">
        <v>0</v>
      </c>
      <c r="H951">
        <v>0</v>
      </c>
    </row>
    <row r="952" spans="1:8">
      <c r="D952" t="s">
        <v>787</v>
      </c>
      <c r="E952">
        <v>0</v>
      </c>
      <c r="F952">
        <v>0</v>
      </c>
      <c r="G952">
        <v>0</v>
      </c>
      <c r="H952">
        <v>0</v>
      </c>
    </row>
    <row r="953" spans="1:8">
      <c r="D953" t="s">
        <v>792</v>
      </c>
      <c r="E953">
        <v>0</v>
      </c>
      <c r="F953">
        <v>0</v>
      </c>
      <c r="G953">
        <v>0</v>
      </c>
      <c r="H953">
        <v>0</v>
      </c>
    </row>
    <row r="954" spans="1:8">
      <c r="D954" t="s">
        <v>804</v>
      </c>
      <c r="E954">
        <v>0</v>
      </c>
      <c r="F954">
        <v>0</v>
      </c>
      <c r="G954">
        <v>0</v>
      </c>
      <c r="H954">
        <v>0</v>
      </c>
    </row>
    <row r="955" spans="1:8">
      <c r="D955" t="s">
        <v>805</v>
      </c>
      <c r="E955">
        <v>0</v>
      </c>
      <c r="F955">
        <v>0</v>
      </c>
      <c r="G955">
        <v>0</v>
      </c>
      <c r="H955">
        <v>0</v>
      </c>
    </row>
    <row r="956" spans="1:8">
      <c r="D956" t="s">
        <v>787</v>
      </c>
      <c r="E956">
        <v>0</v>
      </c>
      <c r="F956">
        <v>0</v>
      </c>
      <c r="G956">
        <v>0</v>
      </c>
      <c r="H956">
        <v>0</v>
      </c>
    </row>
    <row r="957" spans="1:8">
      <c r="D957" t="s">
        <v>806</v>
      </c>
      <c r="E957">
        <v>0</v>
      </c>
      <c r="F957">
        <v>0</v>
      </c>
      <c r="G957">
        <v>0</v>
      </c>
      <c r="H957">
        <v>0</v>
      </c>
    </row>
    <row r="958" spans="1:8">
      <c r="D958" t="s">
        <v>787</v>
      </c>
      <c r="E958">
        <v>0</v>
      </c>
      <c r="F958">
        <v>0</v>
      </c>
      <c r="G958">
        <v>0</v>
      </c>
      <c r="H958">
        <v>0</v>
      </c>
    </row>
    <row r="959" spans="1:8">
      <c r="D959" t="s">
        <v>807</v>
      </c>
      <c r="E959">
        <v>0</v>
      </c>
      <c r="F959">
        <v>0</v>
      </c>
      <c r="G959">
        <v>0</v>
      </c>
      <c r="H959">
        <v>0</v>
      </c>
    </row>
    <row r="960" spans="1:8">
      <c r="D960" t="s">
        <v>787</v>
      </c>
      <c r="E960">
        <v>0</v>
      </c>
      <c r="F960">
        <v>0</v>
      </c>
      <c r="G960">
        <v>0</v>
      </c>
      <c r="H960">
        <v>0</v>
      </c>
    </row>
    <row r="961" spans="1:8">
      <c r="D961" t="s">
        <v>808</v>
      </c>
      <c r="E961">
        <v>0</v>
      </c>
      <c r="F961">
        <v>0</v>
      </c>
      <c r="G961">
        <v>0</v>
      </c>
      <c r="H961">
        <v>0</v>
      </c>
    </row>
    <row r="962" spans="1:8">
      <c r="D962" t="s">
        <v>787</v>
      </c>
      <c r="E962">
        <v>0</v>
      </c>
      <c r="F962">
        <v>0</v>
      </c>
      <c r="G962">
        <v>0</v>
      </c>
      <c r="H962">
        <v>0</v>
      </c>
    </row>
    <row r="963" spans="1:8">
      <c r="D963" t="s">
        <v>809</v>
      </c>
      <c r="E963">
        <v>0</v>
      </c>
      <c r="F963">
        <v>0</v>
      </c>
      <c r="G963">
        <v>0</v>
      </c>
      <c r="H963">
        <v>0</v>
      </c>
    </row>
    <row r="964" spans="1:8">
      <c r="D964" t="s">
        <v>810</v>
      </c>
      <c r="E964">
        <v>0</v>
      </c>
      <c r="F964">
        <v>0</v>
      </c>
      <c r="G964">
        <v>0</v>
      </c>
      <c r="H964">
        <v>0</v>
      </c>
    </row>
    <row r="965" spans="1:8">
      <c r="D965" t="s">
        <v>1922</v>
      </c>
      <c r="E965">
        <v>0</v>
      </c>
      <c r="F965">
        <v>0</v>
      </c>
      <c r="G965">
        <v>0</v>
      </c>
      <c r="H965">
        <v>0</v>
      </c>
    </row>
    <row r="966" spans="1:8">
      <c r="D966" t="s">
        <v>812</v>
      </c>
      <c r="E966">
        <v>0</v>
      </c>
      <c r="F966">
        <v>0</v>
      </c>
      <c r="G966">
        <v>0</v>
      </c>
      <c r="H966">
        <v>0</v>
      </c>
    </row>
    <row r="967" spans="1:8">
      <c r="D967" t="s">
        <v>813</v>
      </c>
      <c r="E967">
        <v>0</v>
      </c>
      <c r="F967">
        <v>0</v>
      </c>
      <c r="G967">
        <v>0</v>
      </c>
      <c r="H967">
        <v>0</v>
      </c>
    </row>
    <row r="968" spans="1:8">
      <c r="D968" t="s">
        <v>1923</v>
      </c>
      <c r="E968">
        <v>0</v>
      </c>
      <c r="F968">
        <v>0</v>
      </c>
      <c r="G968">
        <v>0</v>
      </c>
      <c r="H968">
        <v>0</v>
      </c>
    </row>
    <row r="969" spans="1:8">
      <c r="D969" t="s">
        <v>815</v>
      </c>
      <c r="E969">
        <v>0</v>
      </c>
      <c r="F969">
        <v>0</v>
      </c>
      <c r="G969">
        <v>0</v>
      </c>
      <c r="H969">
        <v>0</v>
      </c>
    </row>
    <row r="970" spans="1:8">
      <c r="D970" t="s">
        <v>816</v>
      </c>
      <c r="E970">
        <v>0</v>
      </c>
      <c r="F970">
        <v>0</v>
      </c>
      <c r="G970">
        <v>0</v>
      </c>
      <c r="H970">
        <v>0</v>
      </c>
    </row>
    <row r="971" spans="1:8">
      <c r="D971" t="s">
        <v>817</v>
      </c>
      <c r="E971">
        <v>0</v>
      </c>
      <c r="F971">
        <v>0</v>
      </c>
      <c r="G971">
        <v>0</v>
      </c>
      <c r="H971">
        <v>0</v>
      </c>
    </row>
    <row r="972" spans="1:8">
      <c r="D972" t="s">
        <v>818</v>
      </c>
      <c r="E972">
        <v>0</v>
      </c>
      <c r="F972">
        <v>0</v>
      </c>
      <c r="G972">
        <v>0</v>
      </c>
      <c r="H972">
        <v>0</v>
      </c>
    </row>
    <row r="973" spans="1:8">
      <c r="A973">
        <v>4</v>
      </c>
      <c r="B973" t="s">
        <v>289</v>
      </c>
      <c r="C973" t="s">
        <v>289</v>
      </c>
      <c r="D973" t="s">
        <v>62</v>
      </c>
      <c r="E973">
        <v>0</v>
      </c>
      <c r="F973">
        <v>0</v>
      </c>
      <c r="G973">
        <v>0</v>
      </c>
      <c r="H973">
        <v>0</v>
      </c>
    </row>
    <row r="974" spans="1:8">
      <c r="A974" t="s">
        <v>14</v>
      </c>
      <c r="B974" t="s">
        <v>289</v>
      </c>
      <c r="C974" t="s">
        <v>289</v>
      </c>
      <c r="D974" t="s">
        <v>819</v>
      </c>
      <c r="E974">
        <v>0</v>
      </c>
      <c r="F974">
        <v>0</v>
      </c>
      <c r="G974">
        <v>0</v>
      </c>
      <c r="H974">
        <v>0</v>
      </c>
    </row>
    <row r="975" spans="1:8">
      <c r="D975" t="s">
        <v>820</v>
      </c>
      <c r="E975">
        <v>0</v>
      </c>
      <c r="F975">
        <v>0</v>
      </c>
      <c r="G975">
        <v>0</v>
      </c>
      <c r="H975">
        <v>0</v>
      </c>
    </row>
    <row r="976" spans="1:8">
      <c r="D976" t="s">
        <v>821</v>
      </c>
      <c r="E976">
        <v>0</v>
      </c>
      <c r="F976">
        <v>0</v>
      </c>
      <c r="G976">
        <v>0</v>
      </c>
      <c r="H976">
        <v>0</v>
      </c>
    </row>
    <row r="977" spans="1:8">
      <c r="D977" t="s">
        <v>822</v>
      </c>
      <c r="E977">
        <v>0</v>
      </c>
      <c r="F977">
        <v>0</v>
      </c>
      <c r="G977">
        <v>0</v>
      </c>
      <c r="H977">
        <v>0</v>
      </c>
    </row>
    <row r="978" spans="1:8">
      <c r="D978" t="s">
        <v>789</v>
      </c>
      <c r="E978">
        <v>0</v>
      </c>
      <c r="F978">
        <v>0</v>
      </c>
      <c r="G978">
        <v>0</v>
      </c>
      <c r="H978">
        <v>0</v>
      </c>
    </row>
    <row r="979" spans="1:8">
      <c r="D979" t="s">
        <v>823</v>
      </c>
      <c r="E979">
        <v>0</v>
      </c>
      <c r="F979">
        <v>0</v>
      </c>
      <c r="G979">
        <v>0</v>
      </c>
      <c r="H979">
        <v>0</v>
      </c>
    </row>
    <row r="980" spans="1:8">
      <c r="D980" t="s">
        <v>789</v>
      </c>
      <c r="E980">
        <v>0</v>
      </c>
      <c r="F980">
        <v>0</v>
      </c>
      <c r="G980">
        <v>0</v>
      </c>
      <c r="H980">
        <v>0</v>
      </c>
    </row>
    <row r="981" spans="1:8">
      <c r="D981" t="s">
        <v>813</v>
      </c>
      <c r="E981">
        <v>0</v>
      </c>
      <c r="F981">
        <v>0</v>
      </c>
      <c r="G981">
        <v>0</v>
      </c>
      <c r="H981">
        <v>0</v>
      </c>
    </row>
    <row r="982" spans="1:8">
      <c r="D982" t="s">
        <v>824</v>
      </c>
      <c r="E982">
        <v>0</v>
      </c>
      <c r="F982">
        <v>0</v>
      </c>
      <c r="G982">
        <v>0</v>
      </c>
      <c r="H982">
        <v>0</v>
      </c>
    </row>
    <row r="983" spans="1:8">
      <c r="D983" t="s">
        <v>824</v>
      </c>
      <c r="E983">
        <v>0</v>
      </c>
      <c r="F983">
        <v>0</v>
      </c>
      <c r="G983">
        <v>0</v>
      </c>
      <c r="H983">
        <v>0</v>
      </c>
    </row>
    <row r="984" spans="1:8">
      <c r="D984" t="s">
        <v>769</v>
      </c>
      <c r="E984">
        <v>0</v>
      </c>
      <c r="F984">
        <v>0</v>
      </c>
      <c r="G984">
        <v>0</v>
      </c>
      <c r="H984">
        <v>0</v>
      </c>
    </row>
    <row r="985" spans="1:8">
      <c r="D985" t="s">
        <v>824</v>
      </c>
      <c r="E985">
        <v>0</v>
      </c>
      <c r="F985">
        <v>0</v>
      </c>
      <c r="G985">
        <v>0</v>
      </c>
      <c r="H985">
        <v>0</v>
      </c>
    </row>
    <row r="986" spans="1:8">
      <c r="D986" t="s">
        <v>825</v>
      </c>
      <c r="E986">
        <v>0</v>
      </c>
      <c r="F986">
        <v>0</v>
      </c>
      <c r="G986">
        <v>0</v>
      </c>
      <c r="H986">
        <v>0</v>
      </c>
    </row>
    <row r="987" spans="1:8">
      <c r="D987" t="s">
        <v>826</v>
      </c>
      <c r="E987">
        <v>0</v>
      </c>
      <c r="F987">
        <v>0</v>
      </c>
      <c r="G987">
        <v>0</v>
      </c>
      <c r="H987">
        <v>0</v>
      </c>
    </row>
    <row r="988" spans="1:8">
      <c r="D988" t="s">
        <v>827</v>
      </c>
      <c r="E988">
        <v>0</v>
      </c>
      <c r="F988">
        <v>0</v>
      </c>
      <c r="G988">
        <v>0</v>
      </c>
      <c r="H988">
        <v>0</v>
      </c>
    </row>
    <row r="989" spans="1:8">
      <c r="D989" t="s">
        <v>818</v>
      </c>
      <c r="E989">
        <v>0</v>
      </c>
      <c r="F989">
        <v>0</v>
      </c>
      <c r="G989">
        <v>0</v>
      </c>
      <c r="H989">
        <v>0</v>
      </c>
    </row>
    <row r="990" spans="1:8">
      <c r="A990">
        <v>5</v>
      </c>
      <c r="B990" t="s">
        <v>289</v>
      </c>
      <c r="C990" t="s">
        <v>289</v>
      </c>
      <c r="D990" t="s">
        <v>63</v>
      </c>
      <c r="E990">
        <v>0</v>
      </c>
      <c r="F990">
        <v>0</v>
      </c>
      <c r="G990">
        <v>0</v>
      </c>
      <c r="H990">
        <v>0</v>
      </c>
    </row>
    <row r="991" spans="1:8">
      <c r="A991" t="s">
        <v>14</v>
      </c>
      <c r="B991" t="s">
        <v>289</v>
      </c>
      <c r="C991" t="s">
        <v>289</v>
      </c>
      <c r="D991" t="s">
        <v>828</v>
      </c>
      <c r="E991">
        <v>0</v>
      </c>
      <c r="F991">
        <v>0</v>
      </c>
      <c r="G991">
        <v>0</v>
      </c>
      <c r="H991">
        <v>0</v>
      </c>
    </row>
    <row r="992" spans="1:8">
      <c r="D992" t="s">
        <v>829</v>
      </c>
      <c r="E992">
        <v>0</v>
      </c>
      <c r="F992">
        <v>0</v>
      </c>
      <c r="G992">
        <v>0</v>
      </c>
      <c r="H992">
        <v>0</v>
      </c>
    </row>
    <row r="993" spans="1:8">
      <c r="D993" t="s">
        <v>830</v>
      </c>
      <c r="E993">
        <v>0</v>
      </c>
      <c r="F993">
        <v>0</v>
      </c>
      <c r="G993">
        <v>0</v>
      </c>
      <c r="H993">
        <v>0</v>
      </c>
    </row>
    <row r="994" spans="1:8">
      <c r="D994" t="s">
        <v>793</v>
      </c>
      <c r="E994">
        <v>0</v>
      </c>
      <c r="F994">
        <v>0</v>
      </c>
      <c r="G994">
        <v>0</v>
      </c>
      <c r="H994">
        <v>0</v>
      </c>
    </row>
    <row r="995" spans="1:8">
      <c r="D995" t="s">
        <v>831</v>
      </c>
      <c r="E995">
        <v>0</v>
      </c>
      <c r="F995">
        <v>0</v>
      </c>
      <c r="G995">
        <v>0</v>
      </c>
      <c r="H995">
        <v>0</v>
      </c>
    </row>
    <row r="996" spans="1:8">
      <c r="D996" t="s">
        <v>832</v>
      </c>
      <c r="E996">
        <v>0</v>
      </c>
      <c r="F996">
        <v>0</v>
      </c>
      <c r="G996">
        <v>0</v>
      </c>
      <c r="H996">
        <v>0</v>
      </c>
    </row>
    <row r="997" spans="1:8">
      <c r="D997" t="s">
        <v>833</v>
      </c>
      <c r="E997">
        <v>0</v>
      </c>
      <c r="F997">
        <v>0</v>
      </c>
      <c r="G997">
        <v>0</v>
      </c>
      <c r="H997">
        <v>0</v>
      </c>
    </row>
    <row r="998" spans="1:8">
      <c r="D998" t="s">
        <v>834</v>
      </c>
      <c r="E998">
        <v>0</v>
      </c>
      <c r="F998">
        <v>0</v>
      </c>
      <c r="G998">
        <v>0</v>
      </c>
      <c r="H998">
        <v>0</v>
      </c>
    </row>
    <row r="999" spans="1:8">
      <c r="D999" t="s">
        <v>835</v>
      </c>
      <c r="E999">
        <v>0</v>
      </c>
      <c r="F999">
        <v>0</v>
      </c>
      <c r="G999">
        <v>0</v>
      </c>
      <c r="H999">
        <v>0</v>
      </c>
    </row>
    <row r="1000" spans="1:8">
      <c r="D1000" t="s">
        <v>836</v>
      </c>
      <c r="E1000">
        <v>0</v>
      </c>
      <c r="F1000">
        <v>0</v>
      </c>
      <c r="G1000">
        <v>0</v>
      </c>
      <c r="H1000">
        <v>0</v>
      </c>
    </row>
    <row r="1001" spans="1:8">
      <c r="D1001" t="s">
        <v>818</v>
      </c>
      <c r="E1001">
        <v>0</v>
      </c>
      <c r="F1001">
        <v>0</v>
      </c>
      <c r="G1001">
        <v>0</v>
      </c>
      <c r="H1001">
        <v>0</v>
      </c>
    </row>
    <row r="1002" spans="1:8">
      <c r="A1002">
        <v>6</v>
      </c>
      <c r="B1002" t="s">
        <v>289</v>
      </c>
      <c r="C1002" t="s">
        <v>289</v>
      </c>
      <c r="D1002" t="s">
        <v>65</v>
      </c>
      <c r="E1002">
        <v>0</v>
      </c>
      <c r="F1002">
        <v>0</v>
      </c>
      <c r="G1002">
        <v>0</v>
      </c>
      <c r="H1002">
        <v>0</v>
      </c>
    </row>
    <row r="1003" spans="1:8">
      <c r="A1003" t="s">
        <v>14</v>
      </c>
      <c r="B1003" t="s">
        <v>289</v>
      </c>
      <c r="C1003" t="s">
        <v>289</v>
      </c>
      <c r="D1003" t="s">
        <v>837</v>
      </c>
      <c r="E1003">
        <v>0</v>
      </c>
      <c r="F1003">
        <v>0</v>
      </c>
      <c r="G1003">
        <v>0</v>
      </c>
      <c r="H1003">
        <v>0</v>
      </c>
    </row>
    <row r="1004" spans="1:8">
      <c r="D1004" t="s">
        <v>829</v>
      </c>
      <c r="E1004">
        <v>0</v>
      </c>
      <c r="F1004">
        <v>0</v>
      </c>
      <c r="G1004">
        <v>0</v>
      </c>
      <c r="H1004">
        <v>0</v>
      </c>
    </row>
    <row r="1005" spans="1:8">
      <c r="D1005" t="s">
        <v>793</v>
      </c>
      <c r="E1005">
        <v>0</v>
      </c>
      <c r="F1005">
        <v>0</v>
      </c>
      <c r="G1005">
        <v>0</v>
      </c>
      <c r="H1005">
        <v>0</v>
      </c>
    </row>
    <row r="1006" spans="1:8">
      <c r="D1006" t="s">
        <v>832</v>
      </c>
      <c r="E1006">
        <v>0</v>
      </c>
      <c r="F1006">
        <v>0</v>
      </c>
      <c r="G1006">
        <v>0</v>
      </c>
      <c r="H1006">
        <v>0</v>
      </c>
    </row>
    <row r="1007" spans="1:8">
      <c r="D1007" t="s">
        <v>835</v>
      </c>
      <c r="E1007">
        <v>0</v>
      </c>
      <c r="F1007">
        <v>0</v>
      </c>
      <c r="G1007">
        <v>0</v>
      </c>
      <c r="H1007">
        <v>0</v>
      </c>
    </row>
    <row r="1008" spans="1:8">
      <c r="D1008" t="s">
        <v>818</v>
      </c>
      <c r="E1008">
        <v>0</v>
      </c>
      <c r="F1008">
        <v>0</v>
      </c>
      <c r="G1008">
        <v>0</v>
      </c>
      <c r="H1008">
        <v>0</v>
      </c>
    </row>
    <row r="1009" spans="1:8">
      <c r="A1009">
        <v>7</v>
      </c>
      <c r="B1009" t="s">
        <v>289</v>
      </c>
      <c r="C1009" t="s">
        <v>289</v>
      </c>
      <c r="D1009" t="s">
        <v>67</v>
      </c>
      <c r="E1009">
        <v>0</v>
      </c>
      <c r="F1009">
        <v>0</v>
      </c>
      <c r="G1009">
        <v>0</v>
      </c>
      <c r="H1009">
        <v>0</v>
      </c>
    </row>
    <row r="1010" spans="1:8">
      <c r="A1010" t="s">
        <v>14</v>
      </c>
      <c r="B1010" t="s">
        <v>289</v>
      </c>
      <c r="C1010" t="s">
        <v>289</v>
      </c>
      <c r="D1010" t="s">
        <v>839</v>
      </c>
      <c r="E1010">
        <v>0</v>
      </c>
      <c r="F1010">
        <v>0</v>
      </c>
      <c r="G1010">
        <v>0</v>
      </c>
      <c r="H1010">
        <v>0</v>
      </c>
    </row>
    <row r="1011" spans="1:8">
      <c r="D1011" t="s">
        <v>792</v>
      </c>
      <c r="E1011">
        <v>0</v>
      </c>
      <c r="F1011">
        <v>0</v>
      </c>
      <c r="G1011">
        <v>0</v>
      </c>
      <c r="H1011">
        <v>0</v>
      </c>
    </row>
    <row r="1012" spans="1:8">
      <c r="D1012" t="s">
        <v>840</v>
      </c>
      <c r="E1012">
        <v>0</v>
      </c>
      <c r="F1012">
        <v>0</v>
      </c>
      <c r="G1012">
        <v>0</v>
      </c>
      <c r="H1012">
        <v>0</v>
      </c>
    </row>
    <row r="1013" spans="1:8">
      <c r="D1013" t="s">
        <v>825</v>
      </c>
      <c r="E1013">
        <v>0</v>
      </c>
      <c r="F1013">
        <v>0</v>
      </c>
      <c r="G1013">
        <v>0</v>
      </c>
      <c r="H1013">
        <v>0</v>
      </c>
    </row>
    <row r="1014" spans="1:8">
      <c r="D1014" t="s">
        <v>826</v>
      </c>
      <c r="E1014">
        <v>0</v>
      </c>
      <c r="F1014">
        <v>0</v>
      </c>
      <c r="G1014">
        <v>0</v>
      </c>
      <c r="H1014">
        <v>0</v>
      </c>
    </row>
    <row r="1015" spans="1:8">
      <c r="D1015" t="s">
        <v>841</v>
      </c>
      <c r="E1015">
        <v>0</v>
      </c>
      <c r="F1015">
        <v>0</v>
      </c>
      <c r="G1015">
        <v>0</v>
      </c>
      <c r="H1015">
        <v>0</v>
      </c>
    </row>
    <row r="1016" spans="1:8">
      <c r="D1016" t="s">
        <v>842</v>
      </c>
      <c r="E1016">
        <v>0</v>
      </c>
      <c r="F1016">
        <v>0</v>
      </c>
      <c r="G1016">
        <v>0</v>
      </c>
      <c r="H1016">
        <v>0</v>
      </c>
    </row>
    <row r="1017" spans="1:8">
      <c r="A1017">
        <v>9</v>
      </c>
      <c r="B1017" t="s">
        <v>289</v>
      </c>
      <c r="C1017" t="s">
        <v>289</v>
      </c>
      <c r="D1017" t="s">
        <v>70</v>
      </c>
      <c r="E1017">
        <v>0</v>
      </c>
      <c r="F1017">
        <v>0</v>
      </c>
      <c r="G1017">
        <v>0</v>
      </c>
      <c r="H1017">
        <v>0</v>
      </c>
    </row>
    <row r="1018" spans="1:8">
      <c r="A1018" t="s">
        <v>14</v>
      </c>
      <c r="B1018" t="s">
        <v>289</v>
      </c>
      <c r="C1018" t="s">
        <v>289</v>
      </c>
      <c r="D1018" t="s">
        <v>71</v>
      </c>
      <c r="E1018">
        <v>0</v>
      </c>
      <c r="F1018">
        <v>0</v>
      </c>
      <c r="G1018">
        <v>0</v>
      </c>
      <c r="H1018">
        <v>0</v>
      </c>
    </row>
    <row r="1019" spans="1:8">
      <c r="A1019" t="s">
        <v>16</v>
      </c>
      <c r="B1019" t="s">
        <v>289</v>
      </c>
      <c r="C1019" t="s">
        <v>289</v>
      </c>
      <c r="D1019" t="s">
        <v>1924</v>
      </c>
      <c r="E1019">
        <v>0</v>
      </c>
      <c r="F1019">
        <v>0</v>
      </c>
      <c r="G1019">
        <v>0</v>
      </c>
      <c r="H1019">
        <v>0</v>
      </c>
    </row>
    <row r="1020" spans="1:8">
      <c r="D1020" t="s">
        <v>1925</v>
      </c>
      <c r="E1020">
        <v>0</v>
      </c>
      <c r="F1020">
        <v>0</v>
      </c>
      <c r="G1020">
        <v>0</v>
      </c>
      <c r="H1020">
        <v>0</v>
      </c>
    </row>
    <row r="1021" spans="1:8">
      <c r="D1021" t="s">
        <v>845</v>
      </c>
      <c r="E1021">
        <v>0</v>
      </c>
      <c r="F1021">
        <v>0</v>
      </c>
      <c r="G1021">
        <v>0</v>
      </c>
      <c r="H1021">
        <v>0</v>
      </c>
    </row>
    <row r="1022" spans="1:8">
      <c r="D1022" t="s">
        <v>846</v>
      </c>
      <c r="E1022">
        <v>0</v>
      </c>
      <c r="F1022">
        <v>0</v>
      </c>
      <c r="G1022">
        <v>0</v>
      </c>
      <c r="H1022">
        <v>0</v>
      </c>
    </row>
    <row r="1023" spans="1:8">
      <c r="D1023" t="s">
        <v>845</v>
      </c>
      <c r="E1023">
        <v>0</v>
      </c>
      <c r="F1023">
        <v>0</v>
      </c>
      <c r="G1023">
        <v>0</v>
      </c>
      <c r="H1023">
        <v>0</v>
      </c>
    </row>
    <row r="1024" spans="1:8">
      <c r="D1024" t="s">
        <v>847</v>
      </c>
      <c r="E1024">
        <v>0</v>
      </c>
      <c r="F1024">
        <v>0</v>
      </c>
      <c r="G1024">
        <v>0</v>
      </c>
      <c r="H1024">
        <v>0</v>
      </c>
    </row>
    <row r="1025" spans="1:8">
      <c r="D1025" t="s">
        <v>848</v>
      </c>
      <c r="E1025">
        <v>0</v>
      </c>
      <c r="F1025">
        <v>0</v>
      </c>
      <c r="G1025">
        <v>0</v>
      </c>
      <c r="H1025">
        <v>0</v>
      </c>
    </row>
    <row r="1026" spans="1:8">
      <c r="D1026" t="s">
        <v>829</v>
      </c>
      <c r="E1026">
        <v>0</v>
      </c>
      <c r="F1026">
        <v>0</v>
      </c>
      <c r="G1026">
        <v>0</v>
      </c>
      <c r="H1026">
        <v>0</v>
      </c>
    </row>
    <row r="1027" spans="1:8">
      <c r="D1027" t="s">
        <v>832</v>
      </c>
      <c r="E1027">
        <v>0</v>
      </c>
      <c r="F1027">
        <v>0</v>
      </c>
      <c r="G1027">
        <v>0</v>
      </c>
      <c r="H1027">
        <v>0</v>
      </c>
    </row>
    <row r="1028" spans="1:8">
      <c r="D1028" t="s">
        <v>849</v>
      </c>
      <c r="E1028">
        <v>0</v>
      </c>
      <c r="F1028">
        <v>0</v>
      </c>
      <c r="G1028">
        <v>0</v>
      </c>
      <c r="H1028">
        <v>0</v>
      </c>
    </row>
    <row r="1029" spans="1:8">
      <c r="D1029" t="s">
        <v>1591</v>
      </c>
      <c r="E1029">
        <v>0</v>
      </c>
      <c r="F1029">
        <v>0</v>
      </c>
      <c r="G1029">
        <v>0</v>
      </c>
      <c r="H1029">
        <v>0</v>
      </c>
    </row>
    <row r="1030" spans="1:8">
      <c r="A1030" t="s">
        <v>19</v>
      </c>
      <c r="B1030" t="s">
        <v>1914</v>
      </c>
      <c r="C1030" t="s">
        <v>1739</v>
      </c>
      <c r="D1030" t="s">
        <v>73</v>
      </c>
      <c r="E1030">
        <v>0</v>
      </c>
      <c r="F1030">
        <v>0</v>
      </c>
      <c r="G1030">
        <v>0</v>
      </c>
      <c r="H1030">
        <v>0</v>
      </c>
    </row>
    <row r="1031" spans="1:8">
      <c r="D1031" t="s">
        <v>768</v>
      </c>
      <c r="E1031">
        <v>0</v>
      </c>
      <c r="F1031">
        <v>0</v>
      </c>
      <c r="G1031">
        <v>0</v>
      </c>
      <c r="H1031">
        <v>0</v>
      </c>
    </row>
    <row r="1032" spans="1:8">
      <c r="D1032" t="s">
        <v>826</v>
      </c>
      <c r="E1032">
        <v>0</v>
      </c>
      <c r="F1032">
        <v>0</v>
      </c>
      <c r="G1032">
        <v>0</v>
      </c>
      <c r="H1032">
        <v>0</v>
      </c>
    </row>
    <row r="1033" spans="1:8">
      <c r="D1033" t="s">
        <v>850</v>
      </c>
      <c r="E1033">
        <v>0</v>
      </c>
      <c r="F1033">
        <v>0</v>
      </c>
      <c r="G1033">
        <v>0</v>
      </c>
      <c r="H1033">
        <v>0</v>
      </c>
    </row>
    <row r="1034" spans="1:8">
      <c r="A1034" t="s">
        <v>44</v>
      </c>
      <c r="B1034" t="s">
        <v>1914</v>
      </c>
      <c r="C1034" t="s">
        <v>1739</v>
      </c>
      <c r="D1034" t="s">
        <v>851</v>
      </c>
      <c r="E1034">
        <v>0</v>
      </c>
      <c r="F1034">
        <v>0</v>
      </c>
      <c r="G1034">
        <v>0</v>
      </c>
      <c r="H1034">
        <v>0</v>
      </c>
    </row>
    <row r="1035" spans="1:8">
      <c r="A1035" t="s">
        <v>21</v>
      </c>
      <c r="B1035" t="s">
        <v>149</v>
      </c>
      <c r="C1035" t="s">
        <v>148</v>
      </c>
      <c r="D1035" t="s">
        <v>1926</v>
      </c>
      <c r="E1035">
        <v>0</v>
      </c>
      <c r="F1035">
        <v>0</v>
      </c>
      <c r="G1035">
        <v>0</v>
      </c>
      <c r="H1035">
        <v>0</v>
      </c>
    </row>
    <row r="1036" spans="1:8">
      <c r="D1036" t="s">
        <v>853</v>
      </c>
      <c r="E1036">
        <v>0</v>
      </c>
      <c r="F1036">
        <v>0</v>
      </c>
      <c r="G1036">
        <v>0</v>
      </c>
      <c r="H1036">
        <v>0</v>
      </c>
    </row>
    <row r="1037" spans="1:8">
      <c r="D1037" t="s">
        <v>829</v>
      </c>
      <c r="E1037">
        <v>0</v>
      </c>
      <c r="F1037">
        <v>0</v>
      </c>
      <c r="G1037">
        <v>0</v>
      </c>
      <c r="H1037">
        <v>0</v>
      </c>
    </row>
    <row r="1038" spans="1:8">
      <c r="D1038" t="s">
        <v>830</v>
      </c>
      <c r="E1038">
        <v>0</v>
      </c>
      <c r="F1038">
        <v>0</v>
      </c>
      <c r="G1038">
        <v>0</v>
      </c>
      <c r="H1038">
        <v>0</v>
      </c>
    </row>
    <row r="1039" spans="1:8">
      <c r="D1039" t="s">
        <v>831</v>
      </c>
      <c r="E1039">
        <v>0</v>
      </c>
      <c r="F1039">
        <v>0</v>
      </c>
      <c r="G1039">
        <v>0</v>
      </c>
      <c r="H1039">
        <v>0</v>
      </c>
    </row>
    <row r="1040" spans="1:8">
      <c r="D1040" t="s">
        <v>789</v>
      </c>
      <c r="E1040">
        <v>0</v>
      </c>
      <c r="F1040">
        <v>0</v>
      </c>
      <c r="G1040">
        <v>0</v>
      </c>
      <c r="H1040">
        <v>0</v>
      </c>
    </row>
    <row r="1041" spans="4:8">
      <c r="D1041" t="s">
        <v>832</v>
      </c>
      <c r="E1041">
        <v>0</v>
      </c>
      <c r="F1041">
        <v>0</v>
      </c>
      <c r="G1041">
        <v>0</v>
      </c>
      <c r="H1041">
        <v>0</v>
      </c>
    </row>
    <row r="1042" spans="4:8">
      <c r="D1042" t="s">
        <v>833</v>
      </c>
      <c r="E1042">
        <v>0</v>
      </c>
      <c r="F1042">
        <v>0</v>
      </c>
      <c r="G1042">
        <v>0</v>
      </c>
      <c r="H1042">
        <v>0</v>
      </c>
    </row>
    <row r="1043" spans="4:8">
      <c r="D1043" t="s">
        <v>834</v>
      </c>
      <c r="E1043">
        <v>0</v>
      </c>
      <c r="F1043">
        <v>0</v>
      </c>
      <c r="G1043">
        <v>0</v>
      </c>
      <c r="H1043">
        <v>0</v>
      </c>
    </row>
    <row r="1044" spans="4:8">
      <c r="D1044" t="s">
        <v>789</v>
      </c>
      <c r="E1044">
        <v>0</v>
      </c>
      <c r="F1044">
        <v>0</v>
      </c>
      <c r="G1044">
        <v>0</v>
      </c>
      <c r="H1044">
        <v>0</v>
      </c>
    </row>
    <row r="1045" spans="4:8">
      <c r="D1045" t="s">
        <v>847</v>
      </c>
      <c r="E1045">
        <v>0</v>
      </c>
      <c r="F1045">
        <v>0</v>
      </c>
      <c r="G1045">
        <v>0</v>
      </c>
      <c r="H1045">
        <v>0</v>
      </c>
    </row>
    <row r="1046" spans="4:8">
      <c r="D1046" t="s">
        <v>848</v>
      </c>
      <c r="E1046">
        <v>0</v>
      </c>
      <c r="F1046">
        <v>0</v>
      </c>
      <c r="G1046">
        <v>0</v>
      </c>
      <c r="H1046">
        <v>0</v>
      </c>
    </row>
    <row r="1047" spans="4:8">
      <c r="D1047" t="s">
        <v>854</v>
      </c>
      <c r="E1047">
        <v>0</v>
      </c>
      <c r="F1047">
        <v>0</v>
      </c>
      <c r="G1047">
        <v>0</v>
      </c>
      <c r="H1047">
        <v>0</v>
      </c>
    </row>
    <row r="1048" spans="4:8">
      <c r="D1048" t="s">
        <v>855</v>
      </c>
      <c r="E1048">
        <v>0</v>
      </c>
      <c r="F1048">
        <v>0</v>
      </c>
      <c r="G1048">
        <v>0</v>
      </c>
      <c r="H1048">
        <v>0</v>
      </c>
    </row>
    <row r="1049" spans="4:8">
      <c r="D1049" t="s">
        <v>787</v>
      </c>
      <c r="E1049">
        <v>0</v>
      </c>
      <c r="F1049">
        <v>0</v>
      </c>
      <c r="G1049">
        <v>0</v>
      </c>
      <c r="H1049">
        <v>0</v>
      </c>
    </row>
    <row r="1050" spans="4:8">
      <c r="D1050" t="s">
        <v>856</v>
      </c>
      <c r="E1050">
        <v>0</v>
      </c>
      <c r="F1050">
        <v>0</v>
      </c>
      <c r="G1050">
        <v>0</v>
      </c>
      <c r="H1050">
        <v>0</v>
      </c>
    </row>
    <row r="1051" spans="4:8">
      <c r="D1051" t="s">
        <v>824</v>
      </c>
      <c r="E1051">
        <v>0</v>
      </c>
      <c r="F1051">
        <v>0</v>
      </c>
      <c r="G1051">
        <v>0</v>
      </c>
      <c r="H1051">
        <v>0</v>
      </c>
    </row>
    <row r="1052" spans="4:8">
      <c r="D1052" t="s">
        <v>824</v>
      </c>
      <c r="E1052">
        <v>0</v>
      </c>
      <c r="F1052">
        <v>0</v>
      </c>
      <c r="G1052">
        <v>0</v>
      </c>
      <c r="H1052">
        <v>0</v>
      </c>
    </row>
    <row r="1053" spans="4:8">
      <c r="D1053" t="s">
        <v>787</v>
      </c>
      <c r="E1053">
        <v>0</v>
      </c>
      <c r="F1053">
        <v>0</v>
      </c>
      <c r="G1053">
        <v>0</v>
      </c>
      <c r="H1053">
        <v>0</v>
      </c>
    </row>
    <row r="1054" spans="4:8">
      <c r="D1054" t="s">
        <v>857</v>
      </c>
      <c r="E1054">
        <v>0</v>
      </c>
      <c r="F1054">
        <v>0</v>
      </c>
      <c r="G1054">
        <v>0</v>
      </c>
      <c r="H1054">
        <v>0</v>
      </c>
    </row>
    <row r="1055" spans="4:8">
      <c r="D1055" t="s">
        <v>858</v>
      </c>
      <c r="E1055">
        <v>0</v>
      </c>
      <c r="F1055">
        <v>0</v>
      </c>
      <c r="G1055">
        <v>0</v>
      </c>
      <c r="H1055">
        <v>0</v>
      </c>
    </row>
    <row r="1056" spans="4:8">
      <c r="D1056" t="s">
        <v>787</v>
      </c>
      <c r="E1056">
        <v>0</v>
      </c>
      <c r="F1056">
        <v>0</v>
      </c>
      <c r="G1056">
        <v>0</v>
      </c>
      <c r="H1056">
        <v>0</v>
      </c>
    </row>
    <row r="1057" spans="1:8">
      <c r="D1057" t="s">
        <v>789</v>
      </c>
      <c r="E1057">
        <v>0</v>
      </c>
      <c r="F1057">
        <v>0</v>
      </c>
      <c r="G1057">
        <v>0</v>
      </c>
      <c r="H1057">
        <v>0</v>
      </c>
    </row>
    <row r="1058" spans="1:8">
      <c r="D1058" t="s">
        <v>859</v>
      </c>
      <c r="E1058">
        <v>0</v>
      </c>
      <c r="F1058">
        <v>0</v>
      </c>
      <c r="G1058">
        <v>0</v>
      </c>
      <c r="H1058">
        <v>0</v>
      </c>
    </row>
    <row r="1059" spans="1:8">
      <c r="D1059" t="s">
        <v>818</v>
      </c>
      <c r="E1059">
        <v>0</v>
      </c>
      <c r="F1059">
        <v>0</v>
      </c>
      <c r="G1059">
        <v>0</v>
      </c>
      <c r="H1059">
        <v>0</v>
      </c>
    </row>
    <row r="1060" spans="1:8">
      <c r="A1060" t="s">
        <v>23</v>
      </c>
      <c r="B1060" t="s">
        <v>6</v>
      </c>
      <c r="C1060" t="s">
        <v>6</v>
      </c>
      <c r="D1060" t="s">
        <v>860</v>
      </c>
      <c r="E1060">
        <v>0</v>
      </c>
      <c r="F1060">
        <v>0</v>
      </c>
      <c r="G1060">
        <v>0</v>
      </c>
      <c r="H1060">
        <v>0</v>
      </c>
    </row>
    <row r="1061" spans="1:8">
      <c r="D1061" t="s">
        <v>859</v>
      </c>
      <c r="E1061">
        <v>0</v>
      </c>
      <c r="F1061">
        <v>0</v>
      </c>
      <c r="G1061">
        <v>0</v>
      </c>
      <c r="H1061">
        <v>0</v>
      </c>
    </row>
    <row r="1062" spans="1:8">
      <c r="D1062" t="s">
        <v>1446</v>
      </c>
      <c r="E1062">
        <v>0</v>
      </c>
      <c r="F1062">
        <v>0</v>
      </c>
      <c r="G1062">
        <v>0</v>
      </c>
      <c r="H1062">
        <v>0</v>
      </c>
    </row>
    <row r="1063" spans="1:8">
      <c r="D1063" t="s">
        <v>792</v>
      </c>
      <c r="E1063">
        <v>0</v>
      </c>
      <c r="F1063">
        <v>0</v>
      </c>
      <c r="G1063">
        <v>0</v>
      </c>
      <c r="H1063">
        <v>0</v>
      </c>
    </row>
    <row r="1064" spans="1:8">
      <c r="D1064" t="s">
        <v>786</v>
      </c>
      <c r="E1064">
        <v>0</v>
      </c>
      <c r="F1064">
        <v>0</v>
      </c>
      <c r="G1064">
        <v>0</v>
      </c>
      <c r="H1064">
        <v>0</v>
      </c>
    </row>
    <row r="1065" spans="1:8">
      <c r="A1065" t="s">
        <v>52</v>
      </c>
      <c r="B1065" t="s">
        <v>6</v>
      </c>
      <c r="C1065" t="s">
        <v>6</v>
      </c>
      <c r="D1065" t="s">
        <v>80</v>
      </c>
      <c r="E1065">
        <v>0</v>
      </c>
      <c r="F1065">
        <v>0</v>
      </c>
      <c r="G1065">
        <v>0</v>
      </c>
      <c r="H1065">
        <v>0</v>
      </c>
    </row>
    <row r="1066" spans="1:8">
      <c r="A1066" t="s">
        <v>16</v>
      </c>
      <c r="B1066" t="s">
        <v>6</v>
      </c>
      <c r="C1066" t="s">
        <v>6</v>
      </c>
      <c r="D1066" t="s">
        <v>861</v>
      </c>
      <c r="E1066">
        <v>0</v>
      </c>
      <c r="F1066">
        <v>0</v>
      </c>
      <c r="G1066">
        <v>0</v>
      </c>
      <c r="H1066">
        <v>0</v>
      </c>
    </row>
    <row r="1067" spans="1:8">
      <c r="D1067" t="s">
        <v>862</v>
      </c>
      <c r="E1067">
        <v>0</v>
      </c>
      <c r="F1067">
        <v>0</v>
      </c>
      <c r="G1067">
        <v>0</v>
      </c>
      <c r="H1067">
        <v>0</v>
      </c>
    </row>
    <row r="1068" spans="1:8">
      <c r="D1068" t="s">
        <v>863</v>
      </c>
      <c r="E1068">
        <v>0</v>
      </c>
      <c r="F1068">
        <v>0</v>
      </c>
      <c r="G1068">
        <v>0</v>
      </c>
      <c r="H1068">
        <v>0</v>
      </c>
    </row>
    <row r="1069" spans="1:8">
      <c r="A1069" t="s">
        <v>53</v>
      </c>
      <c r="B1069" t="s">
        <v>6</v>
      </c>
      <c r="C1069" t="s">
        <v>6</v>
      </c>
      <c r="D1069" t="s">
        <v>82</v>
      </c>
      <c r="E1069">
        <v>0</v>
      </c>
      <c r="F1069">
        <v>0</v>
      </c>
      <c r="G1069">
        <v>0</v>
      </c>
      <c r="H1069">
        <v>0</v>
      </c>
    </row>
    <row r="1070" spans="1:8">
      <c r="A1070" t="s">
        <v>16</v>
      </c>
      <c r="B1070" t="s">
        <v>6</v>
      </c>
      <c r="C1070" t="s">
        <v>6</v>
      </c>
      <c r="D1070" t="s">
        <v>864</v>
      </c>
      <c r="E1070">
        <v>0</v>
      </c>
      <c r="F1070">
        <v>0</v>
      </c>
      <c r="G1070">
        <v>0</v>
      </c>
      <c r="H1070">
        <v>0</v>
      </c>
    </row>
    <row r="1071" spans="1:8">
      <c r="D1071" t="s">
        <v>1927</v>
      </c>
      <c r="E1071">
        <v>0</v>
      </c>
      <c r="F1071">
        <v>0</v>
      </c>
      <c r="G1071">
        <v>0</v>
      </c>
      <c r="H1071">
        <v>0</v>
      </c>
    </row>
    <row r="1072" spans="1:8">
      <c r="D1072" t="s">
        <v>818</v>
      </c>
      <c r="E1072">
        <v>0</v>
      </c>
      <c r="F1072">
        <v>0</v>
      </c>
      <c r="G1072">
        <v>0</v>
      </c>
      <c r="H1072">
        <v>0</v>
      </c>
    </row>
    <row r="1073" spans="1:8">
      <c r="A1073" t="s">
        <v>85</v>
      </c>
      <c r="B1073" t="s">
        <v>6</v>
      </c>
      <c r="C1073" t="s">
        <v>6</v>
      </c>
      <c r="D1073" t="s">
        <v>86</v>
      </c>
      <c r="E1073">
        <v>0</v>
      </c>
      <c r="F1073">
        <v>0</v>
      </c>
      <c r="G1073">
        <v>0</v>
      </c>
      <c r="H1073">
        <v>0</v>
      </c>
    </row>
    <row r="1074" spans="1:8">
      <c r="A1074" t="s">
        <v>19</v>
      </c>
      <c r="B1074" t="s">
        <v>1914</v>
      </c>
      <c r="C1074" t="s">
        <v>1739</v>
      </c>
      <c r="D1074" t="s">
        <v>1928</v>
      </c>
      <c r="E1074">
        <v>0</v>
      </c>
      <c r="F1074">
        <v>0</v>
      </c>
      <c r="G1074">
        <v>0</v>
      </c>
      <c r="H1074">
        <v>0</v>
      </c>
    </row>
    <row r="1075" spans="1:8">
      <c r="D1075" t="s">
        <v>867</v>
      </c>
      <c r="E1075">
        <v>0</v>
      </c>
      <c r="F1075">
        <v>0</v>
      </c>
      <c r="G1075">
        <v>0</v>
      </c>
      <c r="H1075">
        <v>0</v>
      </c>
    </row>
    <row r="1076" spans="1:8">
      <c r="D1076" t="s">
        <v>1448</v>
      </c>
      <c r="E1076">
        <v>0</v>
      </c>
      <c r="F1076">
        <v>0</v>
      </c>
      <c r="G1076">
        <v>0</v>
      </c>
      <c r="H1076">
        <v>0</v>
      </c>
    </row>
    <row r="1077" spans="1:8">
      <c r="D1077" t="s">
        <v>845</v>
      </c>
      <c r="E1077">
        <v>0</v>
      </c>
      <c r="F1077">
        <v>0</v>
      </c>
      <c r="G1077">
        <v>0</v>
      </c>
      <c r="H1077">
        <v>0</v>
      </c>
    </row>
    <row r="1078" spans="1:8">
      <c r="D1078" t="s">
        <v>818</v>
      </c>
      <c r="E1078">
        <v>0</v>
      </c>
      <c r="F1078">
        <v>0</v>
      </c>
      <c r="G1078">
        <v>0</v>
      </c>
      <c r="H1078">
        <v>0</v>
      </c>
    </row>
    <row r="1079" spans="1:8">
      <c r="A1079">
        <v>10</v>
      </c>
      <c r="B1079" t="s">
        <v>1914</v>
      </c>
      <c r="C1079" t="s">
        <v>1739</v>
      </c>
      <c r="D1079" t="s">
        <v>90</v>
      </c>
      <c r="E1079">
        <v>0</v>
      </c>
      <c r="F1079">
        <v>0</v>
      </c>
      <c r="G1079">
        <v>0</v>
      </c>
      <c r="H1079">
        <v>0</v>
      </c>
    </row>
    <row r="1080" spans="1:8">
      <c r="A1080" t="s">
        <v>14</v>
      </c>
      <c r="B1080" t="s">
        <v>1914</v>
      </c>
      <c r="C1080" t="s">
        <v>1739</v>
      </c>
      <c r="D1080" t="s">
        <v>868</v>
      </c>
      <c r="E1080">
        <v>0</v>
      </c>
      <c r="F1080">
        <v>0</v>
      </c>
      <c r="G1080">
        <v>0</v>
      </c>
      <c r="H1080">
        <v>0</v>
      </c>
    </row>
    <row r="1081" spans="1:8">
      <c r="D1081" t="s">
        <v>869</v>
      </c>
      <c r="E1081">
        <v>0</v>
      </c>
      <c r="F1081">
        <v>0</v>
      </c>
      <c r="G1081">
        <v>0</v>
      </c>
      <c r="H1081">
        <v>0</v>
      </c>
    </row>
    <row r="1082" spans="1:8">
      <c r="A1082" t="s">
        <v>47</v>
      </c>
      <c r="B1082" t="s">
        <v>1914</v>
      </c>
      <c r="C1082" t="s">
        <v>1739</v>
      </c>
      <c r="D1082" t="s">
        <v>1929</v>
      </c>
      <c r="E1082">
        <v>0</v>
      </c>
      <c r="F1082">
        <v>0</v>
      </c>
      <c r="G1082">
        <v>0</v>
      </c>
      <c r="H1082">
        <v>0</v>
      </c>
    </row>
    <row r="1083" spans="1:8">
      <c r="D1083" t="s">
        <v>871</v>
      </c>
      <c r="E1083">
        <v>0</v>
      </c>
      <c r="F1083">
        <v>0</v>
      </c>
      <c r="G1083">
        <v>0</v>
      </c>
      <c r="H1083">
        <v>0</v>
      </c>
    </row>
    <row r="1084" spans="1:8">
      <c r="A1084" t="s">
        <v>50</v>
      </c>
      <c r="B1084" t="s">
        <v>1914</v>
      </c>
      <c r="C1084" t="s">
        <v>1739</v>
      </c>
      <c r="D1084" t="s">
        <v>1930</v>
      </c>
      <c r="E1084">
        <v>0</v>
      </c>
      <c r="F1084">
        <v>0</v>
      </c>
      <c r="G1084">
        <v>0</v>
      </c>
      <c r="H1084">
        <v>0</v>
      </c>
    </row>
    <row r="1085" spans="1:8">
      <c r="D1085" t="s">
        <v>792</v>
      </c>
      <c r="E1085">
        <v>0</v>
      </c>
      <c r="F1085">
        <v>0</v>
      </c>
      <c r="G1085">
        <v>0</v>
      </c>
      <c r="H1085">
        <v>0</v>
      </c>
    </row>
    <row r="1086" spans="1:8">
      <c r="D1086" t="s">
        <v>873</v>
      </c>
      <c r="E1086">
        <v>0</v>
      </c>
      <c r="F1086">
        <v>0</v>
      </c>
      <c r="G1086">
        <v>0</v>
      </c>
      <c r="H1086">
        <v>0</v>
      </c>
    </row>
    <row r="1087" spans="1:8">
      <c r="D1087" t="s">
        <v>871</v>
      </c>
      <c r="E1087">
        <v>0</v>
      </c>
      <c r="F1087">
        <v>0</v>
      </c>
      <c r="G1087">
        <v>0</v>
      </c>
      <c r="H1087">
        <v>0</v>
      </c>
    </row>
    <row r="1088" spans="1:8">
      <c r="D1088" t="s">
        <v>849</v>
      </c>
      <c r="E1088">
        <v>0</v>
      </c>
      <c r="F1088">
        <v>0</v>
      </c>
      <c r="G1088">
        <v>0</v>
      </c>
      <c r="H1088">
        <v>0</v>
      </c>
    </row>
    <row r="1089" spans="1:8">
      <c r="D1089" t="s">
        <v>874</v>
      </c>
      <c r="E1089">
        <v>0</v>
      </c>
      <c r="F1089">
        <v>0</v>
      </c>
      <c r="G1089">
        <v>0</v>
      </c>
      <c r="H1089">
        <v>0</v>
      </c>
    </row>
    <row r="1090" spans="1:8">
      <c r="D1090" t="s">
        <v>768</v>
      </c>
      <c r="E1090">
        <v>0</v>
      </c>
      <c r="F1090">
        <v>0</v>
      </c>
      <c r="G1090">
        <v>0</v>
      </c>
      <c r="H1090">
        <v>0</v>
      </c>
    </row>
    <row r="1091" spans="1:8">
      <c r="D1091" t="s">
        <v>875</v>
      </c>
      <c r="E1091">
        <v>0</v>
      </c>
      <c r="F1091">
        <v>0</v>
      </c>
      <c r="G1091">
        <v>0</v>
      </c>
      <c r="H1091">
        <v>0</v>
      </c>
    </row>
    <row r="1092" spans="1:8">
      <c r="D1092" t="s">
        <v>876</v>
      </c>
      <c r="E1092">
        <v>0</v>
      </c>
      <c r="F1092">
        <v>0</v>
      </c>
      <c r="G1092">
        <v>0</v>
      </c>
      <c r="H1092">
        <v>0</v>
      </c>
    </row>
    <row r="1093" spans="1:8">
      <c r="A1093" t="s">
        <v>52</v>
      </c>
      <c r="B1093" t="s">
        <v>1914</v>
      </c>
      <c r="C1093" t="s">
        <v>1739</v>
      </c>
      <c r="D1093" t="s">
        <v>877</v>
      </c>
      <c r="E1093">
        <v>0</v>
      </c>
      <c r="F1093">
        <v>0</v>
      </c>
      <c r="G1093">
        <v>0</v>
      </c>
      <c r="H1093">
        <v>0</v>
      </c>
    </row>
    <row r="1094" spans="1:8">
      <c r="D1094" t="s">
        <v>853</v>
      </c>
      <c r="E1094">
        <v>0</v>
      </c>
      <c r="F1094">
        <v>0</v>
      </c>
      <c r="G1094">
        <v>0</v>
      </c>
      <c r="H1094">
        <v>0</v>
      </c>
    </row>
    <row r="1095" spans="1:8">
      <c r="D1095" t="s">
        <v>871</v>
      </c>
      <c r="E1095">
        <v>0</v>
      </c>
      <c r="F1095">
        <v>0</v>
      </c>
      <c r="G1095">
        <v>0</v>
      </c>
      <c r="H1095">
        <v>0</v>
      </c>
    </row>
    <row r="1096" spans="1:8">
      <c r="D1096" t="s">
        <v>818</v>
      </c>
      <c r="E1096">
        <v>0</v>
      </c>
      <c r="F1096">
        <v>0</v>
      </c>
      <c r="G1096">
        <v>0</v>
      </c>
      <c r="H1096">
        <v>0</v>
      </c>
    </row>
    <row r="1097" spans="1:8">
      <c r="A1097">
        <v>11</v>
      </c>
      <c r="B1097" t="s">
        <v>1914</v>
      </c>
      <c r="C1097" t="s">
        <v>1739</v>
      </c>
      <c r="D1097" t="s">
        <v>91</v>
      </c>
      <c r="E1097">
        <v>0</v>
      </c>
      <c r="F1097">
        <v>0</v>
      </c>
      <c r="G1097">
        <v>0</v>
      </c>
      <c r="H1097">
        <v>0</v>
      </c>
    </row>
    <row r="1098" spans="1:8">
      <c r="A1098" t="s">
        <v>50</v>
      </c>
      <c r="B1098" t="s">
        <v>1914</v>
      </c>
      <c r="C1098" t="s">
        <v>1739</v>
      </c>
      <c r="D1098" t="s">
        <v>1931</v>
      </c>
      <c r="E1098">
        <v>0</v>
      </c>
      <c r="F1098">
        <v>0</v>
      </c>
      <c r="G1098">
        <v>0</v>
      </c>
      <c r="H1098">
        <v>0</v>
      </c>
    </row>
    <row r="1099" spans="1:8">
      <c r="D1099" t="s">
        <v>871</v>
      </c>
      <c r="E1099">
        <v>0</v>
      </c>
      <c r="F1099">
        <v>0</v>
      </c>
      <c r="G1099">
        <v>0</v>
      </c>
      <c r="H1099">
        <v>0</v>
      </c>
    </row>
    <row r="1100" spans="1:8">
      <c r="D1100" t="s">
        <v>873</v>
      </c>
      <c r="E1100">
        <v>0</v>
      </c>
      <c r="F1100">
        <v>0</v>
      </c>
      <c r="G1100">
        <v>0</v>
      </c>
      <c r="H1100">
        <v>0</v>
      </c>
    </row>
    <row r="1101" spans="1:8">
      <c r="D1101" t="s">
        <v>768</v>
      </c>
      <c r="E1101">
        <v>0</v>
      </c>
      <c r="F1101">
        <v>0</v>
      </c>
      <c r="G1101">
        <v>0</v>
      </c>
      <c r="H1101">
        <v>0</v>
      </c>
    </row>
    <row r="1102" spans="1:8">
      <c r="D1102" t="s">
        <v>878</v>
      </c>
      <c r="E1102">
        <v>0</v>
      </c>
      <c r="F1102">
        <v>0</v>
      </c>
      <c r="G1102">
        <v>0</v>
      </c>
      <c r="H1102">
        <v>0</v>
      </c>
    </row>
    <row r="1103" spans="1:8">
      <c r="A1103" t="s">
        <v>52</v>
      </c>
      <c r="B1103" t="s">
        <v>1914</v>
      </c>
      <c r="C1103" t="s">
        <v>1739</v>
      </c>
      <c r="D1103" t="s">
        <v>879</v>
      </c>
      <c r="E1103">
        <v>0</v>
      </c>
      <c r="F1103">
        <v>0</v>
      </c>
      <c r="G1103">
        <v>0</v>
      </c>
      <c r="H1103">
        <v>0</v>
      </c>
    </row>
    <row r="1104" spans="1:8">
      <c r="D1104" t="s">
        <v>767</v>
      </c>
      <c r="E1104">
        <v>0</v>
      </c>
      <c r="F1104">
        <v>0</v>
      </c>
      <c r="G1104">
        <v>0</v>
      </c>
      <c r="H1104">
        <v>0</v>
      </c>
    </row>
    <row r="1105" spans="1:8">
      <c r="D1105" t="s">
        <v>880</v>
      </c>
      <c r="E1105">
        <v>0</v>
      </c>
      <c r="F1105">
        <v>0</v>
      </c>
      <c r="G1105">
        <v>0</v>
      </c>
      <c r="H1105">
        <v>0</v>
      </c>
    </row>
    <row r="1106" spans="1:8">
      <c r="D1106" t="s">
        <v>849</v>
      </c>
      <c r="E1106">
        <v>0</v>
      </c>
      <c r="F1106">
        <v>0</v>
      </c>
      <c r="G1106">
        <v>0</v>
      </c>
      <c r="H1106">
        <v>0</v>
      </c>
    </row>
    <row r="1107" spans="1:8">
      <c r="D1107" t="s">
        <v>874</v>
      </c>
      <c r="E1107">
        <v>0</v>
      </c>
      <c r="F1107">
        <v>0</v>
      </c>
      <c r="G1107">
        <v>0</v>
      </c>
      <c r="H1107">
        <v>0</v>
      </c>
    </row>
    <row r="1108" spans="1:8">
      <c r="A1108">
        <v>15</v>
      </c>
      <c r="B1108" t="s">
        <v>1914</v>
      </c>
      <c r="C1108" t="s">
        <v>1739</v>
      </c>
      <c r="D1108" t="s">
        <v>96</v>
      </c>
      <c r="E1108">
        <v>0</v>
      </c>
      <c r="F1108">
        <v>0</v>
      </c>
      <c r="G1108">
        <v>0</v>
      </c>
      <c r="H1108">
        <v>0</v>
      </c>
    </row>
    <row r="1109" spans="1:8" ht="172.8">
      <c r="A1109" t="s">
        <v>14</v>
      </c>
      <c r="B1109" t="s">
        <v>1914</v>
      </c>
      <c r="C1109" t="s">
        <v>1739</v>
      </c>
      <c r="D1109" s="518" t="s">
        <v>1451</v>
      </c>
      <c r="E1109">
        <v>0</v>
      </c>
      <c r="F1109">
        <v>0</v>
      </c>
      <c r="G1109">
        <v>0</v>
      </c>
      <c r="H1109">
        <v>0</v>
      </c>
    </row>
    <row r="1110" spans="1:8">
      <c r="A1110" t="s">
        <v>44</v>
      </c>
      <c r="B1110" t="s">
        <v>1914</v>
      </c>
      <c r="C1110" t="s">
        <v>1739</v>
      </c>
      <c r="D1110" t="s">
        <v>1450</v>
      </c>
      <c r="E1110">
        <v>0</v>
      </c>
      <c r="F1110">
        <v>0</v>
      </c>
      <c r="G1110">
        <v>0</v>
      </c>
      <c r="H1110">
        <v>0</v>
      </c>
    </row>
    <row r="1111" spans="1:8">
      <c r="A1111" t="s">
        <v>46</v>
      </c>
      <c r="B1111" t="s">
        <v>1914</v>
      </c>
      <c r="C1111" t="s">
        <v>1739</v>
      </c>
      <c r="D1111" t="s">
        <v>1932</v>
      </c>
      <c r="E1111">
        <v>0</v>
      </c>
      <c r="F1111">
        <v>0</v>
      </c>
      <c r="G1111">
        <v>0</v>
      </c>
      <c r="H1111">
        <v>0</v>
      </c>
    </row>
    <row r="1112" spans="1:8">
      <c r="A1112" t="s">
        <v>47</v>
      </c>
      <c r="B1112" t="s">
        <v>1914</v>
      </c>
      <c r="C1112" t="s">
        <v>1739</v>
      </c>
      <c r="D1112" t="s">
        <v>1933</v>
      </c>
      <c r="E1112">
        <v>0</v>
      </c>
      <c r="F1112">
        <v>0</v>
      </c>
      <c r="G1112">
        <v>0</v>
      </c>
      <c r="H1112">
        <v>0</v>
      </c>
    </row>
    <row r="1113" spans="1:8">
      <c r="A1113" t="s">
        <v>50</v>
      </c>
      <c r="B1113" t="s">
        <v>1914</v>
      </c>
      <c r="C1113" t="s">
        <v>1739</v>
      </c>
      <c r="D1113" t="s">
        <v>1934</v>
      </c>
      <c r="E1113">
        <v>0</v>
      </c>
      <c r="F1113">
        <v>0</v>
      </c>
      <c r="G1113">
        <v>0</v>
      </c>
      <c r="H1113">
        <v>0</v>
      </c>
    </row>
    <row r="1114" spans="1:8">
      <c r="A1114" t="s">
        <v>52</v>
      </c>
      <c r="B1114" t="s">
        <v>1914</v>
      </c>
      <c r="C1114" t="s">
        <v>1739</v>
      </c>
      <c r="D1114" t="s">
        <v>1935</v>
      </c>
      <c r="E1114">
        <v>0</v>
      </c>
      <c r="F1114">
        <v>0</v>
      </c>
      <c r="G1114">
        <v>0</v>
      </c>
      <c r="H1114">
        <v>0</v>
      </c>
    </row>
    <row r="1115" spans="1:8">
      <c r="A1115">
        <v>16</v>
      </c>
      <c r="B1115" t="s">
        <v>1914</v>
      </c>
      <c r="C1115" t="s">
        <v>1739</v>
      </c>
      <c r="D1115" t="s">
        <v>102</v>
      </c>
      <c r="E1115">
        <v>0</v>
      </c>
      <c r="F1115">
        <v>0</v>
      </c>
      <c r="G1115">
        <v>0</v>
      </c>
      <c r="H1115">
        <v>0</v>
      </c>
    </row>
    <row r="1116" spans="1:8">
      <c r="A1116" t="s">
        <v>14</v>
      </c>
      <c r="B1116" t="s">
        <v>1914</v>
      </c>
      <c r="C1116" t="s">
        <v>1739</v>
      </c>
      <c r="D1116" t="s">
        <v>1936</v>
      </c>
      <c r="E1116">
        <v>0</v>
      </c>
      <c r="F1116">
        <v>0</v>
      </c>
      <c r="G1116">
        <v>0</v>
      </c>
      <c r="H1116">
        <v>0</v>
      </c>
    </row>
    <row r="1117" spans="1:8">
      <c r="A1117" t="s">
        <v>47</v>
      </c>
      <c r="B1117" t="s">
        <v>1914</v>
      </c>
      <c r="C1117" t="s">
        <v>1739</v>
      </c>
      <c r="D1117" t="s">
        <v>1937</v>
      </c>
      <c r="E1117">
        <v>0</v>
      </c>
      <c r="F1117">
        <v>0</v>
      </c>
      <c r="G1117">
        <v>0</v>
      </c>
      <c r="H1117">
        <v>0</v>
      </c>
    </row>
    <row r="1118" spans="1:8">
      <c r="A1118" t="s">
        <v>50</v>
      </c>
      <c r="B1118" t="s">
        <v>1914</v>
      </c>
      <c r="C1118" t="s">
        <v>1739</v>
      </c>
      <c r="D1118" t="s">
        <v>1938</v>
      </c>
      <c r="E1118">
        <v>0</v>
      </c>
      <c r="F1118">
        <v>0</v>
      </c>
      <c r="G1118">
        <v>0</v>
      </c>
      <c r="H1118">
        <v>0</v>
      </c>
    </row>
    <row r="1119" spans="1:8">
      <c r="A1119" t="s">
        <v>85</v>
      </c>
      <c r="B1119" t="s">
        <v>1914</v>
      </c>
      <c r="C1119" t="s">
        <v>1739</v>
      </c>
      <c r="D1119" t="s">
        <v>1939</v>
      </c>
      <c r="E1119">
        <v>0</v>
      </c>
      <c r="F1119">
        <v>0</v>
      </c>
      <c r="G1119">
        <v>0</v>
      </c>
      <c r="H1119">
        <v>0</v>
      </c>
    </row>
    <row r="1120" spans="1:8">
      <c r="A1120">
        <v>17</v>
      </c>
      <c r="B1120" t="s">
        <v>1914</v>
      </c>
      <c r="C1120" t="s">
        <v>1739</v>
      </c>
      <c r="D1120" t="s">
        <v>103</v>
      </c>
      <c r="E1120">
        <v>0</v>
      </c>
      <c r="F1120">
        <v>0</v>
      </c>
      <c r="G1120">
        <v>0</v>
      </c>
      <c r="H1120">
        <v>0</v>
      </c>
    </row>
    <row r="1121" spans="1:8">
      <c r="A1121" t="s">
        <v>14</v>
      </c>
      <c r="B1121" t="s">
        <v>1914</v>
      </c>
      <c r="C1121" t="s">
        <v>1739</v>
      </c>
      <c r="D1121" t="s">
        <v>1940</v>
      </c>
      <c r="E1121">
        <v>0</v>
      </c>
      <c r="F1121">
        <v>0</v>
      </c>
      <c r="G1121">
        <v>0</v>
      </c>
      <c r="H1121">
        <v>0</v>
      </c>
    </row>
    <row r="1122" spans="1:8">
      <c r="A1122" t="s">
        <v>44</v>
      </c>
      <c r="B1122" t="s">
        <v>1914</v>
      </c>
      <c r="C1122" t="s">
        <v>1739</v>
      </c>
      <c r="D1122" t="s">
        <v>1941</v>
      </c>
      <c r="E1122">
        <v>0</v>
      </c>
      <c r="F1122">
        <v>0</v>
      </c>
      <c r="G1122">
        <v>0</v>
      </c>
      <c r="H1122">
        <v>0</v>
      </c>
    </row>
    <row r="1123" spans="1:8">
      <c r="A1123" t="s">
        <v>46</v>
      </c>
      <c r="B1123" t="s">
        <v>1914</v>
      </c>
      <c r="C1123" t="s">
        <v>1739</v>
      </c>
      <c r="D1123" t="s">
        <v>1942</v>
      </c>
      <c r="E1123">
        <v>0</v>
      </c>
      <c r="F1123">
        <v>0</v>
      </c>
      <c r="G1123">
        <v>0</v>
      </c>
      <c r="H1123">
        <v>0</v>
      </c>
    </row>
    <row r="1124" spans="1:8">
      <c r="A1124" t="s">
        <v>47</v>
      </c>
      <c r="B1124" t="s">
        <v>1914</v>
      </c>
      <c r="C1124" t="s">
        <v>1739</v>
      </c>
      <c r="D1124" t="s">
        <v>885</v>
      </c>
      <c r="E1124">
        <v>0</v>
      </c>
      <c r="F1124">
        <v>0</v>
      </c>
      <c r="G1124">
        <v>0</v>
      </c>
      <c r="H1124">
        <v>0</v>
      </c>
    </row>
    <row r="1125" spans="1:8">
      <c r="A1125" t="s">
        <v>50</v>
      </c>
      <c r="B1125" t="s">
        <v>1914</v>
      </c>
      <c r="C1125" t="s">
        <v>1739</v>
      </c>
      <c r="D1125" t="s">
        <v>1943</v>
      </c>
      <c r="E1125">
        <v>0</v>
      </c>
      <c r="F1125">
        <v>0</v>
      </c>
      <c r="G1125">
        <v>0</v>
      </c>
      <c r="H1125">
        <v>0</v>
      </c>
    </row>
    <row r="1126" spans="1:8">
      <c r="A1126" t="s">
        <v>53</v>
      </c>
      <c r="B1126" t="s">
        <v>1914</v>
      </c>
      <c r="C1126" t="s">
        <v>1739</v>
      </c>
      <c r="D1126" t="s">
        <v>1944</v>
      </c>
      <c r="E1126">
        <v>0</v>
      </c>
      <c r="F1126">
        <v>0</v>
      </c>
      <c r="G1126">
        <v>0</v>
      </c>
      <c r="H1126">
        <v>0</v>
      </c>
    </row>
    <row r="1127" spans="1:8">
      <c r="A1127" t="s">
        <v>85</v>
      </c>
      <c r="B1127" t="s">
        <v>1914</v>
      </c>
      <c r="C1127" t="s">
        <v>1739</v>
      </c>
      <c r="D1127" t="s">
        <v>888</v>
      </c>
      <c r="E1127">
        <v>0</v>
      </c>
      <c r="F1127">
        <v>0</v>
      </c>
      <c r="G1127">
        <v>0</v>
      </c>
      <c r="H1127">
        <v>0</v>
      </c>
    </row>
    <row r="1128" spans="1:8">
      <c r="A1128">
        <v>18</v>
      </c>
      <c r="B1128" t="s">
        <v>1914</v>
      </c>
      <c r="C1128" t="s">
        <v>1739</v>
      </c>
      <c r="D1128" t="s">
        <v>104</v>
      </c>
      <c r="E1128">
        <v>0</v>
      </c>
      <c r="F1128">
        <v>0</v>
      </c>
      <c r="G1128">
        <v>0</v>
      </c>
      <c r="H1128">
        <v>0</v>
      </c>
    </row>
    <row r="1129" spans="1:8">
      <c r="A1129" t="s">
        <v>14</v>
      </c>
      <c r="B1129" t="s">
        <v>1914</v>
      </c>
      <c r="C1129" t="s">
        <v>1739</v>
      </c>
      <c r="D1129" t="s">
        <v>1945</v>
      </c>
      <c r="E1129">
        <v>0</v>
      </c>
      <c r="F1129">
        <v>0</v>
      </c>
      <c r="G1129">
        <v>0</v>
      </c>
      <c r="H1129">
        <v>0</v>
      </c>
    </row>
    <row r="1130" spans="1:8">
      <c r="A1130" t="s">
        <v>44</v>
      </c>
      <c r="B1130" t="s">
        <v>1914</v>
      </c>
      <c r="C1130" t="s">
        <v>1739</v>
      </c>
      <c r="D1130" t="s">
        <v>1946</v>
      </c>
      <c r="E1130">
        <v>0</v>
      </c>
      <c r="F1130">
        <v>0</v>
      </c>
      <c r="G1130">
        <v>0</v>
      </c>
      <c r="H1130">
        <v>0</v>
      </c>
    </row>
    <row r="1131" spans="1:8">
      <c r="A1131" t="s">
        <v>46</v>
      </c>
      <c r="B1131" t="s">
        <v>1914</v>
      </c>
      <c r="C1131" t="s">
        <v>1739</v>
      </c>
      <c r="D1131" t="s">
        <v>1947</v>
      </c>
      <c r="E1131">
        <v>0</v>
      </c>
      <c r="F1131">
        <v>0</v>
      </c>
      <c r="G1131">
        <v>0</v>
      </c>
      <c r="H1131">
        <v>0</v>
      </c>
    </row>
    <row r="1132" spans="1:8">
      <c r="A1132" t="s">
        <v>47</v>
      </c>
      <c r="B1132" t="s">
        <v>1914</v>
      </c>
      <c r="C1132" t="s">
        <v>1739</v>
      </c>
      <c r="D1132" t="s">
        <v>1948</v>
      </c>
      <c r="E1132">
        <v>0</v>
      </c>
      <c r="F1132">
        <v>0</v>
      </c>
      <c r="G1132">
        <v>0</v>
      </c>
      <c r="H1132">
        <v>0</v>
      </c>
    </row>
    <row r="1133" spans="1:8">
      <c r="A1133">
        <v>19</v>
      </c>
      <c r="B1133" t="s">
        <v>1914</v>
      </c>
      <c r="C1133" t="s">
        <v>1739</v>
      </c>
      <c r="D1133" t="s">
        <v>105</v>
      </c>
      <c r="E1133">
        <v>0</v>
      </c>
      <c r="F1133">
        <v>0</v>
      </c>
      <c r="G1133">
        <v>0</v>
      </c>
      <c r="H1133">
        <v>0</v>
      </c>
    </row>
    <row r="1134" spans="1:8">
      <c r="A1134" t="s">
        <v>14</v>
      </c>
      <c r="B1134" t="s">
        <v>1914</v>
      </c>
      <c r="C1134" t="s">
        <v>1739</v>
      </c>
      <c r="D1134" t="s">
        <v>1949</v>
      </c>
      <c r="E1134">
        <v>0</v>
      </c>
      <c r="F1134">
        <v>0</v>
      </c>
      <c r="G1134">
        <v>0</v>
      </c>
      <c r="H1134">
        <v>0</v>
      </c>
    </row>
    <row r="1135" spans="1:8">
      <c r="A1135" t="s">
        <v>21</v>
      </c>
      <c r="B1135" t="s">
        <v>149</v>
      </c>
      <c r="C1135" t="s">
        <v>148</v>
      </c>
      <c r="D1135" t="s">
        <v>109</v>
      </c>
      <c r="E1135">
        <v>0</v>
      </c>
      <c r="F1135">
        <v>0</v>
      </c>
      <c r="G1135">
        <v>0</v>
      </c>
      <c r="H1135">
        <v>0</v>
      </c>
    </row>
    <row r="1136" spans="1:8">
      <c r="A1136" t="s">
        <v>44</v>
      </c>
      <c r="B1136" t="s">
        <v>149</v>
      </c>
      <c r="C1136" t="s">
        <v>148</v>
      </c>
      <c r="D1136" t="s">
        <v>890</v>
      </c>
      <c r="E1136">
        <v>0</v>
      </c>
      <c r="F1136">
        <v>0</v>
      </c>
      <c r="G1136">
        <v>0</v>
      </c>
      <c r="H1136">
        <v>0</v>
      </c>
    </row>
    <row r="1137" spans="1:8">
      <c r="A1137" t="s">
        <v>19</v>
      </c>
      <c r="B1137" t="s">
        <v>1914</v>
      </c>
      <c r="C1137" t="s">
        <v>1739</v>
      </c>
      <c r="D1137" t="s">
        <v>113</v>
      </c>
      <c r="E1137">
        <v>0</v>
      </c>
      <c r="F1137">
        <v>0</v>
      </c>
      <c r="G1137">
        <v>0</v>
      </c>
      <c r="H1137">
        <v>0</v>
      </c>
    </row>
    <row r="1138" spans="1:8">
      <c r="A1138">
        <v>20</v>
      </c>
      <c r="B1138" t="s">
        <v>1914</v>
      </c>
      <c r="C1138" t="s">
        <v>1739</v>
      </c>
      <c r="D1138" t="s">
        <v>119</v>
      </c>
      <c r="E1138">
        <v>0</v>
      </c>
      <c r="F1138">
        <v>0</v>
      </c>
      <c r="G1138">
        <v>0</v>
      </c>
      <c r="H1138">
        <v>0</v>
      </c>
    </row>
    <row r="1139" spans="1:8">
      <c r="A1139" t="s">
        <v>14</v>
      </c>
      <c r="B1139" t="s">
        <v>1914</v>
      </c>
      <c r="C1139" t="s">
        <v>1739</v>
      </c>
      <c r="D1139" t="s">
        <v>1950</v>
      </c>
      <c r="E1139">
        <v>0</v>
      </c>
      <c r="F1139">
        <v>0</v>
      </c>
      <c r="G1139">
        <v>0</v>
      </c>
      <c r="H1139">
        <v>0</v>
      </c>
    </row>
    <row r="1140" spans="1:8">
      <c r="D1140" t="s">
        <v>867</v>
      </c>
      <c r="E1140">
        <v>0</v>
      </c>
      <c r="F1140">
        <v>0</v>
      </c>
      <c r="G1140">
        <v>0</v>
      </c>
      <c r="H1140">
        <v>0</v>
      </c>
    </row>
    <row r="1141" spans="1:8">
      <c r="A1141">
        <v>21</v>
      </c>
      <c r="B1141" t="s">
        <v>1914</v>
      </c>
      <c r="C1141" t="s">
        <v>1739</v>
      </c>
      <c r="D1141" t="s">
        <v>120</v>
      </c>
      <c r="E1141">
        <v>0</v>
      </c>
      <c r="F1141">
        <v>0</v>
      </c>
      <c r="G1141">
        <v>0</v>
      </c>
      <c r="H1141">
        <v>0</v>
      </c>
    </row>
    <row r="1142" spans="1:8">
      <c r="A1142" t="s">
        <v>14</v>
      </c>
      <c r="B1142" t="s">
        <v>1914</v>
      </c>
      <c r="C1142" t="s">
        <v>1739</v>
      </c>
      <c r="D1142" t="s">
        <v>1951</v>
      </c>
      <c r="E1142">
        <v>0</v>
      </c>
      <c r="F1142">
        <v>0</v>
      </c>
      <c r="G1142">
        <v>0</v>
      </c>
      <c r="H1142">
        <v>0</v>
      </c>
    </row>
    <row r="1143" spans="1:8">
      <c r="D1143" t="s">
        <v>892</v>
      </c>
      <c r="E1143">
        <v>0</v>
      </c>
      <c r="F1143">
        <v>0</v>
      </c>
      <c r="G1143">
        <v>0</v>
      </c>
      <c r="H1143">
        <v>0</v>
      </c>
    </row>
    <row r="1144" spans="1:8">
      <c r="A1144" t="s">
        <v>44</v>
      </c>
      <c r="B1144" t="s">
        <v>1914</v>
      </c>
      <c r="C1144" t="s">
        <v>1739</v>
      </c>
      <c r="D1144" t="s">
        <v>893</v>
      </c>
      <c r="E1144">
        <v>0</v>
      </c>
      <c r="F1144">
        <v>0</v>
      </c>
      <c r="G1144">
        <v>0</v>
      </c>
      <c r="H1144">
        <v>0</v>
      </c>
    </row>
    <row r="1145" spans="1:8">
      <c r="A1145" t="s">
        <v>46</v>
      </c>
      <c r="B1145" t="s">
        <v>1914</v>
      </c>
      <c r="C1145" t="s">
        <v>1739</v>
      </c>
      <c r="D1145" t="s">
        <v>1952</v>
      </c>
      <c r="E1145">
        <v>0</v>
      </c>
      <c r="F1145">
        <v>0</v>
      </c>
      <c r="G1145">
        <v>0</v>
      </c>
      <c r="H1145">
        <v>0</v>
      </c>
    </row>
    <row r="1146" spans="1:8">
      <c r="A1146" t="s">
        <v>50</v>
      </c>
      <c r="B1146" t="s">
        <v>1914</v>
      </c>
      <c r="C1146" t="s">
        <v>1739</v>
      </c>
      <c r="D1146" t="s">
        <v>124</v>
      </c>
      <c r="E1146">
        <v>0</v>
      </c>
      <c r="F1146">
        <v>0</v>
      </c>
      <c r="G1146">
        <v>0</v>
      </c>
      <c r="H1146">
        <v>0</v>
      </c>
    </row>
    <row r="1147" spans="1:8">
      <c r="A1147" t="s">
        <v>52</v>
      </c>
      <c r="B1147" t="s">
        <v>1914</v>
      </c>
      <c r="C1147" t="s">
        <v>1739</v>
      </c>
      <c r="D1147" t="s">
        <v>1730</v>
      </c>
      <c r="E1147">
        <v>0</v>
      </c>
      <c r="F1147">
        <v>0</v>
      </c>
      <c r="G1147">
        <v>0</v>
      </c>
      <c r="H1147">
        <v>0</v>
      </c>
    </row>
    <row r="1148" spans="1:8">
      <c r="A1148" t="s">
        <v>53</v>
      </c>
      <c r="B1148" t="s">
        <v>1914</v>
      </c>
      <c r="C1148" t="s">
        <v>1739</v>
      </c>
      <c r="D1148" t="s">
        <v>1953</v>
      </c>
      <c r="E1148">
        <v>0</v>
      </c>
      <c r="F1148">
        <v>0</v>
      </c>
      <c r="G1148">
        <v>0</v>
      </c>
      <c r="H1148">
        <v>0</v>
      </c>
    </row>
    <row r="1149" spans="1:8">
      <c r="D1149" t="s">
        <v>871</v>
      </c>
      <c r="E1149">
        <v>0</v>
      </c>
      <c r="F1149">
        <v>0</v>
      </c>
      <c r="G1149">
        <v>0</v>
      </c>
      <c r="H1149">
        <v>0</v>
      </c>
    </row>
    <row r="1150" spans="1:8">
      <c r="A1150" t="s">
        <v>85</v>
      </c>
      <c r="B1150" t="s">
        <v>1914</v>
      </c>
      <c r="C1150" t="s">
        <v>1739</v>
      </c>
      <c r="D1150" t="s">
        <v>1954</v>
      </c>
      <c r="E1150">
        <v>0</v>
      </c>
      <c r="F1150">
        <v>0</v>
      </c>
      <c r="G1150">
        <v>0</v>
      </c>
      <c r="H1150">
        <v>0</v>
      </c>
    </row>
    <row r="1151" spans="1:8">
      <c r="A1151" t="s">
        <v>16</v>
      </c>
      <c r="B1151" t="s">
        <v>1914</v>
      </c>
      <c r="C1151" t="s">
        <v>1739</v>
      </c>
      <c r="D1151" t="s">
        <v>1731</v>
      </c>
      <c r="E1151">
        <v>0</v>
      </c>
      <c r="F1151">
        <v>0</v>
      </c>
      <c r="G1151">
        <v>0</v>
      </c>
      <c r="H1151">
        <v>0</v>
      </c>
    </row>
    <row r="1152" spans="1:8">
      <c r="A1152" t="s">
        <v>19</v>
      </c>
      <c r="B1152" t="s">
        <v>1914</v>
      </c>
      <c r="C1152" t="s">
        <v>1739</v>
      </c>
      <c r="D1152" t="s">
        <v>1732</v>
      </c>
      <c r="E1152">
        <v>0</v>
      </c>
      <c r="F1152">
        <v>0</v>
      </c>
      <c r="G1152">
        <v>0</v>
      </c>
      <c r="H1152">
        <v>0</v>
      </c>
    </row>
    <row r="1153" spans="1:8">
      <c r="A1153" t="s">
        <v>21</v>
      </c>
      <c r="B1153" t="s">
        <v>149</v>
      </c>
      <c r="C1153" t="s">
        <v>148</v>
      </c>
      <c r="D1153" t="s">
        <v>1733</v>
      </c>
      <c r="E1153">
        <v>0</v>
      </c>
      <c r="F1153">
        <v>0</v>
      </c>
      <c r="G1153">
        <v>0</v>
      </c>
      <c r="H1153">
        <v>0</v>
      </c>
    </row>
    <row r="1154" spans="1:8">
      <c r="A1154" t="s">
        <v>16</v>
      </c>
      <c r="B1154" t="s">
        <v>149</v>
      </c>
      <c r="C1154" t="s">
        <v>148</v>
      </c>
      <c r="D1154" t="s">
        <v>1734</v>
      </c>
      <c r="E1154">
        <v>0</v>
      </c>
      <c r="F1154">
        <v>0</v>
      </c>
      <c r="G1154">
        <v>0</v>
      </c>
      <c r="H1154">
        <v>0</v>
      </c>
    </row>
    <row r="1155" spans="1:8">
      <c r="D1155" t="s">
        <v>897</v>
      </c>
      <c r="E1155">
        <v>0</v>
      </c>
      <c r="F1155">
        <v>0</v>
      </c>
      <c r="G1155">
        <v>0</v>
      </c>
      <c r="H1155">
        <v>0</v>
      </c>
    </row>
    <row r="1156" spans="1:8" ht="409.6">
      <c r="A1156" t="s">
        <v>57</v>
      </c>
      <c r="B1156" t="s">
        <v>149</v>
      </c>
      <c r="C1156" t="s">
        <v>148</v>
      </c>
      <c r="D1156" s="518" t="s">
        <v>134</v>
      </c>
      <c r="E1156">
        <v>0</v>
      </c>
      <c r="F1156">
        <v>0</v>
      </c>
      <c r="G1156">
        <v>0</v>
      </c>
      <c r="H1156">
        <v>0</v>
      </c>
    </row>
    <row r="1157" spans="1:8">
      <c r="A1157" t="s">
        <v>60</v>
      </c>
      <c r="B1157" t="s">
        <v>149</v>
      </c>
      <c r="C1157" t="s">
        <v>148</v>
      </c>
      <c r="D1157" t="s">
        <v>1736</v>
      </c>
      <c r="E1157">
        <v>0</v>
      </c>
      <c r="F1157">
        <v>0</v>
      </c>
      <c r="G1157">
        <v>0</v>
      </c>
      <c r="H1157">
        <v>0</v>
      </c>
    </row>
    <row r="1158" spans="1:8">
      <c r="A1158" t="s">
        <v>135</v>
      </c>
      <c r="B1158" t="s">
        <v>149</v>
      </c>
      <c r="C1158" t="s">
        <v>148</v>
      </c>
      <c r="D1158" t="s">
        <v>898</v>
      </c>
      <c r="E1158">
        <v>0</v>
      </c>
      <c r="F1158">
        <v>0</v>
      </c>
      <c r="G1158">
        <v>0</v>
      </c>
      <c r="H1158">
        <v>0</v>
      </c>
    </row>
    <row r="1159" spans="1:8">
      <c r="A1159" t="s">
        <v>136</v>
      </c>
      <c r="B1159" t="s">
        <v>149</v>
      </c>
      <c r="C1159" t="s">
        <v>148</v>
      </c>
      <c r="D1159" t="s">
        <v>899</v>
      </c>
      <c r="E1159">
        <v>0</v>
      </c>
      <c r="F1159">
        <v>0</v>
      </c>
      <c r="G1159">
        <v>0</v>
      </c>
      <c r="H1159">
        <v>0</v>
      </c>
    </row>
    <row r="1160" spans="1:8">
      <c r="A1160" t="s">
        <v>16</v>
      </c>
      <c r="B1160" t="s">
        <v>149</v>
      </c>
      <c r="C1160" t="s">
        <v>148</v>
      </c>
      <c r="D1160" t="s">
        <v>900</v>
      </c>
      <c r="E1160">
        <v>0</v>
      </c>
      <c r="F1160">
        <v>0</v>
      </c>
      <c r="G1160">
        <v>0</v>
      </c>
      <c r="H1160">
        <v>0</v>
      </c>
    </row>
    <row r="1161" spans="1:8">
      <c r="D1161" t="s">
        <v>901</v>
      </c>
      <c r="E1161">
        <v>0</v>
      </c>
      <c r="F1161">
        <v>0</v>
      </c>
      <c r="G1161">
        <v>0</v>
      </c>
      <c r="H1161">
        <v>0</v>
      </c>
    </row>
    <row r="1162" spans="1:8">
      <c r="D1162" t="s">
        <v>902</v>
      </c>
      <c r="E1162">
        <v>0</v>
      </c>
      <c r="F1162">
        <v>0</v>
      </c>
      <c r="G1162">
        <v>0</v>
      </c>
      <c r="H1162">
        <v>0</v>
      </c>
    </row>
    <row r="1163" spans="1:8">
      <c r="D1163" t="s">
        <v>903</v>
      </c>
      <c r="E1163">
        <v>0</v>
      </c>
      <c r="F1163">
        <v>0</v>
      </c>
      <c r="G1163">
        <v>0</v>
      </c>
      <c r="H1163">
        <v>0</v>
      </c>
    </row>
    <row r="1164" spans="1:8">
      <c r="D1164" t="s">
        <v>769</v>
      </c>
      <c r="E1164">
        <v>0</v>
      </c>
      <c r="F1164">
        <v>0</v>
      </c>
      <c r="G1164">
        <v>0</v>
      </c>
      <c r="H1164">
        <v>0</v>
      </c>
    </row>
    <row r="1165" spans="1:8">
      <c r="D1165" t="s">
        <v>826</v>
      </c>
      <c r="E1165">
        <v>0</v>
      </c>
      <c r="F1165">
        <v>0</v>
      </c>
      <c r="G1165">
        <v>0</v>
      </c>
      <c r="H1165">
        <v>0</v>
      </c>
    </row>
    <row r="1166" spans="1:8">
      <c r="A1166" t="s">
        <v>3</v>
      </c>
      <c r="B1166" t="s">
        <v>1914</v>
      </c>
      <c r="C1166" t="s">
        <v>1739</v>
      </c>
      <c r="D1166" t="s">
        <v>1739</v>
      </c>
      <c r="E1166">
        <v>0</v>
      </c>
      <c r="F1166">
        <v>0</v>
      </c>
      <c r="G1166">
        <v>0</v>
      </c>
      <c r="H1166">
        <v>0</v>
      </c>
    </row>
    <row r="1167" spans="1:8">
      <c r="A1167">
        <v>1</v>
      </c>
      <c r="B1167" t="s">
        <v>1914</v>
      </c>
      <c r="C1167" t="s">
        <v>1739</v>
      </c>
      <c r="D1167" t="s">
        <v>142</v>
      </c>
      <c r="E1167">
        <v>0</v>
      </c>
      <c r="F1167">
        <v>0</v>
      </c>
      <c r="G1167">
        <v>0</v>
      </c>
      <c r="H1167">
        <v>0</v>
      </c>
    </row>
    <row r="1168" spans="1:8">
      <c r="A1168" t="s">
        <v>14</v>
      </c>
      <c r="B1168" t="s">
        <v>1914</v>
      </c>
      <c r="C1168" t="s">
        <v>1739</v>
      </c>
      <c r="D1168" t="s">
        <v>1955</v>
      </c>
      <c r="E1168">
        <v>0</v>
      </c>
      <c r="F1168">
        <v>0</v>
      </c>
      <c r="G1168">
        <v>0</v>
      </c>
      <c r="H1168">
        <v>0</v>
      </c>
    </row>
    <row r="1169" spans="1:8">
      <c r="D1169" t="s">
        <v>792</v>
      </c>
      <c r="E1169">
        <v>0</v>
      </c>
      <c r="F1169">
        <v>0</v>
      </c>
      <c r="G1169">
        <v>0</v>
      </c>
      <c r="H1169">
        <v>0</v>
      </c>
    </row>
    <row r="1170" spans="1:8">
      <c r="D1170" t="s">
        <v>905</v>
      </c>
      <c r="E1170">
        <v>0</v>
      </c>
      <c r="F1170">
        <v>0</v>
      </c>
      <c r="G1170">
        <v>0</v>
      </c>
      <c r="H1170">
        <v>0</v>
      </c>
    </row>
    <row r="1171" spans="1:8">
      <c r="D1171" t="s">
        <v>791</v>
      </c>
      <c r="E1171">
        <v>0</v>
      </c>
      <c r="F1171">
        <v>0</v>
      </c>
      <c r="G1171">
        <v>0</v>
      </c>
      <c r="H1171">
        <v>0</v>
      </c>
    </row>
    <row r="1172" spans="1:8">
      <c r="D1172" t="s">
        <v>903</v>
      </c>
      <c r="E1172">
        <v>0</v>
      </c>
      <c r="F1172">
        <v>0</v>
      </c>
      <c r="G1172">
        <v>0</v>
      </c>
      <c r="H1172">
        <v>0</v>
      </c>
    </row>
    <row r="1173" spans="1:8">
      <c r="D1173" t="s">
        <v>1446</v>
      </c>
      <c r="E1173">
        <v>0</v>
      </c>
      <c r="F1173">
        <v>0</v>
      </c>
      <c r="G1173">
        <v>0</v>
      </c>
      <c r="H1173">
        <v>0</v>
      </c>
    </row>
    <row r="1174" spans="1:8">
      <c r="D1174" t="s">
        <v>874</v>
      </c>
      <c r="E1174">
        <v>0</v>
      </c>
      <c r="F1174">
        <v>0</v>
      </c>
      <c r="G1174">
        <v>0</v>
      </c>
      <c r="H1174">
        <v>0</v>
      </c>
    </row>
    <row r="1175" spans="1:8">
      <c r="D1175" t="s">
        <v>787</v>
      </c>
      <c r="E1175">
        <v>0</v>
      </c>
      <c r="F1175">
        <v>0</v>
      </c>
      <c r="G1175">
        <v>0</v>
      </c>
      <c r="H1175">
        <v>0</v>
      </c>
    </row>
    <row r="1176" spans="1:8">
      <c r="D1176" t="s">
        <v>796</v>
      </c>
      <c r="E1176">
        <v>0</v>
      </c>
      <c r="F1176">
        <v>0</v>
      </c>
      <c r="G1176">
        <v>0</v>
      </c>
      <c r="H1176">
        <v>0</v>
      </c>
    </row>
    <row r="1177" spans="1:8">
      <c r="D1177" t="s">
        <v>789</v>
      </c>
      <c r="E1177">
        <v>0</v>
      </c>
      <c r="F1177">
        <v>0</v>
      </c>
      <c r="G1177">
        <v>0</v>
      </c>
      <c r="H1177">
        <v>0</v>
      </c>
    </row>
    <row r="1178" spans="1:8">
      <c r="D1178" t="s">
        <v>825</v>
      </c>
      <c r="E1178">
        <v>0</v>
      </c>
      <c r="F1178">
        <v>0</v>
      </c>
      <c r="G1178">
        <v>0</v>
      </c>
      <c r="H1178">
        <v>0</v>
      </c>
    </row>
    <row r="1179" spans="1:8">
      <c r="D1179" t="s">
        <v>818</v>
      </c>
      <c r="E1179">
        <v>0</v>
      </c>
      <c r="F1179">
        <v>0</v>
      </c>
      <c r="G1179">
        <v>0</v>
      </c>
      <c r="H1179">
        <v>0</v>
      </c>
    </row>
    <row r="1180" spans="1:8">
      <c r="A1180">
        <v>2</v>
      </c>
      <c r="B1180" t="s">
        <v>1914</v>
      </c>
      <c r="C1180" t="s">
        <v>1739</v>
      </c>
      <c r="D1180" t="s">
        <v>143</v>
      </c>
      <c r="E1180">
        <v>0</v>
      </c>
      <c r="F1180">
        <v>0</v>
      </c>
      <c r="G1180">
        <v>0</v>
      </c>
      <c r="H1180">
        <v>0</v>
      </c>
    </row>
    <row r="1181" spans="1:8">
      <c r="A1181" t="s">
        <v>14</v>
      </c>
      <c r="B1181" t="s">
        <v>1914</v>
      </c>
      <c r="C1181" t="s">
        <v>1739</v>
      </c>
      <c r="D1181" t="s">
        <v>906</v>
      </c>
      <c r="E1181">
        <v>0</v>
      </c>
      <c r="F1181">
        <v>0</v>
      </c>
      <c r="G1181">
        <v>0</v>
      </c>
      <c r="H1181">
        <v>0</v>
      </c>
    </row>
    <row r="1182" spans="1:8">
      <c r="D1182" t="s">
        <v>867</v>
      </c>
      <c r="E1182">
        <v>0</v>
      </c>
      <c r="F1182">
        <v>0</v>
      </c>
      <c r="G1182">
        <v>0</v>
      </c>
      <c r="H1182">
        <v>0</v>
      </c>
    </row>
    <row r="1183" spans="1:8">
      <c r="D1183" t="s">
        <v>1458</v>
      </c>
      <c r="E1183">
        <v>0</v>
      </c>
      <c r="F1183">
        <v>0</v>
      </c>
      <c r="G1183">
        <v>0</v>
      </c>
      <c r="H1183">
        <v>0</v>
      </c>
    </row>
    <row r="1184" spans="1:8">
      <c r="D1184" t="s">
        <v>907</v>
      </c>
      <c r="E1184">
        <v>0</v>
      </c>
      <c r="F1184">
        <v>0</v>
      </c>
      <c r="G1184">
        <v>0</v>
      </c>
      <c r="H1184">
        <v>0</v>
      </c>
    </row>
    <row r="1185" spans="1:8">
      <c r="D1185" t="s">
        <v>768</v>
      </c>
      <c r="E1185">
        <v>0</v>
      </c>
      <c r="F1185">
        <v>0</v>
      </c>
      <c r="G1185">
        <v>0</v>
      </c>
      <c r="H1185">
        <v>0</v>
      </c>
    </row>
    <row r="1186" spans="1:8">
      <c r="D1186" t="s">
        <v>850</v>
      </c>
      <c r="E1186">
        <v>0</v>
      </c>
      <c r="F1186">
        <v>0</v>
      </c>
      <c r="G1186">
        <v>0</v>
      </c>
      <c r="H1186">
        <v>0</v>
      </c>
    </row>
    <row r="1187" spans="1:8">
      <c r="D1187" t="s">
        <v>850</v>
      </c>
      <c r="E1187">
        <v>0</v>
      </c>
      <c r="F1187">
        <v>0</v>
      </c>
      <c r="G1187">
        <v>0</v>
      </c>
      <c r="H1187">
        <v>0</v>
      </c>
    </row>
    <row r="1188" spans="1:8">
      <c r="D1188" t="s">
        <v>909</v>
      </c>
      <c r="E1188">
        <v>0</v>
      </c>
      <c r="F1188">
        <v>0</v>
      </c>
      <c r="G1188">
        <v>0</v>
      </c>
      <c r="H1188">
        <v>0</v>
      </c>
    </row>
    <row r="1189" spans="1:8">
      <c r="D1189" t="s">
        <v>910</v>
      </c>
      <c r="E1189">
        <v>0</v>
      </c>
      <c r="F1189">
        <v>0</v>
      </c>
      <c r="G1189">
        <v>0</v>
      </c>
      <c r="H1189">
        <v>0</v>
      </c>
    </row>
    <row r="1190" spans="1:8">
      <c r="D1190" t="s">
        <v>859</v>
      </c>
      <c r="E1190">
        <v>0</v>
      </c>
      <c r="F1190">
        <v>0</v>
      </c>
      <c r="G1190">
        <v>0</v>
      </c>
      <c r="H1190">
        <v>0</v>
      </c>
    </row>
    <row r="1191" spans="1:8">
      <c r="D1191" t="s">
        <v>769</v>
      </c>
      <c r="E1191">
        <v>0</v>
      </c>
      <c r="F1191">
        <v>0</v>
      </c>
      <c r="G1191">
        <v>0</v>
      </c>
      <c r="H1191">
        <v>0</v>
      </c>
    </row>
    <row r="1192" spans="1:8">
      <c r="D1192" t="s">
        <v>911</v>
      </c>
      <c r="E1192">
        <v>0</v>
      </c>
      <c r="F1192">
        <v>0</v>
      </c>
      <c r="G1192">
        <v>0</v>
      </c>
      <c r="H1192">
        <v>0</v>
      </c>
    </row>
    <row r="1193" spans="1:8">
      <c r="A1193" t="s">
        <v>44</v>
      </c>
      <c r="B1193" t="s">
        <v>1914</v>
      </c>
      <c r="C1193" t="s">
        <v>1739</v>
      </c>
      <c r="D1193" t="s">
        <v>912</v>
      </c>
      <c r="E1193">
        <v>0</v>
      </c>
      <c r="F1193">
        <v>0</v>
      </c>
      <c r="G1193">
        <v>0</v>
      </c>
      <c r="H1193">
        <v>0</v>
      </c>
    </row>
    <row r="1194" spans="1:8">
      <c r="D1194" t="s">
        <v>768</v>
      </c>
      <c r="E1194">
        <v>0</v>
      </c>
      <c r="F1194">
        <v>0</v>
      </c>
      <c r="G1194">
        <v>0</v>
      </c>
      <c r="H1194">
        <v>0</v>
      </c>
    </row>
    <row r="1195" spans="1:8">
      <c r="D1195" t="s">
        <v>792</v>
      </c>
      <c r="E1195">
        <v>0</v>
      </c>
      <c r="F1195">
        <v>0</v>
      </c>
      <c r="G1195">
        <v>0</v>
      </c>
      <c r="H1195">
        <v>0</v>
      </c>
    </row>
    <row r="1196" spans="1:8">
      <c r="D1196" t="s">
        <v>874</v>
      </c>
      <c r="E1196">
        <v>0</v>
      </c>
      <c r="F1196">
        <v>0</v>
      </c>
      <c r="G1196">
        <v>0</v>
      </c>
      <c r="H1196">
        <v>0</v>
      </c>
    </row>
    <row r="1197" spans="1:8">
      <c r="D1197" t="s">
        <v>849</v>
      </c>
      <c r="E1197">
        <v>0</v>
      </c>
      <c r="F1197">
        <v>0</v>
      </c>
      <c r="G1197">
        <v>0</v>
      </c>
      <c r="H1197">
        <v>0</v>
      </c>
    </row>
    <row r="1198" spans="1:8">
      <c r="D1198" t="s">
        <v>873</v>
      </c>
      <c r="E1198">
        <v>0</v>
      </c>
      <c r="F1198">
        <v>0</v>
      </c>
      <c r="G1198">
        <v>0</v>
      </c>
      <c r="H1198">
        <v>0</v>
      </c>
    </row>
    <row r="1199" spans="1:8">
      <c r="D1199" t="s">
        <v>871</v>
      </c>
      <c r="E1199">
        <v>0</v>
      </c>
      <c r="F1199">
        <v>0</v>
      </c>
      <c r="G1199">
        <v>0</v>
      </c>
      <c r="H1199">
        <v>0</v>
      </c>
    </row>
    <row r="1200" spans="1:8">
      <c r="D1200" t="s">
        <v>850</v>
      </c>
      <c r="E1200">
        <v>0</v>
      </c>
      <c r="F1200">
        <v>0</v>
      </c>
      <c r="G1200">
        <v>0</v>
      </c>
      <c r="H1200">
        <v>0</v>
      </c>
    </row>
    <row r="1201" spans="1:8">
      <c r="D1201" t="s">
        <v>913</v>
      </c>
      <c r="E1201">
        <v>0</v>
      </c>
      <c r="F1201">
        <v>0</v>
      </c>
      <c r="G1201">
        <v>0</v>
      </c>
      <c r="H1201">
        <v>0</v>
      </c>
    </row>
    <row r="1202" spans="1:8">
      <c r="D1202" t="s">
        <v>914</v>
      </c>
      <c r="E1202">
        <v>0</v>
      </c>
      <c r="F1202">
        <v>0</v>
      </c>
      <c r="G1202">
        <v>0</v>
      </c>
      <c r="H1202">
        <v>0</v>
      </c>
    </row>
    <row r="1203" spans="1:8">
      <c r="D1203" t="s">
        <v>909</v>
      </c>
      <c r="E1203">
        <v>0</v>
      </c>
      <c r="F1203">
        <v>0</v>
      </c>
      <c r="G1203">
        <v>0</v>
      </c>
      <c r="H1203">
        <v>0</v>
      </c>
    </row>
    <row r="1204" spans="1:8">
      <c r="D1204" t="s">
        <v>769</v>
      </c>
      <c r="E1204">
        <v>0</v>
      </c>
      <c r="F1204">
        <v>0</v>
      </c>
      <c r="G1204">
        <v>0</v>
      </c>
      <c r="H1204">
        <v>0</v>
      </c>
    </row>
    <row r="1205" spans="1:8">
      <c r="D1205" t="s">
        <v>915</v>
      </c>
      <c r="E1205">
        <v>0</v>
      </c>
      <c r="F1205">
        <v>0</v>
      </c>
      <c r="G1205">
        <v>0</v>
      </c>
      <c r="H1205">
        <v>0</v>
      </c>
    </row>
    <row r="1206" spans="1:8">
      <c r="A1206" t="s">
        <v>46</v>
      </c>
      <c r="B1206" t="s">
        <v>1914</v>
      </c>
      <c r="C1206" t="s">
        <v>1739</v>
      </c>
      <c r="D1206" t="s">
        <v>1956</v>
      </c>
      <c r="E1206">
        <v>0</v>
      </c>
      <c r="F1206">
        <v>0</v>
      </c>
      <c r="G1206">
        <v>0</v>
      </c>
      <c r="H1206">
        <v>0</v>
      </c>
    </row>
    <row r="1207" spans="1:8">
      <c r="A1207" t="s">
        <v>4</v>
      </c>
      <c r="B1207" t="s">
        <v>149</v>
      </c>
      <c r="C1207" t="s">
        <v>148</v>
      </c>
      <c r="D1207" t="s">
        <v>148</v>
      </c>
      <c r="E1207">
        <v>0</v>
      </c>
      <c r="F1207">
        <v>0</v>
      </c>
      <c r="G1207">
        <v>0</v>
      </c>
      <c r="H1207">
        <v>0</v>
      </c>
    </row>
    <row r="1208" spans="1:8">
      <c r="A1208">
        <v>1</v>
      </c>
      <c r="B1208" t="s">
        <v>149</v>
      </c>
      <c r="C1208" t="s">
        <v>148</v>
      </c>
      <c r="D1208" t="s">
        <v>149</v>
      </c>
      <c r="E1208">
        <v>0</v>
      </c>
      <c r="F1208">
        <v>0</v>
      </c>
      <c r="G1208">
        <v>0</v>
      </c>
      <c r="H1208">
        <v>0</v>
      </c>
    </row>
    <row r="1209" spans="1:8">
      <c r="A1209" t="s">
        <v>14</v>
      </c>
      <c r="B1209" t="s">
        <v>149</v>
      </c>
      <c r="C1209" t="s">
        <v>148</v>
      </c>
      <c r="D1209" t="s">
        <v>150</v>
      </c>
      <c r="E1209">
        <v>0</v>
      </c>
      <c r="F1209">
        <v>0</v>
      </c>
      <c r="G1209">
        <v>0</v>
      </c>
      <c r="H1209">
        <v>0</v>
      </c>
    </row>
    <row r="1210" spans="1:8">
      <c r="A1210" t="s">
        <v>16</v>
      </c>
      <c r="B1210" t="s">
        <v>149</v>
      </c>
      <c r="C1210" t="s">
        <v>148</v>
      </c>
      <c r="D1210" t="s">
        <v>1957</v>
      </c>
      <c r="E1210">
        <v>0</v>
      </c>
      <c r="F1210">
        <v>0</v>
      </c>
      <c r="G1210">
        <v>0</v>
      </c>
      <c r="H1210">
        <v>0</v>
      </c>
    </row>
    <row r="1211" spans="1:8">
      <c r="D1211" t="s">
        <v>769</v>
      </c>
      <c r="E1211">
        <v>0</v>
      </c>
      <c r="F1211">
        <v>0</v>
      </c>
      <c r="G1211">
        <v>0</v>
      </c>
      <c r="H1211">
        <v>0</v>
      </c>
    </row>
    <row r="1212" spans="1:8">
      <c r="D1212" t="s">
        <v>917</v>
      </c>
      <c r="E1212">
        <v>0</v>
      </c>
      <c r="F1212">
        <v>0</v>
      </c>
      <c r="G1212">
        <v>0</v>
      </c>
      <c r="H1212">
        <v>0</v>
      </c>
    </row>
    <row r="1213" spans="1:8">
      <c r="D1213" t="s">
        <v>918</v>
      </c>
      <c r="E1213">
        <v>0</v>
      </c>
      <c r="F1213">
        <v>0</v>
      </c>
      <c r="G1213">
        <v>0</v>
      </c>
      <c r="H1213">
        <v>0</v>
      </c>
    </row>
    <row r="1214" spans="1:8">
      <c r="D1214" t="s">
        <v>919</v>
      </c>
      <c r="E1214">
        <v>0</v>
      </c>
      <c r="F1214">
        <v>0</v>
      </c>
      <c r="G1214">
        <v>0</v>
      </c>
      <c r="H1214">
        <v>0</v>
      </c>
    </row>
    <row r="1215" spans="1:8">
      <c r="D1215" t="s">
        <v>909</v>
      </c>
      <c r="E1215">
        <v>0</v>
      </c>
      <c r="F1215">
        <v>0</v>
      </c>
      <c r="G1215">
        <v>0</v>
      </c>
      <c r="H1215">
        <v>0</v>
      </c>
    </row>
    <row r="1216" spans="1:8">
      <c r="D1216" t="s">
        <v>917</v>
      </c>
      <c r="E1216">
        <v>0</v>
      </c>
      <c r="F1216">
        <v>0</v>
      </c>
      <c r="G1216">
        <v>0</v>
      </c>
      <c r="H1216">
        <v>0</v>
      </c>
    </row>
    <row r="1217" spans="1:8">
      <c r="D1217" t="s">
        <v>917</v>
      </c>
      <c r="E1217">
        <v>0</v>
      </c>
      <c r="F1217">
        <v>0</v>
      </c>
      <c r="G1217">
        <v>0</v>
      </c>
      <c r="H1217">
        <v>0</v>
      </c>
    </row>
    <row r="1218" spans="1:8">
      <c r="D1218" t="s">
        <v>921</v>
      </c>
      <c r="E1218">
        <v>0</v>
      </c>
      <c r="F1218">
        <v>0</v>
      </c>
      <c r="G1218">
        <v>0</v>
      </c>
      <c r="H1218">
        <v>0</v>
      </c>
    </row>
    <row r="1219" spans="1:8">
      <c r="D1219" t="s">
        <v>922</v>
      </c>
      <c r="E1219">
        <v>0</v>
      </c>
      <c r="F1219">
        <v>0</v>
      </c>
      <c r="G1219">
        <v>0</v>
      </c>
      <c r="H1219">
        <v>0</v>
      </c>
    </row>
    <row r="1220" spans="1:8">
      <c r="A1220" t="s">
        <v>44</v>
      </c>
      <c r="B1220" t="s">
        <v>149</v>
      </c>
      <c r="C1220" t="s">
        <v>148</v>
      </c>
      <c r="D1220" t="s">
        <v>151</v>
      </c>
      <c r="E1220">
        <v>0</v>
      </c>
      <c r="F1220">
        <v>0</v>
      </c>
      <c r="G1220">
        <v>0</v>
      </c>
      <c r="H1220">
        <v>0</v>
      </c>
    </row>
    <row r="1221" spans="1:8">
      <c r="A1221" t="s">
        <v>16</v>
      </c>
      <c r="B1221" t="s">
        <v>149</v>
      </c>
      <c r="C1221" t="s">
        <v>148</v>
      </c>
      <c r="D1221" t="s">
        <v>1958</v>
      </c>
      <c r="E1221">
        <v>0</v>
      </c>
      <c r="F1221">
        <v>0</v>
      </c>
      <c r="G1221">
        <v>0</v>
      </c>
      <c r="H1221">
        <v>0</v>
      </c>
    </row>
    <row r="1222" spans="1:8">
      <c r="D1222" t="s">
        <v>769</v>
      </c>
      <c r="E1222">
        <v>0</v>
      </c>
      <c r="F1222">
        <v>0</v>
      </c>
      <c r="G1222">
        <v>0</v>
      </c>
      <c r="H1222">
        <v>0</v>
      </c>
    </row>
    <row r="1223" spans="1:8">
      <c r="D1223" t="s">
        <v>787</v>
      </c>
      <c r="E1223">
        <v>0</v>
      </c>
      <c r="F1223">
        <v>0</v>
      </c>
      <c r="G1223">
        <v>0</v>
      </c>
      <c r="H1223">
        <v>0</v>
      </c>
    </row>
    <row r="1224" spans="1:8">
      <c r="D1224" t="s">
        <v>825</v>
      </c>
      <c r="E1224">
        <v>0</v>
      </c>
      <c r="F1224">
        <v>0</v>
      </c>
      <c r="G1224">
        <v>0</v>
      </c>
      <c r="H1224">
        <v>0</v>
      </c>
    </row>
    <row r="1225" spans="1:8">
      <c r="D1225" t="s">
        <v>787</v>
      </c>
      <c r="E1225">
        <v>0</v>
      </c>
      <c r="F1225">
        <v>0</v>
      </c>
      <c r="G1225">
        <v>0</v>
      </c>
      <c r="H1225">
        <v>0</v>
      </c>
    </row>
    <row r="1226" spans="1:8">
      <c r="D1226" t="s">
        <v>924</v>
      </c>
      <c r="E1226">
        <v>0</v>
      </c>
      <c r="F1226">
        <v>0</v>
      </c>
      <c r="G1226">
        <v>0</v>
      </c>
      <c r="H1226">
        <v>0</v>
      </c>
    </row>
    <row r="1227" spans="1:8">
      <c r="D1227" t="s">
        <v>925</v>
      </c>
      <c r="E1227">
        <v>0</v>
      </c>
      <c r="F1227">
        <v>0</v>
      </c>
      <c r="G1227">
        <v>0</v>
      </c>
      <c r="H1227">
        <v>0</v>
      </c>
    </row>
    <row r="1228" spans="1:8">
      <c r="D1228" t="s">
        <v>926</v>
      </c>
      <c r="E1228">
        <v>0</v>
      </c>
      <c r="F1228">
        <v>0</v>
      </c>
      <c r="G1228">
        <v>0</v>
      </c>
      <c r="H1228">
        <v>0</v>
      </c>
    </row>
    <row r="1229" spans="1:8">
      <c r="A1229">
        <v>2</v>
      </c>
      <c r="B1229" t="s">
        <v>149</v>
      </c>
      <c r="C1229" t="s">
        <v>148</v>
      </c>
      <c r="D1229" t="s">
        <v>155</v>
      </c>
      <c r="E1229">
        <v>0</v>
      </c>
      <c r="F1229">
        <v>0</v>
      </c>
      <c r="G1229">
        <v>0</v>
      </c>
      <c r="H1229">
        <v>0</v>
      </c>
    </row>
    <row r="1230" spans="1:8">
      <c r="A1230" t="s">
        <v>14</v>
      </c>
      <c r="B1230" t="s">
        <v>149</v>
      </c>
      <c r="C1230" t="s">
        <v>148</v>
      </c>
      <c r="D1230" t="s">
        <v>156</v>
      </c>
      <c r="E1230">
        <v>0</v>
      </c>
      <c r="F1230">
        <v>0</v>
      </c>
      <c r="G1230">
        <v>0</v>
      </c>
      <c r="H1230">
        <v>0</v>
      </c>
    </row>
    <row r="1231" spans="1:8">
      <c r="A1231" t="s">
        <v>19</v>
      </c>
      <c r="B1231" t="s">
        <v>1914</v>
      </c>
      <c r="C1231" t="s">
        <v>1739</v>
      </c>
      <c r="D1231" t="s">
        <v>927</v>
      </c>
      <c r="E1231">
        <v>0</v>
      </c>
      <c r="F1231">
        <v>0</v>
      </c>
      <c r="G1231">
        <v>0</v>
      </c>
      <c r="H1231">
        <v>0</v>
      </c>
    </row>
    <row r="1232" spans="1:8">
      <c r="D1232" t="s">
        <v>905</v>
      </c>
      <c r="E1232">
        <v>0</v>
      </c>
      <c r="F1232">
        <v>0</v>
      </c>
      <c r="G1232">
        <v>0</v>
      </c>
      <c r="H1232">
        <v>0</v>
      </c>
    </row>
    <row r="1233" spans="4:8">
      <c r="D1233" t="s">
        <v>787</v>
      </c>
      <c r="E1233">
        <v>0</v>
      </c>
      <c r="F1233">
        <v>0</v>
      </c>
      <c r="G1233">
        <v>0</v>
      </c>
      <c r="H1233">
        <v>0</v>
      </c>
    </row>
    <row r="1234" spans="4:8">
      <c r="D1234" t="s">
        <v>875</v>
      </c>
      <c r="E1234">
        <v>0</v>
      </c>
      <c r="F1234">
        <v>0</v>
      </c>
      <c r="G1234">
        <v>0</v>
      </c>
      <c r="H1234">
        <v>0</v>
      </c>
    </row>
    <row r="1235" spans="4:8">
      <c r="D1235" t="s">
        <v>787</v>
      </c>
      <c r="E1235">
        <v>0</v>
      </c>
      <c r="F1235">
        <v>0</v>
      </c>
      <c r="G1235">
        <v>0</v>
      </c>
      <c r="H1235">
        <v>0</v>
      </c>
    </row>
    <row r="1236" spans="4:8">
      <c r="D1236" t="s">
        <v>928</v>
      </c>
      <c r="E1236">
        <v>0</v>
      </c>
      <c r="F1236">
        <v>0</v>
      </c>
      <c r="G1236">
        <v>0</v>
      </c>
      <c r="H1236">
        <v>0</v>
      </c>
    </row>
    <row r="1237" spans="4:8">
      <c r="D1237" t="s">
        <v>929</v>
      </c>
      <c r="E1237">
        <v>0</v>
      </c>
      <c r="F1237">
        <v>0</v>
      </c>
      <c r="G1237">
        <v>0</v>
      </c>
      <c r="H1237">
        <v>0</v>
      </c>
    </row>
    <row r="1238" spans="4:8">
      <c r="D1238" t="s">
        <v>930</v>
      </c>
      <c r="E1238">
        <v>0</v>
      </c>
      <c r="F1238">
        <v>0</v>
      </c>
      <c r="G1238">
        <v>0</v>
      </c>
      <c r="H1238">
        <v>0</v>
      </c>
    </row>
    <row r="1239" spans="4:8">
      <c r="D1239" t="s">
        <v>791</v>
      </c>
      <c r="E1239">
        <v>0</v>
      </c>
      <c r="F1239">
        <v>0</v>
      </c>
      <c r="G1239">
        <v>0</v>
      </c>
      <c r="H1239">
        <v>0</v>
      </c>
    </row>
    <row r="1240" spans="4:8">
      <c r="D1240" t="s">
        <v>769</v>
      </c>
      <c r="E1240">
        <v>0</v>
      </c>
      <c r="F1240">
        <v>0</v>
      </c>
      <c r="G1240">
        <v>0</v>
      </c>
      <c r="H1240">
        <v>0</v>
      </c>
    </row>
    <row r="1241" spans="4:8">
      <c r="D1241" t="s">
        <v>789</v>
      </c>
      <c r="E1241">
        <v>0</v>
      </c>
      <c r="F1241">
        <v>0</v>
      </c>
      <c r="G1241">
        <v>0</v>
      </c>
      <c r="H1241">
        <v>0</v>
      </c>
    </row>
    <row r="1242" spans="4:8">
      <c r="D1242" t="s">
        <v>928</v>
      </c>
      <c r="E1242">
        <v>0</v>
      </c>
      <c r="F1242">
        <v>0</v>
      </c>
      <c r="G1242">
        <v>0</v>
      </c>
      <c r="H1242">
        <v>0</v>
      </c>
    </row>
    <row r="1243" spans="4:8">
      <c r="D1243" t="s">
        <v>789</v>
      </c>
      <c r="E1243">
        <v>0</v>
      </c>
      <c r="F1243">
        <v>0</v>
      </c>
      <c r="G1243">
        <v>0</v>
      </c>
      <c r="H1243">
        <v>0</v>
      </c>
    </row>
    <row r="1244" spans="4:8">
      <c r="D1244" t="s">
        <v>928</v>
      </c>
      <c r="E1244">
        <v>0</v>
      </c>
      <c r="F1244">
        <v>0</v>
      </c>
      <c r="G1244">
        <v>0</v>
      </c>
      <c r="H1244">
        <v>0</v>
      </c>
    </row>
    <row r="1245" spans="4:8">
      <c r="D1245" t="s">
        <v>909</v>
      </c>
      <c r="E1245">
        <v>0</v>
      </c>
      <c r="F1245">
        <v>0</v>
      </c>
      <c r="G1245">
        <v>0</v>
      </c>
      <c r="H1245">
        <v>0</v>
      </c>
    </row>
    <row r="1246" spans="4:8">
      <c r="D1246" t="s">
        <v>931</v>
      </c>
      <c r="E1246">
        <v>0</v>
      </c>
      <c r="F1246">
        <v>0</v>
      </c>
      <c r="G1246">
        <v>0</v>
      </c>
      <c r="H1246">
        <v>0</v>
      </c>
    </row>
    <row r="1247" spans="4:8">
      <c r="D1247" t="s">
        <v>932</v>
      </c>
      <c r="E1247">
        <v>0</v>
      </c>
      <c r="F1247">
        <v>0</v>
      </c>
      <c r="G1247">
        <v>0</v>
      </c>
      <c r="H1247">
        <v>0</v>
      </c>
    </row>
    <row r="1248" spans="4:8">
      <c r="D1248" t="s">
        <v>928</v>
      </c>
      <c r="E1248">
        <v>0</v>
      </c>
      <c r="F1248">
        <v>0</v>
      </c>
      <c r="G1248">
        <v>0</v>
      </c>
      <c r="H1248">
        <v>0</v>
      </c>
    </row>
    <row r="1249" spans="1:8">
      <c r="D1249" t="s">
        <v>933</v>
      </c>
      <c r="E1249">
        <v>0</v>
      </c>
      <c r="F1249">
        <v>0</v>
      </c>
      <c r="G1249">
        <v>0</v>
      </c>
      <c r="H1249">
        <v>0</v>
      </c>
    </row>
    <row r="1250" spans="1:8">
      <c r="D1250" t="s">
        <v>921</v>
      </c>
      <c r="E1250">
        <v>0</v>
      </c>
      <c r="F1250">
        <v>0</v>
      </c>
      <c r="G1250">
        <v>0</v>
      </c>
      <c r="H1250">
        <v>0</v>
      </c>
    </row>
    <row r="1251" spans="1:8">
      <c r="A1251" t="s">
        <v>32</v>
      </c>
      <c r="B1251" t="s">
        <v>1914</v>
      </c>
      <c r="C1251" t="s">
        <v>1739</v>
      </c>
      <c r="D1251" t="s">
        <v>934</v>
      </c>
      <c r="E1251">
        <v>0</v>
      </c>
      <c r="F1251">
        <v>0</v>
      </c>
      <c r="G1251">
        <v>0</v>
      </c>
      <c r="H1251">
        <v>0</v>
      </c>
    </row>
    <row r="1252" spans="1:8">
      <c r="D1252" t="s">
        <v>935</v>
      </c>
      <c r="E1252">
        <v>0</v>
      </c>
      <c r="F1252">
        <v>0</v>
      </c>
      <c r="G1252">
        <v>0</v>
      </c>
      <c r="H1252">
        <v>0</v>
      </c>
    </row>
    <row r="1253" spans="1:8">
      <c r="D1253" t="s">
        <v>936</v>
      </c>
      <c r="E1253">
        <v>0</v>
      </c>
      <c r="F1253">
        <v>0</v>
      </c>
      <c r="G1253">
        <v>0</v>
      </c>
      <c r="H1253">
        <v>0</v>
      </c>
    </row>
    <row r="1254" spans="1:8">
      <c r="D1254" t="s">
        <v>909</v>
      </c>
      <c r="E1254">
        <v>0</v>
      </c>
      <c r="F1254">
        <v>0</v>
      </c>
      <c r="G1254">
        <v>0</v>
      </c>
      <c r="H1254">
        <v>0</v>
      </c>
    </row>
    <row r="1255" spans="1:8">
      <c r="D1255" t="s">
        <v>937</v>
      </c>
      <c r="E1255">
        <v>0</v>
      </c>
      <c r="F1255">
        <v>0</v>
      </c>
      <c r="G1255">
        <v>0</v>
      </c>
      <c r="H1255">
        <v>0</v>
      </c>
    </row>
    <row r="1256" spans="1:8">
      <c r="D1256" t="s">
        <v>769</v>
      </c>
      <c r="E1256">
        <v>0</v>
      </c>
      <c r="F1256">
        <v>0</v>
      </c>
      <c r="G1256">
        <v>0</v>
      </c>
      <c r="H1256">
        <v>0</v>
      </c>
    </row>
    <row r="1257" spans="1:8">
      <c r="A1257">
        <v>4</v>
      </c>
      <c r="B1257" t="s">
        <v>1914</v>
      </c>
      <c r="C1257" t="s">
        <v>1739</v>
      </c>
      <c r="D1257" t="s">
        <v>159</v>
      </c>
      <c r="E1257">
        <v>0</v>
      </c>
      <c r="F1257">
        <v>0</v>
      </c>
      <c r="G1257">
        <v>0</v>
      </c>
      <c r="H1257">
        <v>0</v>
      </c>
    </row>
    <row r="1258" spans="1:8">
      <c r="A1258" t="s">
        <v>14</v>
      </c>
      <c r="B1258" t="s">
        <v>1914</v>
      </c>
      <c r="C1258" t="s">
        <v>1739</v>
      </c>
      <c r="D1258" t="s">
        <v>160</v>
      </c>
      <c r="E1258">
        <v>0</v>
      </c>
      <c r="F1258">
        <v>0</v>
      </c>
      <c r="G1258">
        <v>0</v>
      </c>
      <c r="H1258">
        <v>0</v>
      </c>
    </row>
    <row r="1259" spans="1:8">
      <c r="A1259" t="s">
        <v>19</v>
      </c>
      <c r="B1259" t="s">
        <v>1914</v>
      </c>
      <c r="C1259" t="s">
        <v>1739</v>
      </c>
      <c r="D1259" t="s">
        <v>1959</v>
      </c>
      <c r="E1259">
        <v>0</v>
      </c>
      <c r="F1259">
        <v>0</v>
      </c>
      <c r="G1259">
        <v>0</v>
      </c>
      <c r="H1259">
        <v>0</v>
      </c>
    </row>
    <row r="1260" spans="1:8">
      <c r="D1260" t="s">
        <v>938</v>
      </c>
      <c r="E1260">
        <v>0</v>
      </c>
      <c r="F1260">
        <v>0</v>
      </c>
      <c r="G1260">
        <v>0</v>
      </c>
      <c r="H1260">
        <v>0</v>
      </c>
    </row>
    <row r="1261" spans="1:8">
      <c r="A1261" t="s">
        <v>44</v>
      </c>
      <c r="B1261" t="s">
        <v>1914</v>
      </c>
      <c r="C1261" t="s">
        <v>1739</v>
      </c>
      <c r="D1261" t="s">
        <v>164</v>
      </c>
      <c r="E1261">
        <v>0</v>
      </c>
      <c r="F1261">
        <v>0</v>
      </c>
      <c r="G1261">
        <v>0</v>
      </c>
      <c r="H1261">
        <v>0</v>
      </c>
    </row>
    <row r="1262" spans="1:8">
      <c r="A1262" t="s">
        <v>16</v>
      </c>
      <c r="B1262" t="s">
        <v>1914</v>
      </c>
      <c r="C1262" t="s">
        <v>1739</v>
      </c>
      <c r="D1262" t="s">
        <v>1960</v>
      </c>
      <c r="E1262">
        <v>0</v>
      </c>
      <c r="F1262">
        <v>0</v>
      </c>
      <c r="G1262">
        <v>0</v>
      </c>
      <c r="H1262">
        <v>0</v>
      </c>
    </row>
    <row r="1263" spans="1:8">
      <c r="D1263" t="s">
        <v>862</v>
      </c>
      <c r="E1263">
        <v>0</v>
      </c>
      <c r="F1263">
        <v>0</v>
      </c>
      <c r="G1263">
        <v>0</v>
      </c>
      <c r="H1263">
        <v>0</v>
      </c>
    </row>
    <row r="1264" spans="1:8">
      <c r="D1264" t="s">
        <v>944</v>
      </c>
      <c r="E1264">
        <v>0</v>
      </c>
      <c r="F1264">
        <v>0</v>
      </c>
      <c r="G1264">
        <v>0</v>
      </c>
      <c r="H1264">
        <v>0</v>
      </c>
    </row>
    <row r="1265" spans="1:8">
      <c r="A1265" t="s">
        <v>46</v>
      </c>
      <c r="B1265" t="s">
        <v>1914</v>
      </c>
      <c r="C1265" t="s">
        <v>1739</v>
      </c>
      <c r="D1265" t="s">
        <v>165</v>
      </c>
      <c r="E1265">
        <v>0</v>
      </c>
      <c r="F1265">
        <v>0</v>
      </c>
      <c r="G1265">
        <v>0</v>
      </c>
      <c r="H1265">
        <v>0</v>
      </c>
    </row>
    <row r="1266" spans="1:8">
      <c r="A1266" t="s">
        <v>50</v>
      </c>
      <c r="B1266" t="s">
        <v>1914</v>
      </c>
      <c r="C1266" t="s">
        <v>1739</v>
      </c>
      <c r="D1266" t="s">
        <v>170</v>
      </c>
      <c r="E1266">
        <v>0</v>
      </c>
      <c r="F1266">
        <v>0</v>
      </c>
      <c r="G1266">
        <v>0</v>
      </c>
      <c r="H1266">
        <v>0</v>
      </c>
    </row>
    <row r="1267" spans="1:8">
      <c r="D1267" t="s">
        <v>940</v>
      </c>
      <c r="E1267">
        <v>0</v>
      </c>
      <c r="F1267">
        <v>0</v>
      </c>
      <c r="G1267">
        <v>0</v>
      </c>
      <c r="H1267">
        <v>0</v>
      </c>
    </row>
    <row r="1268" spans="1:8">
      <c r="A1268" t="s">
        <v>19</v>
      </c>
      <c r="B1268" t="s">
        <v>1914</v>
      </c>
      <c r="C1268" t="s">
        <v>1739</v>
      </c>
      <c r="D1268" t="s">
        <v>1961</v>
      </c>
      <c r="E1268">
        <v>0</v>
      </c>
      <c r="F1268">
        <v>0</v>
      </c>
      <c r="G1268">
        <v>0</v>
      </c>
      <c r="H1268">
        <v>0</v>
      </c>
    </row>
    <row r="1269" spans="1:8">
      <c r="D1269" t="s">
        <v>942</v>
      </c>
      <c r="E1269">
        <v>0</v>
      </c>
      <c r="F1269">
        <v>0</v>
      </c>
      <c r="G1269">
        <v>0</v>
      </c>
      <c r="H1269">
        <v>0</v>
      </c>
    </row>
    <row r="1270" spans="1:8">
      <c r="A1270" t="s">
        <v>47</v>
      </c>
      <c r="B1270" t="s">
        <v>1914</v>
      </c>
      <c r="C1270" t="s">
        <v>1739</v>
      </c>
      <c r="D1270" t="s">
        <v>173</v>
      </c>
      <c r="E1270">
        <v>0</v>
      </c>
      <c r="F1270">
        <v>0</v>
      </c>
      <c r="G1270">
        <v>0</v>
      </c>
      <c r="H1270">
        <v>0</v>
      </c>
    </row>
    <row r="1271" spans="1:8">
      <c r="A1271" t="s">
        <v>16</v>
      </c>
      <c r="B1271" t="s">
        <v>1914</v>
      </c>
      <c r="C1271" t="s">
        <v>1739</v>
      </c>
      <c r="D1271" t="s">
        <v>1962</v>
      </c>
      <c r="E1271">
        <v>0</v>
      </c>
      <c r="F1271">
        <v>0</v>
      </c>
      <c r="G1271">
        <v>0</v>
      </c>
      <c r="H1271">
        <v>0</v>
      </c>
    </row>
    <row r="1272" spans="1:8">
      <c r="A1272" t="s">
        <v>50</v>
      </c>
      <c r="B1272" t="s">
        <v>1914</v>
      </c>
      <c r="C1272" t="s">
        <v>1739</v>
      </c>
      <c r="D1272" t="s">
        <v>174</v>
      </c>
      <c r="E1272">
        <v>0</v>
      </c>
      <c r="F1272">
        <v>0</v>
      </c>
      <c r="G1272">
        <v>0</v>
      </c>
      <c r="H1272">
        <v>0</v>
      </c>
    </row>
    <row r="1273" spans="1:8">
      <c r="A1273" t="s">
        <v>16</v>
      </c>
      <c r="B1273" t="s">
        <v>1914</v>
      </c>
      <c r="C1273" t="s">
        <v>1739</v>
      </c>
      <c r="D1273" t="s">
        <v>943</v>
      </c>
      <c r="E1273">
        <v>0</v>
      </c>
      <c r="F1273">
        <v>0</v>
      </c>
      <c r="G1273">
        <v>0</v>
      </c>
      <c r="H1273">
        <v>0</v>
      </c>
    </row>
    <row r="1274" spans="1:8">
      <c r="A1274">
        <v>5</v>
      </c>
      <c r="B1274" t="s">
        <v>1914</v>
      </c>
      <c r="C1274" t="s">
        <v>1739</v>
      </c>
      <c r="D1274" t="s">
        <v>176</v>
      </c>
      <c r="E1274">
        <v>0</v>
      </c>
      <c r="F1274">
        <v>0</v>
      </c>
      <c r="G1274">
        <v>0</v>
      </c>
      <c r="H1274">
        <v>0</v>
      </c>
    </row>
    <row r="1275" spans="1:8">
      <c r="A1275" t="s">
        <v>14</v>
      </c>
      <c r="B1275" t="s">
        <v>1914</v>
      </c>
      <c r="C1275" t="s">
        <v>1739</v>
      </c>
      <c r="D1275" t="s">
        <v>177</v>
      </c>
      <c r="E1275">
        <v>0</v>
      </c>
      <c r="F1275">
        <v>0</v>
      </c>
      <c r="G1275">
        <v>0</v>
      </c>
      <c r="H1275">
        <v>0</v>
      </c>
    </row>
    <row r="1276" spans="1:8">
      <c r="A1276" t="s">
        <v>16</v>
      </c>
      <c r="B1276" t="s">
        <v>1914</v>
      </c>
      <c r="C1276" t="s">
        <v>1739</v>
      </c>
      <c r="D1276" t="s">
        <v>944</v>
      </c>
      <c r="E1276">
        <v>0</v>
      </c>
      <c r="F1276">
        <v>0</v>
      </c>
      <c r="G1276">
        <v>0</v>
      </c>
      <c r="H1276">
        <v>0</v>
      </c>
    </row>
    <row r="1277" spans="1:8">
      <c r="A1277" t="s">
        <v>47</v>
      </c>
      <c r="B1277" t="s">
        <v>1914</v>
      </c>
      <c r="C1277" t="s">
        <v>1739</v>
      </c>
      <c r="D1277" t="s">
        <v>184</v>
      </c>
      <c r="E1277">
        <v>0</v>
      </c>
      <c r="F1277">
        <v>0</v>
      </c>
      <c r="G1277">
        <v>0</v>
      </c>
      <c r="H1277">
        <v>0</v>
      </c>
    </row>
    <row r="1278" spans="1:8" ht="100.8">
      <c r="A1278" t="s">
        <v>16</v>
      </c>
      <c r="B1278" t="s">
        <v>1914</v>
      </c>
      <c r="C1278" t="s">
        <v>1739</v>
      </c>
      <c r="D1278" s="518" t="s">
        <v>945</v>
      </c>
      <c r="E1278">
        <v>0</v>
      </c>
      <c r="F1278">
        <v>0</v>
      </c>
      <c r="G1278">
        <v>0</v>
      </c>
      <c r="H1278">
        <v>0</v>
      </c>
    </row>
    <row r="1279" spans="1:8">
      <c r="A1279" t="s">
        <v>85</v>
      </c>
      <c r="B1279" t="s">
        <v>1914</v>
      </c>
      <c r="C1279" t="s">
        <v>1739</v>
      </c>
      <c r="D1279" t="s">
        <v>195</v>
      </c>
      <c r="E1279">
        <v>0</v>
      </c>
      <c r="F1279">
        <v>0</v>
      </c>
      <c r="G1279">
        <v>0</v>
      </c>
      <c r="H1279">
        <v>0</v>
      </c>
    </row>
    <row r="1280" spans="1:8">
      <c r="A1280" t="s">
        <v>21</v>
      </c>
      <c r="B1280" t="s">
        <v>149</v>
      </c>
      <c r="C1280" t="s">
        <v>148</v>
      </c>
      <c r="D1280" t="s">
        <v>946</v>
      </c>
      <c r="E1280">
        <v>0</v>
      </c>
      <c r="F1280">
        <v>0</v>
      </c>
      <c r="G1280">
        <v>0</v>
      </c>
      <c r="H1280">
        <v>0</v>
      </c>
    </row>
    <row r="1281" spans="1:8">
      <c r="D1281" t="s">
        <v>1963</v>
      </c>
      <c r="E1281">
        <v>0</v>
      </c>
      <c r="F1281">
        <v>0</v>
      </c>
      <c r="G1281">
        <v>0</v>
      </c>
      <c r="H1281">
        <v>0</v>
      </c>
    </row>
    <row r="1282" spans="1:8">
      <c r="A1282" t="s">
        <v>16</v>
      </c>
      <c r="B1282" t="s">
        <v>149</v>
      </c>
      <c r="C1282" t="s">
        <v>148</v>
      </c>
      <c r="D1282" t="s">
        <v>200</v>
      </c>
      <c r="E1282">
        <v>0</v>
      </c>
      <c r="F1282">
        <v>0</v>
      </c>
      <c r="G1282">
        <v>0</v>
      </c>
      <c r="H1282">
        <v>0</v>
      </c>
    </row>
    <row r="1283" spans="1:8" ht="100.8">
      <c r="A1283" t="s">
        <v>16</v>
      </c>
      <c r="B1283" t="s">
        <v>149</v>
      </c>
      <c r="C1283" t="s">
        <v>148</v>
      </c>
      <c r="D1283" s="518" t="s">
        <v>1964</v>
      </c>
      <c r="E1283">
        <v>0</v>
      </c>
      <c r="F1283">
        <v>0</v>
      </c>
      <c r="G1283">
        <v>0</v>
      </c>
      <c r="H1283">
        <v>0</v>
      </c>
    </row>
    <row r="1284" spans="1:8">
      <c r="D1284" t="s">
        <v>947</v>
      </c>
      <c r="E1284">
        <v>0</v>
      </c>
      <c r="F1284">
        <v>0</v>
      </c>
      <c r="G1284">
        <v>0</v>
      </c>
      <c r="H1284">
        <v>0</v>
      </c>
    </row>
    <row r="1285" spans="1:8">
      <c r="D1285" t="s">
        <v>818</v>
      </c>
      <c r="E1285">
        <v>0</v>
      </c>
      <c r="F1285">
        <v>0</v>
      </c>
      <c r="G1285">
        <v>0</v>
      </c>
      <c r="H1285">
        <v>0</v>
      </c>
    </row>
    <row r="1286" spans="1:8">
      <c r="A1286">
        <v>6</v>
      </c>
      <c r="B1286" t="s">
        <v>149</v>
      </c>
      <c r="C1286" t="s">
        <v>148</v>
      </c>
      <c r="D1286" t="s">
        <v>205</v>
      </c>
      <c r="E1286">
        <v>0</v>
      </c>
      <c r="F1286">
        <v>0</v>
      </c>
      <c r="G1286">
        <v>0</v>
      </c>
      <c r="H1286">
        <v>0</v>
      </c>
    </row>
    <row r="1287" spans="1:8">
      <c r="A1287" t="s">
        <v>14</v>
      </c>
      <c r="B1287" t="s">
        <v>149</v>
      </c>
      <c r="C1287" t="s">
        <v>148</v>
      </c>
      <c r="D1287" t="s">
        <v>1784</v>
      </c>
      <c r="E1287">
        <v>0</v>
      </c>
      <c r="F1287">
        <v>0</v>
      </c>
      <c r="G1287">
        <v>0</v>
      </c>
      <c r="H1287">
        <v>0</v>
      </c>
    </row>
    <row r="1288" spans="1:8">
      <c r="A1288" t="s">
        <v>16</v>
      </c>
      <c r="B1288" t="s">
        <v>149</v>
      </c>
      <c r="C1288" t="s">
        <v>148</v>
      </c>
      <c r="D1288" t="s">
        <v>1965</v>
      </c>
      <c r="E1288">
        <v>0</v>
      </c>
      <c r="F1288">
        <v>0</v>
      </c>
      <c r="G1288">
        <v>0</v>
      </c>
      <c r="H1288">
        <v>0</v>
      </c>
    </row>
    <row r="1289" spans="1:8">
      <c r="D1289" t="s">
        <v>949</v>
      </c>
      <c r="E1289">
        <v>0</v>
      </c>
      <c r="F1289">
        <v>0</v>
      </c>
      <c r="G1289">
        <v>0</v>
      </c>
      <c r="H1289">
        <v>0</v>
      </c>
    </row>
    <row r="1290" spans="1:8">
      <c r="D1290" t="s">
        <v>914</v>
      </c>
      <c r="E1290">
        <v>0</v>
      </c>
      <c r="F1290">
        <v>0</v>
      </c>
      <c r="G1290">
        <v>0</v>
      </c>
      <c r="H1290">
        <v>0</v>
      </c>
    </row>
    <row r="1291" spans="1:8">
      <c r="D1291" t="s">
        <v>818</v>
      </c>
      <c r="E1291">
        <v>0</v>
      </c>
      <c r="F1291">
        <v>0</v>
      </c>
      <c r="G1291">
        <v>0</v>
      </c>
      <c r="H1291">
        <v>0</v>
      </c>
    </row>
    <row r="1292" spans="1:8">
      <c r="A1292" t="s">
        <v>44</v>
      </c>
      <c r="B1292" t="s">
        <v>149</v>
      </c>
      <c r="C1292" t="s">
        <v>148</v>
      </c>
      <c r="D1292" t="s">
        <v>1785</v>
      </c>
      <c r="E1292">
        <v>0</v>
      </c>
      <c r="F1292">
        <v>0</v>
      </c>
      <c r="G1292">
        <v>0</v>
      </c>
      <c r="H1292">
        <v>0</v>
      </c>
    </row>
    <row r="1293" spans="1:8">
      <c r="A1293" t="s">
        <v>16</v>
      </c>
      <c r="B1293" t="s">
        <v>149</v>
      </c>
      <c r="C1293" t="s">
        <v>148</v>
      </c>
      <c r="D1293" t="s">
        <v>1966</v>
      </c>
      <c r="E1293">
        <v>0</v>
      </c>
      <c r="F1293">
        <v>0</v>
      </c>
      <c r="G1293">
        <v>0</v>
      </c>
      <c r="H1293">
        <v>0</v>
      </c>
    </row>
    <row r="1294" spans="1:8">
      <c r="D1294" t="s">
        <v>951</v>
      </c>
      <c r="E1294">
        <v>0</v>
      </c>
      <c r="F1294">
        <v>0</v>
      </c>
      <c r="G1294">
        <v>0</v>
      </c>
      <c r="H1294">
        <v>0</v>
      </c>
    </row>
    <row r="1295" spans="1:8">
      <c r="D1295" t="s">
        <v>952</v>
      </c>
      <c r="E1295">
        <v>0</v>
      </c>
      <c r="F1295">
        <v>0</v>
      </c>
      <c r="G1295">
        <v>0</v>
      </c>
      <c r="H1295">
        <v>0</v>
      </c>
    </row>
    <row r="1296" spans="1:8">
      <c r="D1296" t="s">
        <v>953</v>
      </c>
      <c r="E1296">
        <v>0</v>
      </c>
      <c r="F1296">
        <v>0</v>
      </c>
      <c r="G1296">
        <v>0</v>
      </c>
      <c r="H1296">
        <v>0</v>
      </c>
    </row>
    <row r="1297" spans="1:8">
      <c r="D1297" t="s">
        <v>818</v>
      </c>
      <c r="E1297">
        <v>0</v>
      </c>
      <c r="F1297">
        <v>0</v>
      </c>
      <c r="G1297">
        <v>0</v>
      </c>
      <c r="H1297">
        <v>0</v>
      </c>
    </row>
    <row r="1298" spans="1:8">
      <c r="A1298" t="s">
        <v>21</v>
      </c>
      <c r="B1298" t="s">
        <v>149</v>
      </c>
      <c r="C1298" t="s">
        <v>148</v>
      </c>
      <c r="D1298" t="s">
        <v>1787</v>
      </c>
      <c r="E1298">
        <v>0</v>
      </c>
      <c r="F1298">
        <v>0</v>
      </c>
      <c r="G1298">
        <v>0</v>
      </c>
      <c r="H1298">
        <v>0</v>
      </c>
    </row>
    <row r="1299" spans="1:8">
      <c r="D1299" t="s">
        <v>768</v>
      </c>
      <c r="E1299">
        <v>0</v>
      </c>
      <c r="F1299">
        <v>0</v>
      </c>
      <c r="G1299">
        <v>0</v>
      </c>
      <c r="H1299">
        <v>0</v>
      </c>
    </row>
    <row r="1300" spans="1:8">
      <c r="D1300" t="s">
        <v>818</v>
      </c>
      <c r="E1300">
        <v>0</v>
      </c>
      <c r="F1300">
        <v>0</v>
      </c>
      <c r="G1300">
        <v>0</v>
      </c>
      <c r="H1300">
        <v>0</v>
      </c>
    </row>
    <row r="1301" spans="1:8">
      <c r="A1301" t="s">
        <v>46</v>
      </c>
      <c r="B1301" t="s">
        <v>149</v>
      </c>
      <c r="C1301" t="s">
        <v>148</v>
      </c>
      <c r="D1301" t="s">
        <v>210</v>
      </c>
      <c r="E1301">
        <v>0</v>
      </c>
      <c r="F1301">
        <v>0</v>
      </c>
      <c r="G1301">
        <v>0</v>
      </c>
      <c r="H1301">
        <v>0</v>
      </c>
    </row>
    <row r="1302" spans="1:8">
      <c r="A1302" t="s">
        <v>16</v>
      </c>
      <c r="B1302" t="s">
        <v>149</v>
      </c>
      <c r="C1302" t="s">
        <v>148</v>
      </c>
      <c r="D1302" t="s">
        <v>954</v>
      </c>
      <c r="E1302">
        <v>0</v>
      </c>
      <c r="F1302">
        <v>0</v>
      </c>
      <c r="G1302">
        <v>0</v>
      </c>
      <c r="H1302">
        <v>0</v>
      </c>
    </row>
    <row r="1303" spans="1:8">
      <c r="D1303" t="s">
        <v>874</v>
      </c>
      <c r="E1303">
        <v>0</v>
      </c>
      <c r="F1303">
        <v>0</v>
      </c>
      <c r="G1303">
        <v>0</v>
      </c>
      <c r="H1303">
        <v>0</v>
      </c>
    </row>
    <row r="1304" spans="1:8">
      <c r="D1304" t="s">
        <v>818</v>
      </c>
      <c r="E1304">
        <v>0</v>
      </c>
      <c r="F1304">
        <v>0</v>
      </c>
      <c r="G1304">
        <v>0</v>
      </c>
      <c r="H1304">
        <v>0</v>
      </c>
    </row>
    <row r="1305" spans="1:8">
      <c r="A1305">
        <v>7</v>
      </c>
      <c r="B1305" t="s">
        <v>149</v>
      </c>
      <c r="C1305" t="s">
        <v>148</v>
      </c>
      <c r="D1305" t="s">
        <v>214</v>
      </c>
      <c r="E1305">
        <v>0</v>
      </c>
      <c r="F1305">
        <v>0</v>
      </c>
      <c r="G1305">
        <v>0</v>
      </c>
      <c r="H1305">
        <v>0</v>
      </c>
    </row>
    <row r="1306" spans="1:8">
      <c r="A1306" t="s">
        <v>14</v>
      </c>
      <c r="B1306" t="s">
        <v>149</v>
      </c>
      <c r="C1306" t="s">
        <v>148</v>
      </c>
      <c r="D1306" t="s">
        <v>1967</v>
      </c>
      <c r="E1306">
        <v>0</v>
      </c>
      <c r="F1306">
        <v>0</v>
      </c>
      <c r="G1306">
        <v>0</v>
      </c>
      <c r="H1306">
        <v>0</v>
      </c>
    </row>
    <row r="1307" spans="1:8">
      <c r="D1307" t="s">
        <v>768</v>
      </c>
      <c r="E1307">
        <v>0</v>
      </c>
      <c r="F1307">
        <v>0</v>
      </c>
      <c r="G1307">
        <v>0</v>
      </c>
      <c r="H1307">
        <v>0</v>
      </c>
    </row>
    <row r="1308" spans="1:8">
      <c r="D1308" t="s">
        <v>956</v>
      </c>
      <c r="E1308">
        <v>0</v>
      </c>
      <c r="F1308">
        <v>0</v>
      </c>
      <c r="G1308">
        <v>0</v>
      </c>
      <c r="H1308">
        <v>0</v>
      </c>
    </row>
    <row r="1309" spans="1:8">
      <c r="D1309" t="s">
        <v>818</v>
      </c>
      <c r="E1309">
        <v>0</v>
      </c>
      <c r="F1309">
        <v>0</v>
      </c>
      <c r="G1309">
        <v>0</v>
      </c>
      <c r="H1309">
        <v>0</v>
      </c>
    </row>
    <row r="1310" spans="1:8">
      <c r="A1310" t="s">
        <v>46</v>
      </c>
      <c r="B1310" t="s">
        <v>149</v>
      </c>
      <c r="C1310" t="s">
        <v>148</v>
      </c>
      <c r="D1310" t="s">
        <v>1968</v>
      </c>
      <c r="E1310">
        <v>0</v>
      </c>
      <c r="F1310">
        <v>0</v>
      </c>
      <c r="G1310">
        <v>0</v>
      </c>
      <c r="H1310">
        <v>0</v>
      </c>
    </row>
    <row r="1311" spans="1:8">
      <c r="D1311" t="s">
        <v>958</v>
      </c>
      <c r="E1311">
        <v>0</v>
      </c>
      <c r="F1311">
        <v>0</v>
      </c>
      <c r="G1311">
        <v>0</v>
      </c>
      <c r="H1311">
        <v>0</v>
      </c>
    </row>
    <row r="1312" spans="1:8">
      <c r="D1312" t="s">
        <v>818</v>
      </c>
      <c r="E1312">
        <v>0</v>
      </c>
      <c r="F1312">
        <v>0</v>
      </c>
      <c r="G1312">
        <v>0</v>
      </c>
      <c r="H1312">
        <v>0</v>
      </c>
    </row>
    <row r="1313" spans="1:8">
      <c r="A1313">
        <v>8</v>
      </c>
      <c r="B1313" t="s">
        <v>149</v>
      </c>
      <c r="C1313" t="s">
        <v>148</v>
      </c>
      <c r="D1313" t="s">
        <v>92</v>
      </c>
      <c r="E1313">
        <v>0</v>
      </c>
      <c r="F1313">
        <v>0</v>
      </c>
      <c r="G1313">
        <v>0</v>
      </c>
      <c r="H1313">
        <v>0</v>
      </c>
    </row>
    <row r="1314" spans="1:8">
      <c r="A1314" t="s">
        <v>14</v>
      </c>
      <c r="B1314" t="s">
        <v>149</v>
      </c>
      <c r="C1314" t="s">
        <v>148</v>
      </c>
      <c r="D1314" t="s">
        <v>216</v>
      </c>
      <c r="E1314">
        <v>0</v>
      </c>
      <c r="F1314">
        <v>0</v>
      </c>
      <c r="G1314">
        <v>0</v>
      </c>
      <c r="H1314">
        <v>0</v>
      </c>
    </row>
    <row r="1315" spans="1:8">
      <c r="A1315" t="s">
        <v>16</v>
      </c>
      <c r="B1315" t="s">
        <v>149</v>
      </c>
      <c r="C1315" t="s">
        <v>148</v>
      </c>
      <c r="D1315" t="s">
        <v>1969</v>
      </c>
      <c r="E1315">
        <v>0</v>
      </c>
      <c r="F1315">
        <v>0</v>
      </c>
      <c r="G1315">
        <v>0</v>
      </c>
      <c r="H1315">
        <v>0</v>
      </c>
    </row>
    <row r="1316" spans="1:8">
      <c r="D1316" t="s">
        <v>1970</v>
      </c>
      <c r="E1316">
        <v>0</v>
      </c>
      <c r="F1316">
        <v>0</v>
      </c>
      <c r="G1316">
        <v>0</v>
      </c>
      <c r="H1316">
        <v>0</v>
      </c>
    </row>
    <row r="1317" spans="1:8">
      <c r="D1317" t="s">
        <v>961</v>
      </c>
      <c r="E1317">
        <v>0</v>
      </c>
      <c r="F1317">
        <v>0</v>
      </c>
      <c r="G1317">
        <v>0</v>
      </c>
      <c r="H1317">
        <v>0</v>
      </c>
    </row>
    <row r="1318" spans="1:8">
      <c r="D1318" t="s">
        <v>962</v>
      </c>
      <c r="E1318">
        <v>0</v>
      </c>
      <c r="F1318">
        <v>0</v>
      </c>
      <c r="G1318">
        <v>0</v>
      </c>
      <c r="H1318">
        <v>0</v>
      </c>
    </row>
    <row r="1319" spans="1:8">
      <c r="D1319" t="s">
        <v>963</v>
      </c>
      <c r="E1319">
        <v>0</v>
      </c>
      <c r="F1319">
        <v>0</v>
      </c>
      <c r="G1319">
        <v>0</v>
      </c>
      <c r="H1319">
        <v>0</v>
      </c>
    </row>
    <row r="1320" spans="1:8">
      <c r="A1320">
        <v>9</v>
      </c>
      <c r="B1320" t="s">
        <v>149</v>
      </c>
      <c r="C1320" t="s">
        <v>148</v>
      </c>
      <c r="D1320" t="s">
        <v>218</v>
      </c>
      <c r="E1320">
        <v>0</v>
      </c>
      <c r="F1320">
        <v>0</v>
      </c>
      <c r="G1320">
        <v>0</v>
      </c>
      <c r="H1320">
        <v>0</v>
      </c>
    </row>
    <row r="1321" spans="1:8">
      <c r="A1321" t="s">
        <v>14</v>
      </c>
      <c r="B1321" t="s">
        <v>149</v>
      </c>
      <c r="C1321" t="s">
        <v>148</v>
      </c>
      <c r="D1321" t="s">
        <v>219</v>
      </c>
      <c r="E1321">
        <v>0</v>
      </c>
      <c r="F1321">
        <v>0</v>
      </c>
      <c r="G1321">
        <v>0</v>
      </c>
      <c r="H1321">
        <v>0</v>
      </c>
    </row>
    <row r="1322" spans="1:8">
      <c r="A1322" t="s">
        <v>19</v>
      </c>
      <c r="B1322" t="s">
        <v>1914</v>
      </c>
      <c r="C1322" t="s">
        <v>1739</v>
      </c>
      <c r="D1322" t="s">
        <v>1792</v>
      </c>
      <c r="E1322">
        <v>0</v>
      </c>
      <c r="F1322">
        <v>0</v>
      </c>
      <c r="G1322">
        <v>0</v>
      </c>
      <c r="H1322">
        <v>0</v>
      </c>
    </row>
    <row r="1323" spans="1:8">
      <c r="D1323" t="s">
        <v>964</v>
      </c>
      <c r="E1323">
        <v>0</v>
      </c>
      <c r="F1323">
        <v>0</v>
      </c>
      <c r="G1323">
        <v>0</v>
      </c>
      <c r="H1323">
        <v>0</v>
      </c>
    </row>
    <row r="1324" spans="1:8">
      <c r="D1324" t="s">
        <v>818</v>
      </c>
      <c r="E1324">
        <v>0</v>
      </c>
      <c r="F1324">
        <v>0</v>
      </c>
      <c r="G1324">
        <v>0</v>
      </c>
      <c r="H1324">
        <v>0</v>
      </c>
    </row>
    <row r="1325" spans="1:8">
      <c r="A1325">
        <v>11</v>
      </c>
      <c r="B1325" t="s">
        <v>1914</v>
      </c>
      <c r="C1325" t="s">
        <v>1739</v>
      </c>
      <c r="D1325" t="s">
        <v>226</v>
      </c>
      <c r="E1325">
        <v>0</v>
      </c>
      <c r="F1325">
        <v>0</v>
      </c>
      <c r="G1325">
        <v>0</v>
      </c>
      <c r="H1325">
        <v>0</v>
      </c>
    </row>
    <row r="1326" spans="1:8">
      <c r="A1326" t="s">
        <v>14</v>
      </c>
      <c r="B1326" t="s">
        <v>1914</v>
      </c>
      <c r="C1326" t="s">
        <v>1739</v>
      </c>
      <c r="D1326" t="s">
        <v>1971</v>
      </c>
      <c r="E1326">
        <v>0</v>
      </c>
      <c r="F1326">
        <v>0</v>
      </c>
      <c r="G1326">
        <v>0</v>
      </c>
      <c r="H1326">
        <v>0</v>
      </c>
    </row>
    <row r="1327" spans="1:8">
      <c r="D1327" t="s">
        <v>850</v>
      </c>
      <c r="E1327">
        <v>0</v>
      </c>
      <c r="F1327">
        <v>0</v>
      </c>
      <c r="G1327">
        <v>0</v>
      </c>
      <c r="H1327">
        <v>0</v>
      </c>
    </row>
    <row r="1328" spans="1:8">
      <c r="D1328" t="s">
        <v>768</v>
      </c>
      <c r="E1328">
        <v>0</v>
      </c>
      <c r="F1328">
        <v>0</v>
      </c>
      <c r="G1328">
        <v>0</v>
      </c>
      <c r="H1328">
        <v>0</v>
      </c>
    </row>
    <row r="1329" spans="1:8">
      <c r="A1329" t="s">
        <v>47</v>
      </c>
      <c r="B1329" t="s">
        <v>1914</v>
      </c>
      <c r="C1329" t="s">
        <v>1739</v>
      </c>
      <c r="D1329" t="s">
        <v>229</v>
      </c>
      <c r="E1329">
        <v>0</v>
      </c>
      <c r="F1329">
        <v>0</v>
      </c>
      <c r="G1329">
        <v>0</v>
      </c>
      <c r="H1329">
        <v>0</v>
      </c>
    </row>
    <row r="1330" spans="1:8">
      <c r="D1330" t="s">
        <v>873</v>
      </c>
      <c r="E1330">
        <v>0</v>
      </c>
      <c r="F1330">
        <v>0</v>
      </c>
      <c r="G1330">
        <v>0</v>
      </c>
      <c r="H1330">
        <v>0</v>
      </c>
    </row>
    <row r="1331" spans="1:8">
      <c r="D1331" t="s">
        <v>871</v>
      </c>
      <c r="E1331">
        <v>0</v>
      </c>
      <c r="F1331">
        <v>0</v>
      </c>
      <c r="G1331">
        <v>0</v>
      </c>
      <c r="H1331">
        <v>0</v>
      </c>
    </row>
    <row r="1332" spans="1:8">
      <c r="A1332">
        <v>12</v>
      </c>
      <c r="B1332" t="s">
        <v>1914</v>
      </c>
      <c r="C1332" t="s">
        <v>1739</v>
      </c>
      <c r="D1332" t="s">
        <v>230</v>
      </c>
      <c r="E1332">
        <v>0</v>
      </c>
      <c r="F1332">
        <v>0</v>
      </c>
      <c r="G1332">
        <v>0</v>
      </c>
      <c r="H1332">
        <v>0</v>
      </c>
    </row>
    <row r="1333" spans="1:8">
      <c r="A1333" t="s">
        <v>14</v>
      </c>
      <c r="B1333" t="s">
        <v>1914</v>
      </c>
      <c r="C1333" t="s">
        <v>1739</v>
      </c>
      <c r="D1333" t="s">
        <v>231</v>
      </c>
      <c r="E1333">
        <v>0</v>
      </c>
      <c r="F1333">
        <v>0</v>
      </c>
      <c r="G1333">
        <v>0</v>
      </c>
      <c r="H1333">
        <v>0</v>
      </c>
    </row>
    <row r="1334" spans="1:8">
      <c r="A1334" t="s">
        <v>16</v>
      </c>
      <c r="B1334" t="s">
        <v>1914</v>
      </c>
      <c r="C1334" t="s">
        <v>1739</v>
      </c>
      <c r="D1334" t="s">
        <v>1972</v>
      </c>
      <c r="E1334">
        <v>0</v>
      </c>
      <c r="F1334">
        <v>0</v>
      </c>
      <c r="G1334">
        <v>0</v>
      </c>
      <c r="H1334">
        <v>0</v>
      </c>
    </row>
    <row r="1335" spans="1:8">
      <c r="D1335" t="s">
        <v>947</v>
      </c>
      <c r="E1335">
        <v>0</v>
      </c>
      <c r="F1335">
        <v>0</v>
      </c>
      <c r="G1335">
        <v>0</v>
      </c>
      <c r="H1335">
        <v>0</v>
      </c>
    </row>
    <row r="1336" spans="1:8">
      <c r="D1336" t="s">
        <v>944</v>
      </c>
      <c r="E1336">
        <v>0</v>
      </c>
      <c r="F1336">
        <v>0</v>
      </c>
      <c r="G1336">
        <v>0</v>
      </c>
      <c r="H1336">
        <v>0</v>
      </c>
    </row>
    <row r="1337" spans="1:8">
      <c r="D1337" t="s">
        <v>818</v>
      </c>
      <c r="E1337">
        <v>0</v>
      </c>
      <c r="F1337">
        <v>0</v>
      </c>
      <c r="G1337">
        <v>0</v>
      </c>
      <c r="H1337">
        <v>0</v>
      </c>
    </row>
    <row r="1338" spans="1:8">
      <c r="A1338" t="s">
        <v>44</v>
      </c>
      <c r="B1338" t="s">
        <v>1914</v>
      </c>
      <c r="C1338" t="s">
        <v>1739</v>
      </c>
      <c r="D1338" t="s">
        <v>232</v>
      </c>
      <c r="E1338">
        <v>0</v>
      </c>
      <c r="F1338">
        <v>0</v>
      </c>
      <c r="G1338">
        <v>0</v>
      </c>
      <c r="H1338">
        <v>0</v>
      </c>
    </row>
    <row r="1339" spans="1:8">
      <c r="A1339" t="s">
        <v>21</v>
      </c>
      <c r="B1339" t="s">
        <v>149</v>
      </c>
      <c r="C1339" t="s">
        <v>148</v>
      </c>
      <c r="D1339" t="s">
        <v>967</v>
      </c>
      <c r="E1339">
        <v>0</v>
      </c>
      <c r="F1339">
        <v>0</v>
      </c>
      <c r="G1339">
        <v>0</v>
      </c>
      <c r="H1339">
        <v>0</v>
      </c>
    </row>
    <row r="1340" spans="1:8">
      <c r="D1340" t="s">
        <v>862</v>
      </c>
      <c r="E1340">
        <v>0</v>
      </c>
      <c r="F1340">
        <v>0</v>
      </c>
      <c r="G1340">
        <v>0</v>
      </c>
      <c r="H1340">
        <v>0</v>
      </c>
    </row>
    <row r="1341" spans="1:8">
      <c r="D1341" t="s">
        <v>944</v>
      </c>
      <c r="E1341">
        <v>0</v>
      </c>
      <c r="F1341">
        <v>0</v>
      </c>
      <c r="G1341">
        <v>0</v>
      </c>
      <c r="H1341">
        <v>0</v>
      </c>
    </row>
    <row r="1342" spans="1:8">
      <c r="A1342" t="s">
        <v>46</v>
      </c>
      <c r="B1342" t="s">
        <v>149</v>
      </c>
      <c r="C1342" t="s">
        <v>148</v>
      </c>
      <c r="D1342" t="s">
        <v>234</v>
      </c>
      <c r="E1342">
        <v>0</v>
      </c>
      <c r="F1342">
        <v>0</v>
      </c>
      <c r="G1342">
        <v>0</v>
      </c>
      <c r="H1342">
        <v>0</v>
      </c>
    </row>
    <row r="1343" spans="1:8">
      <c r="A1343" t="s">
        <v>19</v>
      </c>
      <c r="B1343" t="s">
        <v>1914</v>
      </c>
      <c r="C1343" t="s">
        <v>1739</v>
      </c>
      <c r="D1343" t="s">
        <v>1973</v>
      </c>
      <c r="E1343">
        <v>0</v>
      </c>
      <c r="F1343">
        <v>0</v>
      </c>
      <c r="G1343">
        <v>0</v>
      </c>
      <c r="H1343">
        <v>0</v>
      </c>
    </row>
    <row r="1344" spans="1:8">
      <c r="D1344" t="s">
        <v>969</v>
      </c>
      <c r="E1344">
        <v>0</v>
      </c>
      <c r="F1344">
        <v>0</v>
      </c>
      <c r="G1344">
        <v>0</v>
      </c>
      <c r="H1344">
        <v>0</v>
      </c>
    </row>
    <row r="1345" spans="1:8">
      <c r="D1345" t="s">
        <v>970</v>
      </c>
      <c r="E1345">
        <v>0</v>
      </c>
      <c r="F1345">
        <v>0</v>
      </c>
      <c r="G1345">
        <v>0</v>
      </c>
      <c r="H1345">
        <v>0</v>
      </c>
    </row>
    <row r="1346" spans="1:8">
      <c r="D1346" t="s">
        <v>862</v>
      </c>
      <c r="E1346">
        <v>0</v>
      </c>
      <c r="F1346">
        <v>0</v>
      </c>
      <c r="G1346">
        <v>0</v>
      </c>
      <c r="H1346">
        <v>0</v>
      </c>
    </row>
    <row r="1347" spans="1:8">
      <c r="D1347" t="s">
        <v>768</v>
      </c>
      <c r="E1347">
        <v>0</v>
      </c>
      <c r="F1347">
        <v>0</v>
      </c>
      <c r="G1347">
        <v>0</v>
      </c>
      <c r="H1347">
        <v>0</v>
      </c>
    </row>
    <row r="1348" spans="1:8">
      <c r="A1348" t="s">
        <v>47</v>
      </c>
      <c r="B1348" t="s">
        <v>1914</v>
      </c>
      <c r="C1348" t="s">
        <v>1739</v>
      </c>
      <c r="D1348" t="s">
        <v>237</v>
      </c>
      <c r="E1348">
        <v>0</v>
      </c>
      <c r="F1348">
        <v>0</v>
      </c>
      <c r="G1348">
        <v>0</v>
      </c>
      <c r="H1348">
        <v>0</v>
      </c>
    </row>
    <row r="1349" spans="1:8">
      <c r="A1349" t="s">
        <v>19</v>
      </c>
      <c r="B1349" t="s">
        <v>1914</v>
      </c>
      <c r="C1349" t="s">
        <v>1739</v>
      </c>
      <c r="D1349" t="s">
        <v>971</v>
      </c>
      <c r="E1349">
        <v>0</v>
      </c>
      <c r="F1349">
        <v>0</v>
      </c>
      <c r="G1349">
        <v>0</v>
      </c>
      <c r="H1349">
        <v>0</v>
      </c>
    </row>
    <row r="1350" spans="1:8">
      <c r="D1350" t="s">
        <v>769</v>
      </c>
      <c r="E1350">
        <v>0</v>
      </c>
      <c r="F1350">
        <v>0</v>
      </c>
      <c r="G1350">
        <v>0</v>
      </c>
      <c r="H1350">
        <v>0</v>
      </c>
    </row>
    <row r="1351" spans="1:8">
      <c r="D1351" t="s">
        <v>825</v>
      </c>
      <c r="E1351">
        <v>0</v>
      </c>
      <c r="F1351">
        <v>0</v>
      </c>
      <c r="G1351">
        <v>0</v>
      </c>
      <c r="H1351">
        <v>0</v>
      </c>
    </row>
    <row r="1352" spans="1:8">
      <c r="D1352" t="s">
        <v>924</v>
      </c>
      <c r="E1352">
        <v>0</v>
      </c>
      <c r="F1352">
        <v>0</v>
      </c>
      <c r="G1352">
        <v>0</v>
      </c>
      <c r="H1352">
        <v>0</v>
      </c>
    </row>
    <row r="1353" spans="1:8">
      <c r="D1353" t="s">
        <v>925</v>
      </c>
      <c r="E1353">
        <v>0</v>
      </c>
      <c r="F1353">
        <v>0</v>
      </c>
      <c r="G1353">
        <v>0</v>
      </c>
      <c r="H1353">
        <v>0</v>
      </c>
    </row>
    <row r="1354" spans="1:8">
      <c r="D1354" t="s">
        <v>926</v>
      </c>
      <c r="E1354">
        <v>0</v>
      </c>
      <c r="F1354">
        <v>0</v>
      </c>
      <c r="G1354">
        <v>0</v>
      </c>
      <c r="H1354">
        <v>0</v>
      </c>
    </row>
    <row r="1355" spans="1:8">
      <c r="D1355" t="s">
        <v>972</v>
      </c>
      <c r="E1355">
        <v>0</v>
      </c>
      <c r="F1355">
        <v>0</v>
      </c>
      <c r="G1355">
        <v>0</v>
      </c>
      <c r="H1355">
        <v>0</v>
      </c>
    </row>
    <row r="1356" spans="1:8">
      <c r="A1356" t="s">
        <v>50</v>
      </c>
      <c r="B1356" t="s">
        <v>1914</v>
      </c>
      <c r="C1356" t="s">
        <v>1739</v>
      </c>
      <c r="D1356" t="s">
        <v>241</v>
      </c>
      <c r="E1356">
        <v>0</v>
      </c>
      <c r="F1356">
        <v>0</v>
      </c>
      <c r="G1356">
        <v>0</v>
      </c>
      <c r="H1356">
        <v>0</v>
      </c>
    </row>
    <row r="1357" spans="1:8">
      <c r="A1357" t="s">
        <v>16</v>
      </c>
      <c r="B1357" t="s">
        <v>1914</v>
      </c>
      <c r="C1357" t="s">
        <v>1739</v>
      </c>
      <c r="D1357" t="s">
        <v>1974</v>
      </c>
      <c r="E1357">
        <v>0</v>
      </c>
      <c r="F1357">
        <v>0</v>
      </c>
      <c r="G1357">
        <v>0</v>
      </c>
      <c r="H1357">
        <v>0</v>
      </c>
    </row>
    <row r="1358" spans="1:8">
      <c r="D1358" t="s">
        <v>871</v>
      </c>
      <c r="E1358">
        <v>0</v>
      </c>
      <c r="F1358">
        <v>0</v>
      </c>
      <c r="G1358">
        <v>0</v>
      </c>
      <c r="H1358">
        <v>0</v>
      </c>
    </row>
    <row r="1359" spans="1:8">
      <c r="D1359" t="s">
        <v>873</v>
      </c>
      <c r="E1359">
        <v>0</v>
      </c>
      <c r="F1359">
        <v>0</v>
      </c>
      <c r="G1359">
        <v>0</v>
      </c>
      <c r="H1359">
        <v>0</v>
      </c>
    </row>
    <row r="1360" spans="1:8">
      <c r="D1360" t="s">
        <v>818</v>
      </c>
      <c r="E1360">
        <v>0</v>
      </c>
      <c r="F1360">
        <v>0</v>
      </c>
      <c r="G1360">
        <v>0</v>
      </c>
      <c r="H1360">
        <v>0</v>
      </c>
    </row>
    <row r="1361" spans="1:8">
      <c r="A1361" t="s">
        <v>85</v>
      </c>
      <c r="B1361" t="s">
        <v>1914</v>
      </c>
      <c r="C1361" t="s">
        <v>1739</v>
      </c>
      <c r="D1361" t="s">
        <v>246</v>
      </c>
      <c r="E1361">
        <v>0</v>
      </c>
      <c r="F1361">
        <v>0</v>
      </c>
      <c r="G1361">
        <v>0</v>
      </c>
      <c r="H1361">
        <v>0</v>
      </c>
    </row>
    <row r="1362" spans="1:8">
      <c r="A1362" t="s">
        <v>16</v>
      </c>
      <c r="B1362" t="s">
        <v>1914</v>
      </c>
      <c r="C1362" t="s">
        <v>1739</v>
      </c>
      <c r="D1362" t="s">
        <v>1803</v>
      </c>
      <c r="E1362">
        <v>0</v>
      </c>
      <c r="F1362">
        <v>0</v>
      </c>
      <c r="G1362">
        <v>0</v>
      </c>
      <c r="H1362">
        <v>0</v>
      </c>
    </row>
    <row r="1363" spans="1:8">
      <c r="A1363" t="s">
        <v>55</v>
      </c>
      <c r="B1363" t="s">
        <v>1914</v>
      </c>
      <c r="C1363" t="s">
        <v>1739</v>
      </c>
      <c r="D1363" t="s">
        <v>248</v>
      </c>
      <c r="E1363">
        <v>0</v>
      </c>
      <c r="F1363">
        <v>0</v>
      </c>
      <c r="G1363">
        <v>0</v>
      </c>
      <c r="H1363">
        <v>0</v>
      </c>
    </row>
    <row r="1364" spans="1:8">
      <c r="A1364" t="s">
        <v>16</v>
      </c>
      <c r="B1364" t="s">
        <v>1914</v>
      </c>
      <c r="C1364" t="s">
        <v>1739</v>
      </c>
      <c r="D1364" t="s">
        <v>1975</v>
      </c>
      <c r="E1364">
        <v>0</v>
      </c>
      <c r="F1364">
        <v>0</v>
      </c>
      <c r="G1364">
        <v>0</v>
      </c>
      <c r="H1364">
        <v>0</v>
      </c>
    </row>
    <row r="1365" spans="1:8">
      <c r="D1365" t="s">
        <v>975</v>
      </c>
      <c r="E1365">
        <v>0</v>
      </c>
      <c r="F1365">
        <v>0</v>
      </c>
      <c r="G1365">
        <v>0</v>
      </c>
      <c r="H1365">
        <v>0</v>
      </c>
    </row>
    <row r="1366" spans="1:8">
      <c r="A1366" t="s">
        <v>136</v>
      </c>
      <c r="B1366" t="s">
        <v>1914</v>
      </c>
      <c r="C1366" t="s">
        <v>1739</v>
      </c>
      <c r="D1366" t="s">
        <v>257</v>
      </c>
      <c r="E1366">
        <v>0</v>
      </c>
      <c r="F1366">
        <v>0</v>
      </c>
      <c r="G1366">
        <v>0</v>
      </c>
      <c r="H1366">
        <v>0</v>
      </c>
    </row>
    <row r="1367" spans="1:8">
      <c r="A1367" t="s">
        <v>16</v>
      </c>
      <c r="B1367" t="s">
        <v>1914</v>
      </c>
      <c r="C1367" t="s">
        <v>1739</v>
      </c>
      <c r="D1367" t="s">
        <v>976</v>
      </c>
      <c r="E1367">
        <v>0</v>
      </c>
      <c r="F1367">
        <v>0</v>
      </c>
      <c r="G1367">
        <v>0</v>
      </c>
      <c r="H1367">
        <v>0</v>
      </c>
    </row>
    <row r="1368" spans="1:8">
      <c r="A1368" t="s">
        <v>259</v>
      </c>
      <c r="B1368" t="s">
        <v>1914</v>
      </c>
      <c r="C1368" t="s">
        <v>1739</v>
      </c>
      <c r="D1368" t="s">
        <v>260</v>
      </c>
      <c r="E1368">
        <v>0</v>
      </c>
      <c r="F1368">
        <v>0</v>
      </c>
      <c r="G1368">
        <v>0</v>
      </c>
      <c r="H1368">
        <v>0</v>
      </c>
    </row>
    <row r="1369" spans="1:8">
      <c r="A1369" t="s">
        <v>16</v>
      </c>
      <c r="B1369" t="s">
        <v>1914</v>
      </c>
      <c r="C1369" t="s">
        <v>1739</v>
      </c>
      <c r="D1369" t="s">
        <v>1808</v>
      </c>
      <c r="E1369">
        <v>0</v>
      </c>
      <c r="F1369">
        <v>0</v>
      </c>
      <c r="G1369">
        <v>0</v>
      </c>
      <c r="H1369">
        <v>0</v>
      </c>
    </row>
    <row r="1370" spans="1:8">
      <c r="A1370" t="s">
        <v>261</v>
      </c>
      <c r="B1370" t="s">
        <v>1914</v>
      </c>
      <c r="C1370" t="s">
        <v>1739</v>
      </c>
      <c r="D1370" t="s">
        <v>262</v>
      </c>
      <c r="E1370">
        <v>0</v>
      </c>
      <c r="F1370">
        <v>0</v>
      </c>
      <c r="G1370">
        <v>0</v>
      </c>
      <c r="H1370">
        <v>0</v>
      </c>
    </row>
    <row r="1371" spans="1:8">
      <c r="A1371" t="s">
        <v>16</v>
      </c>
      <c r="B1371" t="s">
        <v>1914</v>
      </c>
      <c r="C1371" t="s">
        <v>1739</v>
      </c>
      <c r="D1371" t="s">
        <v>263</v>
      </c>
      <c r="E1371">
        <v>0</v>
      </c>
      <c r="F1371">
        <v>0</v>
      </c>
      <c r="G1371">
        <v>0</v>
      </c>
      <c r="H1371">
        <v>0</v>
      </c>
    </row>
    <row r="1372" spans="1:8">
      <c r="A1372" t="s">
        <v>19</v>
      </c>
      <c r="B1372" t="s">
        <v>1914</v>
      </c>
      <c r="C1372" t="s">
        <v>1739</v>
      </c>
      <c r="D1372" t="s">
        <v>264</v>
      </c>
      <c r="E1372">
        <v>0</v>
      </c>
      <c r="F1372">
        <v>0</v>
      </c>
      <c r="G1372">
        <v>0</v>
      </c>
      <c r="H1372">
        <v>0</v>
      </c>
    </row>
    <row r="1373" spans="1:8">
      <c r="A1373" t="s">
        <v>25</v>
      </c>
      <c r="B1373" t="s">
        <v>289</v>
      </c>
      <c r="C1373" t="s">
        <v>289</v>
      </c>
      <c r="D1373" t="s">
        <v>977</v>
      </c>
      <c r="E1373">
        <v>0</v>
      </c>
      <c r="F1373">
        <v>0</v>
      </c>
      <c r="G1373">
        <v>0</v>
      </c>
      <c r="H1373">
        <v>0</v>
      </c>
    </row>
    <row r="1374" spans="1:8">
      <c r="A1374" t="s">
        <v>32</v>
      </c>
      <c r="B1374" t="s">
        <v>289</v>
      </c>
      <c r="C1374" t="s">
        <v>289</v>
      </c>
      <c r="D1374" t="s">
        <v>1976</v>
      </c>
      <c r="E1374">
        <v>0</v>
      </c>
      <c r="F1374">
        <v>0</v>
      </c>
      <c r="G1374">
        <v>0</v>
      </c>
      <c r="H1374">
        <v>0</v>
      </c>
    </row>
    <row r="1375" spans="1:8">
      <c r="D1375" t="s">
        <v>768</v>
      </c>
      <c r="E1375">
        <v>0</v>
      </c>
      <c r="F1375">
        <v>0</v>
      </c>
      <c r="G1375">
        <v>0</v>
      </c>
      <c r="H1375">
        <v>0</v>
      </c>
    </row>
    <row r="1376" spans="1:8">
      <c r="D1376" t="s">
        <v>871</v>
      </c>
      <c r="E1376">
        <v>0</v>
      </c>
      <c r="F1376">
        <v>0</v>
      </c>
      <c r="G1376">
        <v>0</v>
      </c>
      <c r="H1376">
        <v>0</v>
      </c>
    </row>
    <row r="1377" spans="1:8">
      <c r="D1377" t="s">
        <v>873</v>
      </c>
      <c r="E1377">
        <v>0</v>
      </c>
      <c r="F1377">
        <v>0</v>
      </c>
      <c r="G1377">
        <v>0</v>
      </c>
      <c r="H1377">
        <v>0</v>
      </c>
    </row>
    <row r="1378" spans="1:8">
      <c r="D1378" t="s">
        <v>1977</v>
      </c>
      <c r="E1378">
        <v>0</v>
      </c>
      <c r="F1378">
        <v>0</v>
      </c>
      <c r="G1378">
        <v>0</v>
      </c>
      <c r="H1378">
        <v>0</v>
      </c>
    </row>
    <row r="1379" spans="1:8">
      <c r="D1379" t="s">
        <v>1978</v>
      </c>
      <c r="E1379">
        <v>0</v>
      </c>
      <c r="F1379">
        <v>0</v>
      </c>
      <c r="G1379">
        <v>0</v>
      </c>
      <c r="H1379">
        <v>0</v>
      </c>
    </row>
    <row r="1380" spans="1:8">
      <c r="D1380" t="s">
        <v>1979</v>
      </c>
      <c r="E1380">
        <v>0</v>
      </c>
      <c r="F1380">
        <v>0</v>
      </c>
      <c r="G1380">
        <v>0</v>
      </c>
      <c r="H1380">
        <v>0</v>
      </c>
    </row>
    <row r="1381" spans="1:8">
      <c r="D1381" t="s">
        <v>944</v>
      </c>
      <c r="E1381">
        <v>0</v>
      </c>
      <c r="F1381">
        <v>0</v>
      </c>
      <c r="G1381">
        <v>0</v>
      </c>
      <c r="H1381">
        <v>0</v>
      </c>
    </row>
    <row r="1382" spans="1:8">
      <c r="D1382" t="s">
        <v>979</v>
      </c>
      <c r="E1382">
        <v>0</v>
      </c>
      <c r="F1382">
        <v>0</v>
      </c>
      <c r="G1382">
        <v>0</v>
      </c>
      <c r="H1382">
        <v>0</v>
      </c>
    </row>
    <row r="1383" spans="1:8">
      <c r="A1383" t="s">
        <v>272</v>
      </c>
      <c r="B1383" t="s">
        <v>289</v>
      </c>
      <c r="C1383" t="s">
        <v>289</v>
      </c>
      <c r="D1383" t="s">
        <v>1980</v>
      </c>
      <c r="E1383">
        <v>0</v>
      </c>
      <c r="F1383">
        <v>0</v>
      </c>
      <c r="G1383">
        <v>0</v>
      </c>
      <c r="H1383">
        <v>0</v>
      </c>
    </row>
    <row r="1384" spans="1:8">
      <c r="A1384" t="s">
        <v>36</v>
      </c>
      <c r="B1384" t="s">
        <v>289</v>
      </c>
      <c r="C1384" t="s">
        <v>289</v>
      </c>
      <c r="D1384" t="s">
        <v>273</v>
      </c>
      <c r="E1384">
        <v>0</v>
      </c>
      <c r="F1384">
        <v>0</v>
      </c>
      <c r="G1384">
        <v>0</v>
      </c>
      <c r="H1384">
        <v>0</v>
      </c>
    </row>
    <row r="1385" spans="1:8">
      <c r="A1385" t="s">
        <v>38</v>
      </c>
      <c r="B1385" t="s">
        <v>289</v>
      </c>
      <c r="C1385" t="s">
        <v>289</v>
      </c>
      <c r="D1385" t="s">
        <v>274</v>
      </c>
      <c r="E1385">
        <v>0</v>
      </c>
      <c r="F1385">
        <v>0</v>
      </c>
      <c r="G1385">
        <v>0</v>
      </c>
      <c r="H1385">
        <v>0</v>
      </c>
    </row>
    <row r="1386" spans="1:8">
      <c r="A1386" t="s">
        <v>276</v>
      </c>
      <c r="B1386" t="s">
        <v>289</v>
      </c>
      <c r="C1386" t="s">
        <v>289</v>
      </c>
      <c r="D1386" t="s">
        <v>1815</v>
      </c>
      <c r="E1386">
        <v>0</v>
      </c>
      <c r="F1386">
        <v>0</v>
      </c>
      <c r="G1386">
        <v>0</v>
      </c>
      <c r="H1386">
        <v>0</v>
      </c>
    </row>
    <row r="1387" spans="1:8">
      <c r="D1387" t="s">
        <v>980</v>
      </c>
      <c r="E1387">
        <v>0</v>
      </c>
      <c r="F1387">
        <v>0</v>
      </c>
      <c r="G1387">
        <v>0</v>
      </c>
      <c r="H1387">
        <v>0</v>
      </c>
    </row>
    <row r="1388" spans="1:8">
      <c r="D1388" t="s">
        <v>944</v>
      </c>
      <c r="E1388">
        <v>0</v>
      </c>
      <c r="F1388">
        <v>0</v>
      </c>
      <c r="G1388">
        <v>0</v>
      </c>
      <c r="H1388">
        <v>0</v>
      </c>
    </row>
    <row r="1389" spans="1:8">
      <c r="D1389" t="s">
        <v>818</v>
      </c>
      <c r="E1389">
        <v>0</v>
      </c>
      <c r="F1389">
        <v>0</v>
      </c>
      <c r="G1389">
        <v>0</v>
      </c>
      <c r="H1389">
        <v>0</v>
      </c>
    </row>
    <row r="1390" spans="1:8">
      <c r="A1390" t="s">
        <v>5</v>
      </c>
      <c r="B1390" t="s">
        <v>6</v>
      </c>
      <c r="C1390" t="s">
        <v>6</v>
      </c>
      <c r="D1390" t="s">
        <v>6</v>
      </c>
      <c r="E1390">
        <v>0</v>
      </c>
      <c r="F1390">
        <v>0</v>
      </c>
      <c r="G1390">
        <v>0</v>
      </c>
      <c r="H1390">
        <v>0</v>
      </c>
    </row>
    <row r="1391" spans="1:8">
      <c r="A1391" t="s">
        <v>14</v>
      </c>
      <c r="B1391" t="s">
        <v>6</v>
      </c>
      <c r="C1391" t="s">
        <v>6</v>
      </c>
      <c r="D1391" t="s">
        <v>281</v>
      </c>
      <c r="E1391">
        <v>0</v>
      </c>
      <c r="F1391">
        <v>0</v>
      </c>
      <c r="G1391">
        <v>0</v>
      </c>
      <c r="H1391">
        <v>0</v>
      </c>
    </row>
    <row r="1392" spans="1:8">
      <c r="A1392" t="s">
        <v>16</v>
      </c>
      <c r="B1392" t="s">
        <v>6</v>
      </c>
      <c r="C1392" t="s">
        <v>6</v>
      </c>
      <c r="D1392" t="s">
        <v>981</v>
      </c>
      <c r="E1392">
        <v>0</v>
      </c>
      <c r="F1392">
        <v>0</v>
      </c>
      <c r="G1392">
        <v>0</v>
      </c>
      <c r="H1392">
        <v>0</v>
      </c>
    </row>
    <row r="1393" spans="1:8">
      <c r="D1393" t="s">
        <v>982</v>
      </c>
      <c r="E1393">
        <v>0</v>
      </c>
      <c r="F1393">
        <v>0</v>
      </c>
      <c r="G1393">
        <v>0</v>
      </c>
      <c r="H1393">
        <v>0</v>
      </c>
    </row>
    <row r="1394" spans="1:8">
      <c r="D1394" t="s">
        <v>818</v>
      </c>
      <c r="E1394">
        <v>0</v>
      </c>
      <c r="F1394">
        <v>0</v>
      </c>
      <c r="G1394">
        <v>0</v>
      </c>
      <c r="H1394">
        <v>0</v>
      </c>
    </row>
    <row r="1395" spans="1:8">
      <c r="A1395" t="s">
        <v>44</v>
      </c>
      <c r="B1395" t="s">
        <v>6</v>
      </c>
      <c r="C1395" t="s">
        <v>6</v>
      </c>
      <c r="D1395" t="s">
        <v>282</v>
      </c>
      <c r="E1395">
        <v>0</v>
      </c>
      <c r="F1395">
        <v>0</v>
      </c>
      <c r="G1395">
        <v>0</v>
      </c>
      <c r="H1395">
        <v>0</v>
      </c>
    </row>
    <row r="1396" spans="1:8">
      <c r="A1396" t="s">
        <v>16</v>
      </c>
      <c r="B1396" t="s">
        <v>6</v>
      </c>
      <c r="C1396" t="s">
        <v>6</v>
      </c>
      <c r="D1396" t="s">
        <v>983</v>
      </c>
      <c r="E1396">
        <v>0</v>
      </c>
      <c r="F1396">
        <v>0</v>
      </c>
      <c r="G1396">
        <v>0</v>
      </c>
      <c r="H1396">
        <v>0</v>
      </c>
    </row>
    <row r="1397" spans="1:8">
      <c r="D1397" t="s">
        <v>984</v>
      </c>
      <c r="E1397">
        <v>0</v>
      </c>
      <c r="F1397">
        <v>0</v>
      </c>
      <c r="G1397">
        <v>0</v>
      </c>
      <c r="H1397">
        <v>0</v>
      </c>
    </row>
    <row r="1398" spans="1:8">
      <c r="D1398" t="s">
        <v>1481</v>
      </c>
      <c r="E1398">
        <v>0</v>
      </c>
      <c r="F1398">
        <v>0</v>
      </c>
      <c r="G1398">
        <v>0</v>
      </c>
      <c r="H1398">
        <v>0</v>
      </c>
    </row>
    <row r="1399" spans="1:8">
      <c r="A1399" t="s">
        <v>46</v>
      </c>
      <c r="B1399" t="s">
        <v>6</v>
      </c>
      <c r="C1399" t="s">
        <v>6</v>
      </c>
      <c r="D1399" t="s">
        <v>283</v>
      </c>
      <c r="E1399">
        <v>0</v>
      </c>
      <c r="F1399">
        <v>0</v>
      </c>
      <c r="G1399">
        <v>0</v>
      </c>
      <c r="H1399">
        <v>0</v>
      </c>
    </row>
    <row r="1400" spans="1:8">
      <c r="A1400" t="s">
        <v>16</v>
      </c>
      <c r="B1400" t="s">
        <v>6</v>
      </c>
      <c r="C1400" t="s">
        <v>6</v>
      </c>
      <c r="D1400" t="s">
        <v>1981</v>
      </c>
      <c r="E1400">
        <v>0</v>
      </c>
      <c r="F1400">
        <v>0</v>
      </c>
      <c r="G1400">
        <v>0</v>
      </c>
      <c r="H1400">
        <v>0</v>
      </c>
    </row>
    <row r="1401" spans="1:8">
      <c r="D1401" t="s">
        <v>826</v>
      </c>
      <c r="E1401">
        <v>0</v>
      </c>
      <c r="F1401">
        <v>0</v>
      </c>
      <c r="G1401">
        <v>0</v>
      </c>
      <c r="H1401">
        <v>0</v>
      </c>
    </row>
    <row r="1402" spans="1:8">
      <c r="D1402" t="s">
        <v>862</v>
      </c>
      <c r="E1402">
        <v>0</v>
      </c>
      <c r="F1402">
        <v>0</v>
      </c>
      <c r="G1402">
        <v>0</v>
      </c>
      <c r="H1402">
        <v>0</v>
      </c>
    </row>
    <row r="1403" spans="1:8">
      <c r="D1403" t="s">
        <v>850</v>
      </c>
      <c r="E1403">
        <v>0</v>
      </c>
      <c r="F1403">
        <v>0</v>
      </c>
      <c r="G1403">
        <v>0</v>
      </c>
      <c r="H1403">
        <v>0</v>
      </c>
    </row>
    <row r="1404" spans="1:8">
      <c r="D1404" t="s">
        <v>768</v>
      </c>
      <c r="E1404">
        <v>0</v>
      </c>
      <c r="F1404">
        <v>0</v>
      </c>
      <c r="G1404">
        <v>0</v>
      </c>
      <c r="H1404">
        <v>0</v>
      </c>
    </row>
    <row r="1405" spans="1:8">
      <c r="D1405" t="s">
        <v>768</v>
      </c>
      <c r="E1405">
        <v>0</v>
      </c>
      <c r="F1405">
        <v>0</v>
      </c>
      <c r="G1405">
        <v>0</v>
      </c>
      <c r="H1405">
        <v>0</v>
      </c>
    </row>
    <row r="1406" spans="1:8">
      <c r="D1406" t="s">
        <v>768</v>
      </c>
      <c r="E1406">
        <v>0</v>
      </c>
      <c r="F1406">
        <v>0</v>
      </c>
      <c r="G1406">
        <v>0</v>
      </c>
      <c r="H1406">
        <v>0</v>
      </c>
    </row>
    <row r="1407" spans="1:8">
      <c r="D1407" t="s">
        <v>985</v>
      </c>
      <c r="E1407">
        <v>0</v>
      </c>
      <c r="F1407">
        <v>0</v>
      </c>
      <c r="G1407">
        <v>0</v>
      </c>
      <c r="H1407">
        <v>0</v>
      </c>
    </row>
    <row r="1408" spans="1:8">
      <c r="D1408" t="s">
        <v>986</v>
      </c>
      <c r="E1408">
        <v>0</v>
      </c>
      <c r="F1408">
        <v>0</v>
      </c>
      <c r="G1408">
        <v>0</v>
      </c>
      <c r="H1408">
        <v>0</v>
      </c>
    </row>
    <row r="1409" spans="1:8">
      <c r="D1409" t="s">
        <v>987</v>
      </c>
      <c r="E1409">
        <v>0</v>
      </c>
      <c r="F1409">
        <v>0</v>
      </c>
      <c r="G1409">
        <v>0</v>
      </c>
      <c r="H1409">
        <v>0</v>
      </c>
    </row>
    <row r="1410" spans="1:8">
      <c r="A1410" t="s">
        <v>47</v>
      </c>
      <c r="B1410" t="s">
        <v>6</v>
      </c>
      <c r="C1410" t="s">
        <v>6</v>
      </c>
      <c r="D1410" t="s">
        <v>284</v>
      </c>
      <c r="E1410">
        <v>0</v>
      </c>
      <c r="F1410">
        <v>0</v>
      </c>
      <c r="G1410">
        <v>0</v>
      </c>
      <c r="H1410">
        <v>0</v>
      </c>
    </row>
    <row r="1411" spans="1:8">
      <c r="A1411" t="s">
        <v>16</v>
      </c>
      <c r="B1411" t="s">
        <v>6</v>
      </c>
      <c r="C1411" t="s">
        <v>6</v>
      </c>
      <c r="D1411" t="s">
        <v>1982</v>
      </c>
      <c r="E1411">
        <v>0</v>
      </c>
      <c r="F1411">
        <v>0</v>
      </c>
      <c r="G1411">
        <v>0</v>
      </c>
      <c r="H1411">
        <v>0</v>
      </c>
    </row>
    <row r="1412" spans="1:8">
      <c r="D1412" t="s">
        <v>979</v>
      </c>
      <c r="E1412">
        <v>0</v>
      </c>
      <c r="F1412">
        <v>0</v>
      </c>
      <c r="G1412">
        <v>0</v>
      </c>
      <c r="H1412">
        <v>0</v>
      </c>
    </row>
    <row r="1413" spans="1:8">
      <c r="D1413" t="s">
        <v>915</v>
      </c>
      <c r="E1413">
        <v>0</v>
      </c>
      <c r="F1413">
        <v>0</v>
      </c>
      <c r="G1413">
        <v>0</v>
      </c>
      <c r="H1413">
        <v>0</v>
      </c>
    </row>
    <row r="1414" spans="1:8">
      <c r="D1414" t="s">
        <v>989</v>
      </c>
      <c r="E1414">
        <v>0</v>
      </c>
      <c r="F1414">
        <v>0</v>
      </c>
      <c r="G1414">
        <v>0</v>
      </c>
      <c r="H1414">
        <v>0</v>
      </c>
    </row>
    <row r="1415" spans="1:8">
      <c r="D1415" t="s">
        <v>990</v>
      </c>
      <c r="E1415">
        <v>0</v>
      </c>
      <c r="F1415">
        <v>0</v>
      </c>
      <c r="G1415">
        <v>0</v>
      </c>
      <c r="H1415">
        <v>0</v>
      </c>
    </row>
    <row r="1416" spans="1:8">
      <c r="D1416" t="s">
        <v>993</v>
      </c>
      <c r="E1416">
        <v>0</v>
      </c>
      <c r="F1416">
        <v>0</v>
      </c>
      <c r="G1416">
        <v>0</v>
      </c>
      <c r="H1416">
        <v>0</v>
      </c>
    </row>
    <row r="1417" spans="1:8">
      <c r="D1417" t="s">
        <v>992</v>
      </c>
      <c r="E1417">
        <v>0</v>
      </c>
      <c r="F1417">
        <v>0</v>
      </c>
      <c r="G1417">
        <v>0</v>
      </c>
      <c r="H1417">
        <v>0</v>
      </c>
    </row>
    <row r="1418" spans="1:8">
      <c r="D1418" t="s">
        <v>993</v>
      </c>
      <c r="E1418">
        <v>0</v>
      </c>
      <c r="F1418">
        <v>0</v>
      </c>
      <c r="G1418">
        <v>0</v>
      </c>
      <c r="H1418">
        <v>0</v>
      </c>
    </row>
    <row r="1419" spans="1:8">
      <c r="D1419" t="s">
        <v>994</v>
      </c>
      <c r="E1419">
        <v>0</v>
      </c>
      <c r="F1419">
        <v>0</v>
      </c>
      <c r="G1419">
        <v>0</v>
      </c>
      <c r="H1419">
        <v>0</v>
      </c>
    </row>
    <row r="1420" spans="1:8">
      <c r="D1420" t="s">
        <v>995</v>
      </c>
      <c r="E1420">
        <v>0</v>
      </c>
      <c r="F1420">
        <v>0</v>
      </c>
      <c r="G1420">
        <v>0</v>
      </c>
      <c r="H1420">
        <v>0</v>
      </c>
    </row>
    <row r="1421" spans="1:8">
      <c r="D1421" t="s">
        <v>985</v>
      </c>
      <c r="E1421">
        <v>0</v>
      </c>
      <c r="F1421">
        <v>0</v>
      </c>
      <c r="G1421">
        <v>0</v>
      </c>
      <c r="H1421">
        <v>0</v>
      </c>
    </row>
    <row r="1422" spans="1:8">
      <c r="D1422" t="s">
        <v>1124</v>
      </c>
      <c r="E1422">
        <v>0</v>
      </c>
      <c r="F1422">
        <v>0</v>
      </c>
      <c r="G1422">
        <v>0</v>
      </c>
      <c r="H1422">
        <v>0</v>
      </c>
    </row>
    <row r="1423" spans="1:8">
      <c r="A1423" t="s">
        <v>8</v>
      </c>
      <c r="B1423" t="s">
        <v>301</v>
      </c>
      <c r="C1423" t="s">
        <v>301</v>
      </c>
      <c r="D1423" t="s">
        <v>301</v>
      </c>
      <c r="E1423">
        <v>0</v>
      </c>
      <c r="F1423">
        <v>0</v>
      </c>
      <c r="G1423">
        <v>0</v>
      </c>
      <c r="H1423">
        <v>0</v>
      </c>
    </row>
    <row r="1424" spans="1:8">
      <c r="A1424" t="s">
        <v>302</v>
      </c>
      <c r="B1424" t="s">
        <v>301</v>
      </c>
      <c r="C1424" t="s">
        <v>301</v>
      </c>
      <c r="D1424" t="s">
        <v>1833</v>
      </c>
      <c r="E1424">
        <v>0</v>
      </c>
      <c r="F1424">
        <v>0</v>
      </c>
      <c r="G1424">
        <v>0</v>
      </c>
      <c r="H1424">
        <v>0</v>
      </c>
    </row>
    <row r="1425" spans="1:8">
      <c r="A1425" t="s">
        <v>318</v>
      </c>
      <c r="B1425" t="s">
        <v>301</v>
      </c>
      <c r="C1425" t="s">
        <v>301</v>
      </c>
      <c r="D1425" t="s">
        <v>1482</v>
      </c>
      <c r="E1425">
        <v>0</v>
      </c>
      <c r="F1425">
        <v>0</v>
      </c>
      <c r="G1425">
        <v>0</v>
      </c>
      <c r="H1425">
        <v>0</v>
      </c>
    </row>
    <row r="1426" spans="1:8">
      <c r="A1426" t="s">
        <v>343</v>
      </c>
      <c r="B1426" t="s">
        <v>301</v>
      </c>
      <c r="C1426" t="s">
        <v>301</v>
      </c>
      <c r="D1426" t="s">
        <v>1837</v>
      </c>
      <c r="E1426">
        <v>0</v>
      </c>
      <c r="F1426">
        <v>0</v>
      </c>
      <c r="G1426">
        <v>0</v>
      </c>
      <c r="H1426">
        <v>0</v>
      </c>
    </row>
    <row r="1427" spans="1:8">
      <c r="D1427" t="s">
        <v>359</v>
      </c>
      <c r="E1427">
        <v>0</v>
      </c>
      <c r="F1427">
        <v>0</v>
      </c>
      <c r="G1427">
        <v>0</v>
      </c>
      <c r="H1427">
        <v>0</v>
      </c>
    </row>
    <row r="1428" spans="1:8">
      <c r="A1428" t="s">
        <v>302</v>
      </c>
      <c r="B1428" t="s">
        <v>301</v>
      </c>
      <c r="C1428" t="s">
        <v>301</v>
      </c>
      <c r="D1428" t="s">
        <v>442</v>
      </c>
      <c r="E1428">
        <v>0</v>
      </c>
      <c r="F1428">
        <v>0</v>
      </c>
      <c r="G1428">
        <v>0</v>
      </c>
      <c r="H1428">
        <v>0</v>
      </c>
    </row>
    <row r="1429" spans="1:8">
      <c r="A1429">
        <v>4.0999999999999996</v>
      </c>
      <c r="B1429" t="s">
        <v>301</v>
      </c>
      <c r="C1429" t="s">
        <v>301</v>
      </c>
      <c r="D1429" t="s">
        <v>443</v>
      </c>
      <c r="E1429">
        <v>0</v>
      </c>
      <c r="F1429">
        <v>0</v>
      </c>
      <c r="G1429">
        <v>0</v>
      </c>
      <c r="H1429">
        <v>0</v>
      </c>
    </row>
    <row r="1430" spans="1:8">
      <c r="D1430" t="s">
        <v>444</v>
      </c>
      <c r="E1430">
        <v>0</v>
      </c>
      <c r="F1430">
        <v>0</v>
      </c>
      <c r="G1430">
        <v>0</v>
      </c>
      <c r="H1430">
        <v>0</v>
      </c>
    </row>
    <row r="1431" spans="1:8">
      <c r="A1431" t="s">
        <v>445</v>
      </c>
      <c r="B1431" t="s">
        <v>301</v>
      </c>
      <c r="C1431" t="s">
        <v>301</v>
      </c>
      <c r="D1431" t="s">
        <v>446</v>
      </c>
      <c r="E1431">
        <v>0</v>
      </c>
      <c r="F1431">
        <v>0</v>
      </c>
      <c r="G1431">
        <v>0</v>
      </c>
      <c r="H1431">
        <v>0</v>
      </c>
    </row>
    <row r="1432" spans="1:8">
      <c r="A1432" t="s">
        <v>447</v>
      </c>
      <c r="B1432" t="s">
        <v>301</v>
      </c>
      <c r="C1432" t="s">
        <v>301</v>
      </c>
      <c r="D1432" t="s">
        <v>448</v>
      </c>
      <c r="E1432">
        <v>0</v>
      </c>
      <c r="F1432">
        <v>0</v>
      </c>
      <c r="G1432">
        <v>0</v>
      </c>
      <c r="H1432">
        <v>0</v>
      </c>
    </row>
    <row r="1433" spans="1:8">
      <c r="A1433" t="s">
        <v>467</v>
      </c>
      <c r="B1433" t="s">
        <v>301</v>
      </c>
      <c r="C1433" t="s">
        <v>301</v>
      </c>
      <c r="D1433" t="s">
        <v>1845</v>
      </c>
      <c r="E1433">
        <v>0</v>
      </c>
      <c r="F1433">
        <v>0</v>
      </c>
      <c r="G1433">
        <v>0</v>
      </c>
      <c r="H1433">
        <v>0</v>
      </c>
    </row>
    <row r="1434" spans="1:8">
      <c r="A1434" t="s">
        <v>470</v>
      </c>
      <c r="B1434" t="s">
        <v>301</v>
      </c>
      <c r="C1434" t="s">
        <v>301</v>
      </c>
      <c r="D1434" t="s">
        <v>471</v>
      </c>
      <c r="E1434">
        <v>0</v>
      </c>
      <c r="F1434">
        <v>0</v>
      </c>
      <c r="G1434">
        <v>0</v>
      </c>
      <c r="H1434">
        <v>0</v>
      </c>
    </row>
    <row r="1435" spans="1:8">
      <c r="A1435" t="s">
        <v>475</v>
      </c>
      <c r="B1435" t="s">
        <v>301</v>
      </c>
      <c r="C1435" t="s">
        <v>301</v>
      </c>
      <c r="D1435" t="s">
        <v>1845</v>
      </c>
      <c r="E1435">
        <v>0</v>
      </c>
      <c r="F1435">
        <v>0</v>
      </c>
      <c r="G1435">
        <v>0</v>
      </c>
      <c r="H1435">
        <v>0</v>
      </c>
    </row>
    <row r="1436" spans="1:8">
      <c r="A1436" t="s">
        <v>302</v>
      </c>
      <c r="B1436" t="s">
        <v>301</v>
      </c>
      <c r="C1436" t="s">
        <v>301</v>
      </c>
      <c r="D1436" t="s">
        <v>478</v>
      </c>
      <c r="E1436">
        <v>0</v>
      </c>
      <c r="F1436">
        <v>0</v>
      </c>
      <c r="G1436">
        <v>0</v>
      </c>
      <c r="H1436">
        <v>0</v>
      </c>
    </row>
    <row r="1437" spans="1:8">
      <c r="A1437">
        <v>5.0999999999999996</v>
      </c>
      <c r="B1437" t="s">
        <v>301</v>
      </c>
      <c r="C1437" t="s">
        <v>301</v>
      </c>
      <c r="D1437" t="s">
        <v>1846</v>
      </c>
      <c r="E1437">
        <v>0</v>
      </c>
      <c r="F1437">
        <v>0</v>
      </c>
      <c r="G1437">
        <v>0</v>
      </c>
      <c r="H1437">
        <v>0</v>
      </c>
    </row>
    <row r="1438" spans="1:8">
      <c r="A1438" t="s">
        <v>485</v>
      </c>
      <c r="B1438" t="s">
        <v>301</v>
      </c>
      <c r="C1438" t="s">
        <v>301</v>
      </c>
      <c r="D1438" t="s">
        <v>486</v>
      </c>
      <c r="E1438">
        <v>0</v>
      </c>
      <c r="F1438">
        <v>0</v>
      </c>
      <c r="G1438">
        <v>0</v>
      </c>
      <c r="H1438">
        <v>0</v>
      </c>
    </row>
    <row r="1439" spans="1:8">
      <c r="D1439" t="s">
        <v>1486</v>
      </c>
      <c r="E1439">
        <v>0</v>
      </c>
      <c r="F1439">
        <v>0</v>
      </c>
      <c r="G1439">
        <v>0</v>
      </c>
      <c r="H1439">
        <v>0</v>
      </c>
    </row>
    <row r="1440" spans="1:8">
      <c r="A1440" t="s">
        <v>501</v>
      </c>
      <c r="B1440" t="s">
        <v>301</v>
      </c>
      <c r="C1440" t="s">
        <v>301</v>
      </c>
      <c r="D1440" t="s">
        <v>502</v>
      </c>
      <c r="E1440">
        <v>0</v>
      </c>
      <c r="F1440">
        <v>0</v>
      </c>
      <c r="G1440">
        <v>0</v>
      </c>
      <c r="H1440">
        <v>0</v>
      </c>
    </row>
    <row r="1441" spans="1:8">
      <c r="D1441" t="s">
        <v>1487</v>
      </c>
      <c r="E1441">
        <v>0</v>
      </c>
      <c r="F1441">
        <v>0</v>
      </c>
      <c r="G1441">
        <v>0</v>
      </c>
      <c r="H1441">
        <v>0</v>
      </c>
    </row>
    <row r="1442" spans="1:8">
      <c r="D1442" t="s">
        <v>1488</v>
      </c>
      <c r="E1442">
        <v>0</v>
      </c>
      <c r="F1442">
        <v>0</v>
      </c>
      <c r="G1442">
        <v>0</v>
      </c>
      <c r="H1442">
        <v>0</v>
      </c>
    </row>
    <row r="1443" spans="1:8">
      <c r="D1443" t="s">
        <v>1489</v>
      </c>
      <c r="E1443">
        <v>0</v>
      </c>
      <c r="F1443">
        <v>0</v>
      </c>
      <c r="G1443">
        <v>0</v>
      </c>
      <c r="H1443">
        <v>0</v>
      </c>
    </row>
    <row r="1444" spans="1:8">
      <c r="D1444" t="s">
        <v>1490</v>
      </c>
      <c r="E1444">
        <v>0</v>
      </c>
      <c r="F1444">
        <v>0</v>
      </c>
      <c r="G1444">
        <v>0</v>
      </c>
      <c r="H1444">
        <v>0</v>
      </c>
    </row>
    <row r="1445" spans="1:8">
      <c r="D1445" t="s">
        <v>1491</v>
      </c>
      <c r="E1445">
        <v>0</v>
      </c>
      <c r="F1445">
        <v>0</v>
      </c>
      <c r="G1445">
        <v>0</v>
      </c>
      <c r="H1445">
        <v>0</v>
      </c>
    </row>
    <row r="1446" spans="1:8">
      <c r="A1446" t="s">
        <v>509</v>
      </c>
      <c r="B1446" t="s">
        <v>301</v>
      </c>
      <c r="C1446" t="s">
        <v>301</v>
      </c>
      <c r="D1446" t="s">
        <v>510</v>
      </c>
      <c r="E1446">
        <v>0</v>
      </c>
      <c r="F1446">
        <v>0</v>
      </c>
      <c r="G1446">
        <v>0</v>
      </c>
      <c r="H1446">
        <v>0</v>
      </c>
    </row>
    <row r="1447" spans="1:8">
      <c r="D1447" t="s">
        <v>1983</v>
      </c>
      <c r="E1447">
        <v>0</v>
      </c>
      <c r="F1447">
        <v>0</v>
      </c>
      <c r="G1447">
        <v>0</v>
      </c>
      <c r="H1447">
        <v>0</v>
      </c>
    </row>
    <row r="1448" spans="1:8">
      <c r="A1448" t="s">
        <v>511</v>
      </c>
      <c r="B1448" t="s">
        <v>301</v>
      </c>
      <c r="C1448" t="s">
        <v>301</v>
      </c>
      <c r="D1448" t="s">
        <v>512</v>
      </c>
      <c r="E1448">
        <v>0</v>
      </c>
      <c r="F1448">
        <v>0</v>
      </c>
      <c r="G1448">
        <v>0</v>
      </c>
      <c r="H1448">
        <v>0</v>
      </c>
    </row>
    <row r="1449" spans="1:8">
      <c r="D1449" t="s">
        <v>1496</v>
      </c>
      <c r="E1449">
        <v>0</v>
      </c>
      <c r="F1449">
        <v>0</v>
      </c>
      <c r="G1449">
        <v>0</v>
      </c>
      <c r="H1449">
        <v>0</v>
      </c>
    </row>
    <row r="1450" spans="1:8">
      <c r="D1450" t="s">
        <v>1495</v>
      </c>
      <c r="E1450">
        <v>0</v>
      </c>
      <c r="F1450">
        <v>0</v>
      </c>
      <c r="G1450">
        <v>0</v>
      </c>
      <c r="H1450">
        <v>0</v>
      </c>
    </row>
    <row r="1451" spans="1:8">
      <c r="D1451" t="s">
        <v>1494</v>
      </c>
      <c r="E1451">
        <v>0</v>
      </c>
      <c r="F1451">
        <v>0</v>
      </c>
      <c r="G1451">
        <v>0</v>
      </c>
      <c r="H1451">
        <v>0</v>
      </c>
    </row>
    <row r="1452" spans="1:8">
      <c r="D1452" t="s">
        <v>1493</v>
      </c>
      <c r="E1452">
        <v>0</v>
      </c>
      <c r="F1452">
        <v>0</v>
      </c>
      <c r="G1452">
        <v>0</v>
      </c>
      <c r="H1452">
        <v>0</v>
      </c>
    </row>
    <row r="1453" spans="1:8">
      <c r="A1453" t="s">
        <v>513</v>
      </c>
      <c r="B1453" t="s">
        <v>301</v>
      </c>
      <c r="C1453" t="s">
        <v>301</v>
      </c>
      <c r="D1453" t="s">
        <v>1847</v>
      </c>
      <c r="E1453">
        <v>0</v>
      </c>
      <c r="F1453">
        <v>0</v>
      </c>
      <c r="G1453">
        <v>0</v>
      </c>
      <c r="H1453">
        <v>0</v>
      </c>
    </row>
    <row r="1454" spans="1:8">
      <c r="A1454" t="s">
        <v>517</v>
      </c>
      <c r="B1454" t="s">
        <v>301</v>
      </c>
      <c r="C1454" t="s">
        <v>301</v>
      </c>
      <c r="D1454" t="s">
        <v>486</v>
      </c>
      <c r="E1454">
        <v>0</v>
      </c>
      <c r="F1454">
        <v>0</v>
      </c>
      <c r="G1454">
        <v>0</v>
      </c>
      <c r="H1454">
        <v>0</v>
      </c>
    </row>
    <row r="1455" spans="1:8">
      <c r="A1455" t="s">
        <v>526</v>
      </c>
      <c r="B1455" t="s">
        <v>301</v>
      </c>
      <c r="C1455" t="s">
        <v>301</v>
      </c>
      <c r="D1455" t="s">
        <v>502</v>
      </c>
      <c r="E1455">
        <v>0</v>
      </c>
      <c r="F1455">
        <v>0</v>
      </c>
      <c r="G1455">
        <v>0</v>
      </c>
      <c r="H1455">
        <v>0</v>
      </c>
    </row>
    <row r="1456" spans="1:8">
      <c r="A1456" t="s">
        <v>530</v>
      </c>
      <c r="B1456" t="s">
        <v>301</v>
      </c>
      <c r="C1456" t="s">
        <v>301</v>
      </c>
      <c r="D1456" t="s">
        <v>510</v>
      </c>
      <c r="E1456">
        <v>0</v>
      </c>
      <c r="F1456">
        <v>0</v>
      </c>
      <c r="G1456">
        <v>0</v>
      </c>
      <c r="H1456">
        <v>0</v>
      </c>
    </row>
    <row r="1457" spans="1:8">
      <c r="A1457" t="s">
        <v>531</v>
      </c>
      <c r="B1457" t="s">
        <v>301</v>
      </c>
      <c r="C1457" t="s">
        <v>301</v>
      </c>
      <c r="D1457" t="s">
        <v>512</v>
      </c>
      <c r="E1457">
        <v>0</v>
      </c>
      <c r="F1457">
        <v>0</v>
      </c>
      <c r="G1457">
        <v>0</v>
      </c>
      <c r="H1457">
        <v>0</v>
      </c>
    </row>
    <row r="1458" spans="1:8">
      <c r="D1458" t="s">
        <v>532</v>
      </c>
      <c r="E1458">
        <v>0</v>
      </c>
      <c r="F1458">
        <v>0</v>
      </c>
      <c r="G1458">
        <v>0</v>
      </c>
      <c r="H1458">
        <v>0</v>
      </c>
    </row>
    <row r="1459" spans="1:8">
      <c r="A1459" t="s">
        <v>302</v>
      </c>
      <c r="B1459" t="s">
        <v>301</v>
      </c>
      <c r="C1459" t="s">
        <v>301</v>
      </c>
      <c r="D1459" t="s">
        <v>1848</v>
      </c>
      <c r="E1459">
        <v>0</v>
      </c>
      <c r="F1459">
        <v>0</v>
      </c>
      <c r="G1459">
        <v>0</v>
      </c>
      <c r="H1459">
        <v>0</v>
      </c>
    </row>
    <row r="1460" spans="1:8">
      <c r="A1460" t="s">
        <v>545</v>
      </c>
      <c r="B1460" t="s">
        <v>301</v>
      </c>
      <c r="C1460" t="s">
        <v>301</v>
      </c>
      <c r="D1460" t="s">
        <v>546</v>
      </c>
      <c r="E1460">
        <v>0</v>
      </c>
      <c r="F1460">
        <v>0</v>
      </c>
      <c r="G1460">
        <v>0</v>
      </c>
      <c r="H1460">
        <v>0</v>
      </c>
    </row>
    <row r="1461" spans="1:8">
      <c r="D1461" t="s">
        <v>1497</v>
      </c>
      <c r="E1461">
        <v>0</v>
      </c>
      <c r="F1461">
        <v>0</v>
      </c>
      <c r="G1461">
        <v>0</v>
      </c>
      <c r="H1461">
        <v>0</v>
      </c>
    </row>
    <row r="1462" spans="1:8">
      <c r="D1462" t="s">
        <v>1498</v>
      </c>
      <c r="E1462">
        <v>0</v>
      </c>
      <c r="F1462">
        <v>0</v>
      </c>
      <c r="G1462">
        <v>0</v>
      </c>
      <c r="H1462">
        <v>0</v>
      </c>
    </row>
    <row r="1463" spans="1:8">
      <c r="D1463" t="s">
        <v>1499</v>
      </c>
      <c r="E1463">
        <v>0</v>
      </c>
      <c r="F1463">
        <v>0</v>
      </c>
      <c r="G1463">
        <v>0</v>
      </c>
      <c r="H1463">
        <v>0</v>
      </c>
    </row>
    <row r="1464" spans="1:8">
      <c r="D1464" t="s">
        <v>1500</v>
      </c>
      <c r="E1464">
        <v>0</v>
      </c>
      <c r="F1464">
        <v>0</v>
      </c>
      <c r="G1464">
        <v>0</v>
      </c>
      <c r="H1464">
        <v>0</v>
      </c>
    </row>
    <row r="1465" spans="1:8">
      <c r="D1465" t="s">
        <v>1501</v>
      </c>
      <c r="E1465">
        <v>0</v>
      </c>
      <c r="F1465">
        <v>0</v>
      </c>
      <c r="G1465">
        <v>0</v>
      </c>
      <c r="H1465">
        <v>0</v>
      </c>
    </row>
    <row r="1466" spans="1:8">
      <c r="D1466" t="s">
        <v>1502</v>
      </c>
      <c r="E1466">
        <v>0</v>
      </c>
      <c r="F1466">
        <v>0</v>
      </c>
      <c r="G1466">
        <v>0</v>
      </c>
      <c r="H1466">
        <v>0</v>
      </c>
    </row>
    <row r="1467" spans="1:8">
      <c r="D1467" t="s">
        <v>1503</v>
      </c>
      <c r="E1467">
        <v>0</v>
      </c>
      <c r="F1467">
        <v>0</v>
      </c>
      <c r="G1467">
        <v>0</v>
      </c>
      <c r="H1467">
        <v>0</v>
      </c>
    </row>
    <row r="1468" spans="1:8">
      <c r="A1468" t="s">
        <v>548</v>
      </c>
      <c r="B1468" t="s">
        <v>301</v>
      </c>
      <c r="C1468" t="s">
        <v>301</v>
      </c>
      <c r="D1468" t="s">
        <v>549</v>
      </c>
      <c r="E1468">
        <v>0</v>
      </c>
      <c r="F1468">
        <v>0</v>
      </c>
      <c r="G1468">
        <v>0</v>
      </c>
      <c r="H1468">
        <v>0</v>
      </c>
    </row>
    <row r="1469" spans="1:8">
      <c r="D1469" t="s">
        <v>1521</v>
      </c>
      <c r="E1469">
        <v>0</v>
      </c>
      <c r="F1469">
        <v>0</v>
      </c>
      <c r="G1469">
        <v>0</v>
      </c>
      <c r="H1469">
        <v>0</v>
      </c>
    </row>
    <row r="1470" spans="1:8">
      <c r="D1470" t="s">
        <v>1522</v>
      </c>
      <c r="E1470">
        <v>0</v>
      </c>
      <c r="F1470">
        <v>0</v>
      </c>
      <c r="G1470">
        <v>0</v>
      </c>
      <c r="H1470">
        <v>0</v>
      </c>
    </row>
    <row r="1471" spans="1:8">
      <c r="D1471" t="s">
        <v>1523</v>
      </c>
      <c r="E1471">
        <v>0</v>
      </c>
      <c r="F1471">
        <v>0</v>
      </c>
      <c r="G1471">
        <v>0</v>
      </c>
      <c r="H1471">
        <v>0</v>
      </c>
    </row>
    <row r="1472" spans="1:8">
      <c r="D1472" t="s">
        <v>1524</v>
      </c>
      <c r="E1472">
        <v>0</v>
      </c>
      <c r="F1472">
        <v>0</v>
      </c>
      <c r="G1472">
        <v>0</v>
      </c>
      <c r="H1472">
        <v>0</v>
      </c>
    </row>
    <row r="1473" spans="1:8">
      <c r="D1473" t="s">
        <v>1525</v>
      </c>
      <c r="E1473">
        <v>0</v>
      </c>
      <c r="F1473">
        <v>0</v>
      </c>
      <c r="G1473">
        <v>0</v>
      </c>
      <c r="H1473">
        <v>0</v>
      </c>
    </row>
    <row r="1474" spans="1:8">
      <c r="A1474">
        <v>6.4</v>
      </c>
      <c r="B1474" t="s">
        <v>301</v>
      </c>
      <c r="C1474" t="s">
        <v>301</v>
      </c>
      <c r="D1474" t="s">
        <v>553</v>
      </c>
      <c r="E1474">
        <v>0</v>
      </c>
      <c r="F1474">
        <v>0</v>
      </c>
      <c r="G1474">
        <v>0</v>
      </c>
      <c r="H1474">
        <v>0</v>
      </c>
    </row>
    <row r="1475" spans="1:8">
      <c r="A1475" t="s">
        <v>554</v>
      </c>
      <c r="B1475" t="s">
        <v>301</v>
      </c>
      <c r="C1475" t="s">
        <v>301</v>
      </c>
      <c r="D1475" t="s">
        <v>555</v>
      </c>
      <c r="E1475">
        <v>0</v>
      </c>
      <c r="F1475">
        <v>0</v>
      </c>
      <c r="G1475">
        <v>0</v>
      </c>
      <c r="H1475">
        <v>0</v>
      </c>
    </row>
    <row r="1476" spans="1:8">
      <c r="D1476" t="s">
        <v>1504</v>
      </c>
      <c r="E1476">
        <v>0</v>
      </c>
      <c r="F1476">
        <v>0</v>
      </c>
      <c r="G1476">
        <v>0</v>
      </c>
      <c r="H1476">
        <v>0</v>
      </c>
    </row>
    <row r="1477" spans="1:8">
      <c r="D1477" t="s">
        <v>1505</v>
      </c>
      <c r="E1477">
        <v>0</v>
      </c>
      <c r="F1477">
        <v>0</v>
      </c>
      <c r="G1477">
        <v>0</v>
      </c>
      <c r="H1477">
        <v>0</v>
      </c>
    </row>
    <row r="1478" spans="1:8">
      <c r="D1478" t="s">
        <v>1531</v>
      </c>
      <c r="E1478">
        <v>0</v>
      </c>
      <c r="F1478">
        <v>0</v>
      </c>
      <c r="G1478">
        <v>0</v>
      </c>
      <c r="H1478">
        <v>0</v>
      </c>
    </row>
    <row r="1479" spans="1:8">
      <c r="D1479" t="s">
        <v>1506</v>
      </c>
      <c r="E1479">
        <v>0</v>
      </c>
      <c r="F1479">
        <v>0</v>
      </c>
      <c r="G1479">
        <v>0</v>
      </c>
      <c r="H1479">
        <v>0</v>
      </c>
    </row>
    <row r="1480" spans="1:8">
      <c r="D1480" t="s">
        <v>1507</v>
      </c>
      <c r="E1480">
        <v>0</v>
      </c>
      <c r="F1480">
        <v>0</v>
      </c>
      <c r="G1480">
        <v>0</v>
      </c>
      <c r="H1480">
        <v>0</v>
      </c>
    </row>
    <row r="1481" spans="1:8">
      <c r="D1481" t="s">
        <v>1508</v>
      </c>
      <c r="E1481">
        <v>0</v>
      </c>
      <c r="F1481">
        <v>0</v>
      </c>
      <c r="G1481">
        <v>0</v>
      </c>
      <c r="H1481">
        <v>0</v>
      </c>
    </row>
    <row r="1482" spans="1:8">
      <c r="D1482" t="s">
        <v>1509</v>
      </c>
      <c r="E1482">
        <v>0</v>
      </c>
      <c r="F1482">
        <v>0</v>
      </c>
      <c r="G1482">
        <v>0</v>
      </c>
      <c r="H1482">
        <v>0</v>
      </c>
    </row>
    <row r="1483" spans="1:8">
      <c r="D1483" t="s">
        <v>1510</v>
      </c>
      <c r="E1483">
        <v>0</v>
      </c>
      <c r="F1483">
        <v>0</v>
      </c>
      <c r="G1483">
        <v>0</v>
      </c>
      <c r="H1483">
        <v>0</v>
      </c>
    </row>
    <row r="1484" spans="1:8">
      <c r="D1484" t="s">
        <v>1511</v>
      </c>
      <c r="E1484">
        <v>0</v>
      </c>
      <c r="F1484">
        <v>0</v>
      </c>
      <c r="G1484">
        <v>0</v>
      </c>
      <c r="H1484">
        <v>0</v>
      </c>
    </row>
    <row r="1485" spans="1:8">
      <c r="D1485" t="s">
        <v>1512</v>
      </c>
      <c r="E1485">
        <v>0</v>
      </c>
      <c r="F1485">
        <v>0</v>
      </c>
      <c r="G1485">
        <v>0</v>
      </c>
      <c r="H1485">
        <v>0</v>
      </c>
    </row>
    <row r="1486" spans="1:8">
      <c r="D1486" t="s">
        <v>1531</v>
      </c>
      <c r="E1486">
        <v>0</v>
      </c>
      <c r="F1486">
        <v>0</v>
      </c>
      <c r="G1486">
        <v>0</v>
      </c>
      <c r="H1486">
        <v>0</v>
      </c>
    </row>
    <row r="1487" spans="1:8">
      <c r="D1487" t="s">
        <v>1513</v>
      </c>
      <c r="E1487">
        <v>0</v>
      </c>
      <c r="F1487">
        <v>0</v>
      </c>
      <c r="G1487">
        <v>0</v>
      </c>
      <c r="H1487">
        <v>0</v>
      </c>
    </row>
    <row r="1488" spans="1:8">
      <c r="D1488" t="s">
        <v>1514</v>
      </c>
      <c r="E1488">
        <v>0</v>
      </c>
      <c r="F1488">
        <v>0</v>
      </c>
      <c r="G1488">
        <v>0</v>
      </c>
      <c r="H1488">
        <v>0</v>
      </c>
    </row>
    <row r="1489" spans="1:8">
      <c r="D1489" t="s">
        <v>1515</v>
      </c>
      <c r="E1489">
        <v>0</v>
      </c>
      <c r="F1489">
        <v>0</v>
      </c>
      <c r="G1489">
        <v>0</v>
      </c>
      <c r="H1489">
        <v>0</v>
      </c>
    </row>
    <row r="1490" spans="1:8">
      <c r="D1490" t="s">
        <v>1531</v>
      </c>
      <c r="E1490">
        <v>0</v>
      </c>
      <c r="F1490">
        <v>0</v>
      </c>
      <c r="G1490">
        <v>0</v>
      </c>
      <c r="H1490">
        <v>0</v>
      </c>
    </row>
    <row r="1491" spans="1:8">
      <c r="D1491" t="s">
        <v>1516</v>
      </c>
      <c r="E1491">
        <v>0</v>
      </c>
      <c r="F1491">
        <v>0</v>
      </c>
      <c r="G1491">
        <v>0</v>
      </c>
      <c r="H1491">
        <v>0</v>
      </c>
    </row>
    <row r="1492" spans="1:8">
      <c r="D1492" t="s">
        <v>1531</v>
      </c>
      <c r="E1492">
        <v>0</v>
      </c>
      <c r="F1492">
        <v>0</v>
      </c>
      <c r="G1492">
        <v>0</v>
      </c>
      <c r="H1492">
        <v>0</v>
      </c>
    </row>
    <row r="1493" spans="1:8">
      <c r="D1493" t="s">
        <v>1517</v>
      </c>
      <c r="E1493">
        <v>0</v>
      </c>
      <c r="F1493">
        <v>0</v>
      </c>
      <c r="G1493">
        <v>0</v>
      </c>
      <c r="H1493">
        <v>0</v>
      </c>
    </row>
    <row r="1494" spans="1:8">
      <c r="D1494" t="s">
        <v>1531</v>
      </c>
      <c r="E1494">
        <v>0</v>
      </c>
      <c r="F1494">
        <v>0</v>
      </c>
      <c r="G1494">
        <v>0</v>
      </c>
      <c r="H1494">
        <v>0</v>
      </c>
    </row>
    <row r="1495" spans="1:8">
      <c r="D1495" t="s">
        <v>1534</v>
      </c>
      <c r="E1495">
        <v>0</v>
      </c>
      <c r="F1495">
        <v>0</v>
      </c>
      <c r="G1495">
        <v>0</v>
      </c>
      <c r="H1495">
        <v>0</v>
      </c>
    </row>
    <row r="1496" spans="1:8">
      <c r="D1496" t="s">
        <v>1533</v>
      </c>
      <c r="E1496">
        <v>0</v>
      </c>
      <c r="F1496">
        <v>0</v>
      </c>
      <c r="G1496">
        <v>0</v>
      </c>
      <c r="H1496">
        <v>0</v>
      </c>
    </row>
    <row r="1497" spans="1:8">
      <c r="D1497" t="s">
        <v>1518</v>
      </c>
      <c r="E1497">
        <v>0</v>
      </c>
      <c r="F1497">
        <v>0</v>
      </c>
      <c r="G1497">
        <v>0</v>
      </c>
      <c r="H1497">
        <v>0</v>
      </c>
    </row>
    <row r="1498" spans="1:8">
      <c r="D1498" t="s">
        <v>1519</v>
      </c>
      <c r="E1498">
        <v>0</v>
      </c>
      <c r="F1498">
        <v>0</v>
      </c>
      <c r="G1498">
        <v>0</v>
      </c>
      <c r="H1498">
        <v>0</v>
      </c>
    </row>
    <row r="1499" spans="1:8">
      <c r="D1499" t="s">
        <v>1520</v>
      </c>
      <c r="E1499">
        <v>0</v>
      </c>
      <c r="F1499">
        <v>0</v>
      </c>
      <c r="G1499">
        <v>0</v>
      </c>
      <c r="H1499">
        <v>0</v>
      </c>
    </row>
    <row r="1500" spans="1:8">
      <c r="D1500" t="s">
        <v>558</v>
      </c>
      <c r="E1500">
        <v>0</v>
      </c>
      <c r="F1500">
        <v>0</v>
      </c>
      <c r="G1500">
        <v>0</v>
      </c>
      <c r="H1500">
        <v>0</v>
      </c>
    </row>
    <row r="1501" spans="1:8">
      <c r="A1501" t="s">
        <v>302</v>
      </c>
      <c r="B1501" t="s">
        <v>301</v>
      </c>
      <c r="C1501" t="s">
        <v>301</v>
      </c>
      <c r="D1501" t="s">
        <v>559</v>
      </c>
      <c r="E1501">
        <v>0</v>
      </c>
      <c r="F1501">
        <v>0</v>
      </c>
      <c r="G1501">
        <v>0</v>
      </c>
      <c r="H1501">
        <v>0</v>
      </c>
    </row>
    <row r="1502" spans="1:8">
      <c r="A1502" t="s">
        <v>563</v>
      </c>
      <c r="B1502" t="s">
        <v>301</v>
      </c>
      <c r="C1502" t="s">
        <v>301</v>
      </c>
      <c r="D1502" t="s">
        <v>564</v>
      </c>
      <c r="E1502">
        <v>0</v>
      </c>
      <c r="F1502">
        <v>0</v>
      </c>
      <c r="G1502">
        <v>0</v>
      </c>
      <c r="H1502">
        <v>0</v>
      </c>
    </row>
    <row r="1503" spans="1:8">
      <c r="A1503" t="s">
        <v>565</v>
      </c>
      <c r="B1503" t="s">
        <v>301</v>
      </c>
      <c r="C1503" t="s">
        <v>301</v>
      </c>
      <c r="D1503" t="s">
        <v>566</v>
      </c>
      <c r="E1503">
        <v>0</v>
      </c>
      <c r="F1503">
        <v>0</v>
      </c>
      <c r="G1503">
        <v>0</v>
      </c>
      <c r="H1503">
        <v>0</v>
      </c>
    </row>
    <row r="1504" spans="1:8" ht="409.6">
      <c r="A1504">
        <v>7.4</v>
      </c>
      <c r="B1504" t="s">
        <v>301</v>
      </c>
      <c r="C1504" t="s">
        <v>301</v>
      </c>
      <c r="D1504" s="518" t="s">
        <v>1853</v>
      </c>
      <c r="E1504">
        <v>0</v>
      </c>
      <c r="F1504">
        <v>0</v>
      </c>
      <c r="G1504">
        <v>0</v>
      </c>
      <c r="H1504">
        <v>0</v>
      </c>
    </row>
    <row r="1505" spans="1:8">
      <c r="A1505" t="s">
        <v>302</v>
      </c>
      <c r="B1505" t="s">
        <v>301</v>
      </c>
      <c r="C1505" t="s">
        <v>301</v>
      </c>
      <c r="D1505" t="s">
        <v>587</v>
      </c>
      <c r="E1505">
        <v>0</v>
      </c>
      <c r="F1505">
        <v>0</v>
      </c>
      <c r="G1505">
        <v>0</v>
      </c>
      <c r="H1505">
        <v>0</v>
      </c>
    </row>
    <row r="1506" spans="1:8">
      <c r="A1506" t="s">
        <v>589</v>
      </c>
      <c r="B1506" t="s">
        <v>301</v>
      </c>
      <c r="C1506" t="s">
        <v>301</v>
      </c>
      <c r="D1506" t="s">
        <v>1860</v>
      </c>
      <c r="E1506">
        <v>0</v>
      </c>
      <c r="F1506">
        <v>0</v>
      </c>
      <c r="G1506">
        <v>0</v>
      </c>
      <c r="H1506">
        <v>0</v>
      </c>
    </row>
    <row r="1507" spans="1:8">
      <c r="A1507" t="s">
        <v>590</v>
      </c>
      <c r="B1507" t="s">
        <v>301</v>
      </c>
      <c r="C1507" t="s">
        <v>301</v>
      </c>
      <c r="D1507" t="s">
        <v>1861</v>
      </c>
      <c r="E1507">
        <v>0</v>
      </c>
      <c r="F1507">
        <v>0</v>
      </c>
      <c r="G1507">
        <v>0</v>
      </c>
      <c r="H1507">
        <v>0</v>
      </c>
    </row>
    <row r="1508" spans="1:8">
      <c r="A1508">
        <v>9.1999999999999993</v>
      </c>
      <c r="B1508" t="s">
        <v>301</v>
      </c>
      <c r="C1508" t="s">
        <v>301</v>
      </c>
      <c r="D1508" t="s">
        <v>593</v>
      </c>
      <c r="E1508">
        <v>0</v>
      </c>
      <c r="F1508">
        <v>0</v>
      </c>
      <c r="G1508">
        <v>0</v>
      </c>
      <c r="H1508">
        <v>0</v>
      </c>
    </row>
    <row r="1509" spans="1:8">
      <c r="A1509" t="s">
        <v>594</v>
      </c>
      <c r="B1509" t="s">
        <v>301</v>
      </c>
      <c r="C1509" t="s">
        <v>301</v>
      </c>
      <c r="D1509" t="s">
        <v>595</v>
      </c>
      <c r="E1509">
        <v>0</v>
      </c>
      <c r="F1509">
        <v>0</v>
      </c>
      <c r="G1509">
        <v>0</v>
      </c>
      <c r="H1509">
        <v>0</v>
      </c>
    </row>
    <row r="1510" spans="1:8">
      <c r="A1510" t="s">
        <v>597</v>
      </c>
      <c r="B1510" t="s">
        <v>301</v>
      </c>
      <c r="C1510" t="s">
        <v>301</v>
      </c>
      <c r="D1510" t="s">
        <v>1862</v>
      </c>
      <c r="E1510">
        <v>0</v>
      </c>
      <c r="F1510">
        <v>0</v>
      </c>
      <c r="G1510">
        <v>0</v>
      </c>
      <c r="H1510">
        <v>0</v>
      </c>
    </row>
    <row r="1511" spans="1:8">
      <c r="A1511" t="s">
        <v>598</v>
      </c>
      <c r="B1511" t="s">
        <v>301</v>
      </c>
      <c r="C1511" t="s">
        <v>301</v>
      </c>
      <c r="D1511" t="s">
        <v>1863</v>
      </c>
      <c r="E1511">
        <v>0</v>
      </c>
      <c r="F1511">
        <v>0</v>
      </c>
      <c r="G1511">
        <v>0</v>
      </c>
      <c r="H1511">
        <v>0</v>
      </c>
    </row>
    <row r="1512" spans="1:8">
      <c r="A1512" t="s">
        <v>302</v>
      </c>
      <c r="B1512" t="s">
        <v>301</v>
      </c>
      <c r="C1512" t="s">
        <v>301</v>
      </c>
      <c r="D1512" t="s">
        <v>601</v>
      </c>
      <c r="E1512">
        <v>0</v>
      </c>
      <c r="F1512">
        <v>0</v>
      </c>
      <c r="G1512">
        <v>0</v>
      </c>
      <c r="H1512">
        <v>0</v>
      </c>
    </row>
    <row r="1513" spans="1:8">
      <c r="A1513" t="s">
        <v>607</v>
      </c>
      <c r="B1513" t="s">
        <v>301</v>
      </c>
      <c r="C1513" t="s">
        <v>301</v>
      </c>
      <c r="D1513" t="s">
        <v>608</v>
      </c>
      <c r="E1513">
        <v>0</v>
      </c>
      <c r="F1513">
        <v>0</v>
      </c>
      <c r="G1513">
        <v>0</v>
      </c>
      <c r="H1513">
        <v>0</v>
      </c>
    </row>
    <row r="1514" spans="1:8">
      <c r="A1514" t="s">
        <v>609</v>
      </c>
      <c r="B1514" t="s">
        <v>301</v>
      </c>
      <c r="C1514" t="s">
        <v>301</v>
      </c>
      <c r="D1514" t="s">
        <v>610</v>
      </c>
      <c r="E1514">
        <v>0</v>
      </c>
      <c r="F1514">
        <v>0</v>
      </c>
      <c r="G1514">
        <v>0</v>
      </c>
      <c r="H1514">
        <v>0</v>
      </c>
    </row>
    <row r="1515" spans="1:8">
      <c r="A1515" t="s">
        <v>611</v>
      </c>
      <c r="B1515" t="s">
        <v>301</v>
      </c>
      <c r="C1515" t="s">
        <v>301</v>
      </c>
      <c r="D1515" t="s">
        <v>612</v>
      </c>
      <c r="E1515">
        <v>0</v>
      </c>
      <c r="F1515">
        <v>0</v>
      </c>
      <c r="G1515">
        <v>0</v>
      </c>
      <c r="H1515">
        <v>0</v>
      </c>
    </row>
    <row r="1516" spans="1:8">
      <c r="A1516" t="s">
        <v>615</v>
      </c>
      <c r="B1516" t="s">
        <v>301</v>
      </c>
      <c r="C1516" t="s">
        <v>301</v>
      </c>
      <c r="D1516" t="s">
        <v>616</v>
      </c>
      <c r="E1516">
        <v>0</v>
      </c>
      <c r="F1516">
        <v>0</v>
      </c>
      <c r="G1516">
        <v>0</v>
      </c>
      <c r="H1516">
        <v>0</v>
      </c>
    </row>
    <row r="1517" spans="1:8">
      <c r="A1517" t="s">
        <v>302</v>
      </c>
      <c r="B1517" t="s">
        <v>301</v>
      </c>
      <c r="C1517" t="s">
        <v>301</v>
      </c>
      <c r="D1517" t="s">
        <v>618</v>
      </c>
      <c r="E1517">
        <v>0</v>
      </c>
      <c r="F1517">
        <v>0</v>
      </c>
      <c r="G1517">
        <v>0</v>
      </c>
      <c r="H1517">
        <v>0</v>
      </c>
    </row>
    <row r="1518" spans="1:8">
      <c r="A1518">
        <v>11.1</v>
      </c>
      <c r="B1518" t="s">
        <v>301</v>
      </c>
      <c r="C1518" t="s">
        <v>301</v>
      </c>
      <c r="D1518" t="s">
        <v>1867</v>
      </c>
      <c r="E1518">
        <v>0</v>
      </c>
      <c r="F1518">
        <v>0</v>
      </c>
      <c r="G1518">
        <v>0</v>
      </c>
      <c r="H1518">
        <v>0</v>
      </c>
    </row>
    <row r="1519" spans="1:8">
      <c r="A1519" t="s">
        <v>619</v>
      </c>
      <c r="B1519" t="s">
        <v>301</v>
      </c>
      <c r="C1519" t="s">
        <v>301</v>
      </c>
      <c r="D1519" t="s">
        <v>620</v>
      </c>
      <c r="E1519">
        <v>0</v>
      </c>
      <c r="F1519">
        <v>0</v>
      </c>
      <c r="G1519">
        <v>0</v>
      </c>
      <c r="H1519">
        <v>0</v>
      </c>
    </row>
    <row r="1520" spans="1:8">
      <c r="A1520" t="s">
        <v>622</v>
      </c>
      <c r="B1520" t="s">
        <v>301</v>
      </c>
      <c r="C1520" t="s">
        <v>301</v>
      </c>
      <c r="D1520" t="s">
        <v>623</v>
      </c>
      <c r="E1520">
        <v>0</v>
      </c>
      <c r="F1520">
        <v>0</v>
      </c>
      <c r="G1520">
        <v>0</v>
      </c>
      <c r="H1520">
        <v>0</v>
      </c>
    </row>
    <row r="1521" spans="1:8">
      <c r="A1521" t="s">
        <v>624</v>
      </c>
      <c r="B1521" t="s">
        <v>301</v>
      </c>
      <c r="C1521" t="s">
        <v>301</v>
      </c>
      <c r="D1521" t="s">
        <v>625</v>
      </c>
      <c r="E1521">
        <v>0</v>
      </c>
      <c r="F1521">
        <v>0</v>
      </c>
      <c r="G1521">
        <v>0</v>
      </c>
      <c r="H1521">
        <v>0</v>
      </c>
    </row>
    <row r="1522" spans="1:8">
      <c r="A1522" t="s">
        <v>626</v>
      </c>
      <c r="B1522" t="s">
        <v>301</v>
      </c>
      <c r="C1522" t="s">
        <v>301</v>
      </c>
      <c r="D1522" t="s">
        <v>627</v>
      </c>
      <c r="E1522">
        <v>0</v>
      </c>
      <c r="F1522">
        <v>0</v>
      </c>
      <c r="G1522">
        <v>0</v>
      </c>
      <c r="H1522">
        <v>0</v>
      </c>
    </row>
    <row r="1523" spans="1:8">
      <c r="A1523">
        <v>11.2</v>
      </c>
      <c r="B1523" t="s">
        <v>301</v>
      </c>
      <c r="C1523" t="s">
        <v>301</v>
      </c>
      <c r="D1523" t="s">
        <v>1868</v>
      </c>
      <c r="E1523">
        <v>0</v>
      </c>
      <c r="F1523">
        <v>0</v>
      </c>
      <c r="G1523">
        <v>0</v>
      </c>
      <c r="H1523">
        <v>0</v>
      </c>
    </row>
    <row r="1524" spans="1:8">
      <c r="A1524" t="s">
        <v>628</v>
      </c>
      <c r="B1524" t="s">
        <v>301</v>
      </c>
      <c r="C1524" t="s">
        <v>301</v>
      </c>
      <c r="D1524" t="s">
        <v>623</v>
      </c>
      <c r="E1524">
        <v>0</v>
      </c>
      <c r="F1524">
        <v>0</v>
      </c>
      <c r="G1524">
        <v>0</v>
      </c>
      <c r="H1524">
        <v>0</v>
      </c>
    </row>
    <row r="1525" spans="1:8">
      <c r="A1525" t="s">
        <v>630</v>
      </c>
      <c r="B1525" t="s">
        <v>301</v>
      </c>
      <c r="C1525" t="s">
        <v>301</v>
      </c>
      <c r="D1525" t="s">
        <v>627</v>
      </c>
      <c r="E1525">
        <v>0</v>
      </c>
      <c r="F1525">
        <v>0</v>
      </c>
      <c r="G1525">
        <v>0</v>
      </c>
      <c r="H1525">
        <v>0</v>
      </c>
    </row>
    <row r="1526" spans="1:8">
      <c r="A1526">
        <v>11.3</v>
      </c>
      <c r="B1526" t="s">
        <v>301</v>
      </c>
      <c r="C1526" t="s">
        <v>301</v>
      </c>
      <c r="D1526" t="s">
        <v>1869</v>
      </c>
      <c r="E1526">
        <v>0</v>
      </c>
      <c r="F1526">
        <v>0</v>
      </c>
      <c r="G1526">
        <v>0</v>
      </c>
      <c r="H1526">
        <v>0</v>
      </c>
    </row>
    <row r="1527" spans="1:8">
      <c r="A1527" t="s">
        <v>643</v>
      </c>
      <c r="B1527" t="s">
        <v>301</v>
      </c>
      <c r="C1527" t="s">
        <v>301</v>
      </c>
      <c r="D1527" t="s">
        <v>644</v>
      </c>
      <c r="E1527">
        <v>0</v>
      </c>
      <c r="F1527">
        <v>0</v>
      </c>
      <c r="G1527">
        <v>0</v>
      </c>
      <c r="H1527">
        <v>0</v>
      </c>
    </row>
    <row r="1528" spans="1:8">
      <c r="A1528" t="s">
        <v>645</v>
      </c>
      <c r="B1528" t="s">
        <v>301</v>
      </c>
      <c r="C1528" t="s">
        <v>301</v>
      </c>
      <c r="D1528" t="s">
        <v>646</v>
      </c>
      <c r="E1528">
        <v>0</v>
      </c>
      <c r="F1528">
        <v>0</v>
      </c>
      <c r="G1528">
        <v>0</v>
      </c>
      <c r="H1528">
        <v>0</v>
      </c>
    </row>
    <row r="1529" spans="1:8">
      <c r="A1529" t="s">
        <v>647</v>
      </c>
      <c r="B1529" t="s">
        <v>301</v>
      </c>
      <c r="C1529" t="s">
        <v>301</v>
      </c>
      <c r="D1529" t="s">
        <v>648</v>
      </c>
      <c r="E1529">
        <v>0</v>
      </c>
      <c r="F1529">
        <v>0</v>
      </c>
      <c r="G1529">
        <v>0</v>
      </c>
      <c r="H1529">
        <v>0</v>
      </c>
    </row>
    <row r="1530" spans="1:8">
      <c r="A1530" t="s">
        <v>649</v>
      </c>
      <c r="B1530" t="s">
        <v>301</v>
      </c>
      <c r="C1530" t="s">
        <v>301</v>
      </c>
      <c r="D1530" t="s">
        <v>650</v>
      </c>
      <c r="E1530">
        <v>0</v>
      </c>
      <c r="F1530">
        <v>0</v>
      </c>
      <c r="G1530">
        <v>0</v>
      </c>
      <c r="H1530">
        <v>0</v>
      </c>
    </row>
    <row r="1531" spans="1:8">
      <c r="A1531" t="s">
        <v>302</v>
      </c>
      <c r="B1531" t="s">
        <v>301</v>
      </c>
      <c r="C1531" t="s">
        <v>301</v>
      </c>
      <c r="D1531" t="s">
        <v>652</v>
      </c>
      <c r="E1531">
        <v>0</v>
      </c>
      <c r="F1531">
        <v>0</v>
      </c>
      <c r="G1531">
        <v>0</v>
      </c>
      <c r="H1531">
        <v>0</v>
      </c>
    </row>
    <row r="1532" spans="1:8">
      <c r="A1532">
        <v>12.1</v>
      </c>
      <c r="B1532" t="s">
        <v>301</v>
      </c>
      <c r="C1532" t="s">
        <v>301</v>
      </c>
      <c r="D1532" t="s">
        <v>653</v>
      </c>
      <c r="E1532">
        <v>0</v>
      </c>
      <c r="F1532">
        <v>0</v>
      </c>
      <c r="G1532">
        <v>0</v>
      </c>
      <c r="H1532">
        <v>0</v>
      </c>
    </row>
    <row r="1533" spans="1:8">
      <c r="D1533" t="s">
        <v>654</v>
      </c>
      <c r="E1533">
        <v>0</v>
      </c>
      <c r="F1533">
        <v>0</v>
      </c>
      <c r="G1533">
        <v>0</v>
      </c>
      <c r="H1533">
        <v>0</v>
      </c>
    </row>
    <row r="1534" spans="1:8">
      <c r="A1534" t="s">
        <v>655</v>
      </c>
      <c r="B1534" t="s">
        <v>301</v>
      </c>
      <c r="C1534" t="s">
        <v>301</v>
      </c>
      <c r="D1534" t="s">
        <v>656</v>
      </c>
      <c r="E1534">
        <v>0</v>
      </c>
      <c r="F1534">
        <v>0</v>
      </c>
      <c r="G1534">
        <v>0</v>
      </c>
      <c r="H1534">
        <v>0</v>
      </c>
    </row>
    <row r="1535" spans="1:8">
      <c r="D1535" t="s">
        <v>657</v>
      </c>
      <c r="E1535">
        <v>0</v>
      </c>
      <c r="F1535">
        <v>0</v>
      </c>
      <c r="G1535">
        <v>0</v>
      </c>
      <c r="H1535">
        <v>0</v>
      </c>
    </row>
    <row r="1536" spans="1:8">
      <c r="A1536" t="s">
        <v>16</v>
      </c>
      <c r="B1536" t="s">
        <v>301</v>
      </c>
      <c r="C1536" t="s">
        <v>301</v>
      </c>
      <c r="D1536" t="s">
        <v>658</v>
      </c>
      <c r="E1536">
        <v>0</v>
      </c>
      <c r="F1536">
        <v>0</v>
      </c>
      <c r="G1536">
        <v>0</v>
      </c>
      <c r="H1536">
        <v>0</v>
      </c>
    </row>
    <row r="1537" spans="1:8">
      <c r="A1537" t="s">
        <v>661</v>
      </c>
      <c r="B1537" t="s">
        <v>301</v>
      </c>
      <c r="C1537" t="s">
        <v>301</v>
      </c>
      <c r="D1537" t="s">
        <v>662</v>
      </c>
      <c r="E1537">
        <v>0</v>
      </c>
      <c r="F1537">
        <v>0</v>
      </c>
      <c r="G1537">
        <v>0</v>
      </c>
      <c r="H1537">
        <v>0</v>
      </c>
    </row>
    <row r="1538" spans="1:8">
      <c r="D1538" t="s">
        <v>657</v>
      </c>
      <c r="E1538">
        <v>0</v>
      </c>
      <c r="F1538">
        <v>0</v>
      </c>
      <c r="G1538">
        <v>0</v>
      </c>
      <c r="H1538">
        <v>0</v>
      </c>
    </row>
    <row r="1539" spans="1:8">
      <c r="A1539" t="s">
        <v>16</v>
      </c>
      <c r="B1539" t="s">
        <v>301</v>
      </c>
      <c r="C1539" t="s">
        <v>301</v>
      </c>
      <c r="D1539" t="s">
        <v>668</v>
      </c>
      <c r="E1539">
        <v>0</v>
      </c>
      <c r="F1539">
        <v>0</v>
      </c>
      <c r="G1539">
        <v>0</v>
      </c>
      <c r="H1539">
        <v>0</v>
      </c>
    </row>
    <row r="1540" spans="1:8">
      <c r="A1540" t="s">
        <v>19</v>
      </c>
      <c r="B1540" t="s">
        <v>1914</v>
      </c>
      <c r="C1540" t="s">
        <v>1739</v>
      </c>
      <c r="D1540" t="s">
        <v>681</v>
      </c>
      <c r="E1540">
        <v>0</v>
      </c>
      <c r="F1540">
        <v>0</v>
      </c>
      <c r="G1540">
        <v>0</v>
      </c>
      <c r="H1540">
        <v>0</v>
      </c>
    </row>
    <row r="1541" spans="1:8">
      <c r="A1541" t="s">
        <v>684</v>
      </c>
      <c r="B1541" t="s">
        <v>1914</v>
      </c>
      <c r="C1541" t="s">
        <v>1739</v>
      </c>
      <c r="D1541" t="s">
        <v>1872</v>
      </c>
      <c r="E1541">
        <v>0</v>
      </c>
      <c r="F1541">
        <v>0</v>
      </c>
      <c r="G1541">
        <v>0</v>
      </c>
      <c r="H1541">
        <v>0</v>
      </c>
    </row>
    <row r="1542" spans="1:8">
      <c r="A1542" t="s">
        <v>686</v>
      </c>
      <c r="B1542" t="s">
        <v>1914</v>
      </c>
      <c r="C1542" t="s">
        <v>1739</v>
      </c>
      <c r="D1542" t="s">
        <v>687</v>
      </c>
      <c r="E1542">
        <v>0</v>
      </c>
      <c r="F1542">
        <v>0</v>
      </c>
      <c r="G1542">
        <v>0</v>
      </c>
      <c r="H1542">
        <v>0</v>
      </c>
    </row>
    <row r="1543" spans="1:8">
      <c r="A1543" t="s">
        <v>688</v>
      </c>
      <c r="B1543" t="s">
        <v>1914</v>
      </c>
      <c r="C1543" t="s">
        <v>1739</v>
      </c>
      <c r="D1543" t="s">
        <v>689</v>
      </c>
      <c r="E1543">
        <v>0</v>
      </c>
      <c r="F1543">
        <v>0</v>
      </c>
      <c r="G1543">
        <v>0</v>
      </c>
      <c r="H1543">
        <v>0</v>
      </c>
    </row>
    <row r="1544" spans="1:8">
      <c r="A1544" t="s">
        <v>302</v>
      </c>
      <c r="B1544" t="s">
        <v>1914</v>
      </c>
      <c r="C1544" t="s">
        <v>1739</v>
      </c>
      <c r="D1544" t="s">
        <v>691</v>
      </c>
      <c r="E1544">
        <v>0</v>
      </c>
      <c r="F1544">
        <v>0</v>
      </c>
      <c r="G1544">
        <v>0</v>
      </c>
      <c r="H1544">
        <v>0</v>
      </c>
    </row>
    <row r="1545" spans="1:8">
      <c r="A1545">
        <v>13.2</v>
      </c>
      <c r="B1545" t="s">
        <v>1914</v>
      </c>
      <c r="C1545" t="s">
        <v>1739</v>
      </c>
      <c r="D1545" t="s">
        <v>703</v>
      </c>
      <c r="E1545">
        <v>0</v>
      </c>
      <c r="F1545">
        <v>0</v>
      </c>
      <c r="G1545">
        <v>0</v>
      </c>
      <c r="H1545">
        <v>0</v>
      </c>
    </row>
    <row r="1546" spans="1:8">
      <c r="A1546" t="s">
        <v>706</v>
      </c>
      <c r="B1546" t="s">
        <v>1914</v>
      </c>
      <c r="C1546" t="s">
        <v>1739</v>
      </c>
      <c r="D1546" t="s">
        <v>707</v>
      </c>
      <c r="E1546">
        <v>0</v>
      </c>
      <c r="F1546">
        <v>0</v>
      </c>
      <c r="G1546">
        <v>0</v>
      </c>
      <c r="H1546">
        <v>0</v>
      </c>
    </row>
    <row r="1547" spans="1:8">
      <c r="A1547" t="s">
        <v>708</v>
      </c>
      <c r="B1547" t="s">
        <v>1914</v>
      </c>
      <c r="C1547" t="s">
        <v>1739</v>
      </c>
      <c r="D1547" t="s">
        <v>709</v>
      </c>
      <c r="E1547">
        <v>0</v>
      </c>
      <c r="F1547">
        <v>0</v>
      </c>
      <c r="G1547">
        <v>0</v>
      </c>
      <c r="H1547">
        <v>0</v>
      </c>
    </row>
    <row r="1548" spans="1:8">
      <c r="A1548" t="s">
        <v>710</v>
      </c>
      <c r="B1548" t="s">
        <v>1914</v>
      </c>
      <c r="C1548" t="s">
        <v>1739</v>
      </c>
      <c r="D1548" t="s">
        <v>711</v>
      </c>
      <c r="E1548">
        <v>0</v>
      </c>
      <c r="F1548">
        <v>0</v>
      </c>
      <c r="G1548">
        <v>0</v>
      </c>
      <c r="H1548">
        <v>0</v>
      </c>
    </row>
    <row r="1549" spans="1:8">
      <c r="A1549">
        <v>13.3</v>
      </c>
      <c r="B1549" t="s">
        <v>1914</v>
      </c>
      <c r="C1549" t="s">
        <v>1739</v>
      </c>
      <c r="D1549" t="s">
        <v>712</v>
      </c>
      <c r="E1549">
        <v>0</v>
      </c>
      <c r="F1549">
        <v>0</v>
      </c>
      <c r="G1549">
        <v>0</v>
      </c>
      <c r="H1549">
        <v>0</v>
      </c>
    </row>
    <row r="1550" spans="1:8">
      <c r="A1550" t="s">
        <v>715</v>
      </c>
      <c r="B1550" t="s">
        <v>1914</v>
      </c>
      <c r="C1550" t="s">
        <v>1739</v>
      </c>
      <c r="D1550" t="s">
        <v>716</v>
      </c>
      <c r="E1550">
        <v>0</v>
      </c>
      <c r="F1550">
        <v>0</v>
      </c>
      <c r="G1550">
        <v>0</v>
      </c>
      <c r="H1550">
        <v>0</v>
      </c>
    </row>
    <row r="1551" spans="1:8">
      <c r="A1551" t="s">
        <v>717</v>
      </c>
      <c r="B1551" t="s">
        <v>1914</v>
      </c>
      <c r="C1551" t="s">
        <v>1739</v>
      </c>
      <c r="D1551" t="s">
        <v>718</v>
      </c>
      <c r="E1551">
        <v>0</v>
      </c>
      <c r="F1551">
        <v>0</v>
      </c>
      <c r="G1551">
        <v>0</v>
      </c>
      <c r="H1551">
        <v>0</v>
      </c>
    </row>
    <row r="1552" spans="1:8">
      <c r="A1552">
        <v>13.4</v>
      </c>
      <c r="B1552" t="s">
        <v>1914</v>
      </c>
      <c r="C1552" t="s">
        <v>1739</v>
      </c>
      <c r="D1552" t="s">
        <v>719</v>
      </c>
      <c r="E1552">
        <v>0</v>
      </c>
      <c r="F1552">
        <v>0</v>
      </c>
      <c r="G1552">
        <v>0</v>
      </c>
      <c r="H1552">
        <v>0</v>
      </c>
    </row>
    <row r="1553" spans="1:8">
      <c r="A1553" t="s">
        <v>720</v>
      </c>
      <c r="B1553" t="s">
        <v>1914</v>
      </c>
      <c r="C1553" t="s">
        <v>1739</v>
      </c>
      <c r="D1553" t="s">
        <v>716</v>
      </c>
      <c r="E1553">
        <v>0</v>
      </c>
      <c r="F1553">
        <v>0</v>
      </c>
      <c r="G1553">
        <v>0</v>
      </c>
      <c r="H1553">
        <v>0</v>
      </c>
    </row>
    <row r="1554" spans="1:8">
      <c r="A1554" t="s">
        <v>722</v>
      </c>
      <c r="B1554" t="s">
        <v>1914</v>
      </c>
      <c r="C1554" t="s">
        <v>1739</v>
      </c>
      <c r="D1554" t="s">
        <v>1874</v>
      </c>
      <c r="E1554">
        <v>0</v>
      </c>
      <c r="F1554">
        <v>0</v>
      </c>
      <c r="G1554">
        <v>0</v>
      </c>
      <c r="H1554">
        <v>0</v>
      </c>
    </row>
    <row r="1555" spans="1:8">
      <c r="A1555" t="s">
        <v>302</v>
      </c>
      <c r="B1555" t="s">
        <v>1914</v>
      </c>
      <c r="C1555" t="s">
        <v>1739</v>
      </c>
      <c r="D1555" t="s">
        <v>739</v>
      </c>
      <c r="E1555">
        <v>0</v>
      </c>
      <c r="F1555">
        <v>0</v>
      </c>
      <c r="G1555">
        <v>0</v>
      </c>
      <c r="H1555">
        <v>0</v>
      </c>
    </row>
    <row r="1556" spans="1:8">
      <c r="A1556">
        <v>15.1</v>
      </c>
      <c r="B1556" t="s">
        <v>1914</v>
      </c>
      <c r="C1556" t="s">
        <v>1739</v>
      </c>
      <c r="D1556" t="s">
        <v>740</v>
      </c>
      <c r="E1556">
        <v>0</v>
      </c>
      <c r="F1556">
        <v>0</v>
      </c>
      <c r="G1556">
        <v>0</v>
      </c>
      <c r="H1556">
        <v>0</v>
      </c>
    </row>
    <row r="1557" spans="1:8">
      <c r="A1557" t="s">
        <v>9</v>
      </c>
      <c r="B1557" t="s">
        <v>1576</v>
      </c>
      <c r="C1557" t="s">
        <v>1576</v>
      </c>
      <c r="D1557" t="s">
        <v>1984</v>
      </c>
      <c r="E1557">
        <v>0</v>
      </c>
      <c r="F1557">
        <v>0</v>
      </c>
      <c r="G1557">
        <v>0</v>
      </c>
      <c r="H1557">
        <v>0</v>
      </c>
    </row>
    <row r="1558" spans="1:8">
      <c r="A1558">
        <v>1</v>
      </c>
      <c r="B1558" t="s">
        <v>1576</v>
      </c>
      <c r="C1558" t="s">
        <v>1576</v>
      </c>
      <c r="D1558" t="s">
        <v>750</v>
      </c>
      <c r="E1558">
        <v>0</v>
      </c>
      <c r="F1558">
        <v>0</v>
      </c>
      <c r="G1558">
        <v>0</v>
      </c>
      <c r="H1558">
        <v>0</v>
      </c>
    </row>
    <row r="1559" spans="1:8">
      <c r="A1559">
        <v>2</v>
      </c>
      <c r="B1559" t="s">
        <v>1576</v>
      </c>
      <c r="C1559" t="s">
        <v>1576</v>
      </c>
      <c r="D1559" t="s">
        <v>751</v>
      </c>
      <c r="E1559">
        <v>0</v>
      </c>
      <c r="F1559">
        <v>0</v>
      </c>
      <c r="G1559">
        <v>0</v>
      </c>
      <c r="H1559">
        <v>0</v>
      </c>
    </row>
    <row r="1560" spans="1:8">
      <c r="A1560">
        <v>3</v>
      </c>
      <c r="B1560" t="s">
        <v>1576</v>
      </c>
      <c r="C1560" t="s">
        <v>1576</v>
      </c>
      <c r="D1560" t="s">
        <v>752</v>
      </c>
      <c r="E1560">
        <v>0</v>
      </c>
      <c r="F1560">
        <v>0</v>
      </c>
      <c r="G1560">
        <v>0</v>
      </c>
      <c r="H1560">
        <v>0</v>
      </c>
    </row>
    <row r="1561" spans="1:8">
      <c r="A1561">
        <v>4</v>
      </c>
      <c r="B1561" t="s">
        <v>1576</v>
      </c>
      <c r="C1561" t="s">
        <v>1576</v>
      </c>
      <c r="D1561" t="s">
        <v>753</v>
      </c>
      <c r="E1561">
        <v>0</v>
      </c>
      <c r="F1561">
        <v>0</v>
      </c>
      <c r="G1561">
        <v>0</v>
      </c>
      <c r="H1561">
        <v>0</v>
      </c>
    </row>
    <row r="1562" spans="1:8">
      <c r="A1562">
        <v>5</v>
      </c>
      <c r="B1562" t="s">
        <v>1576</v>
      </c>
      <c r="C1562" t="s">
        <v>1576</v>
      </c>
      <c r="D1562" t="s">
        <v>754</v>
      </c>
      <c r="E1562">
        <v>0</v>
      </c>
      <c r="F1562">
        <v>0</v>
      </c>
      <c r="G1562">
        <v>0</v>
      </c>
      <c r="H1562">
        <v>0</v>
      </c>
    </row>
    <row r="1563" spans="1:8">
      <c r="A1563">
        <v>6</v>
      </c>
      <c r="B1563" t="s">
        <v>1576</v>
      </c>
      <c r="C1563" t="s">
        <v>1576</v>
      </c>
      <c r="D1563" t="s">
        <v>1535</v>
      </c>
      <c r="E1563">
        <v>0</v>
      </c>
      <c r="F1563">
        <v>0</v>
      </c>
      <c r="G1563">
        <v>0</v>
      </c>
      <c r="H1563">
        <v>0</v>
      </c>
    </row>
    <row r="1564" spans="1:8">
      <c r="A1564">
        <v>7</v>
      </c>
      <c r="B1564" t="s">
        <v>1576</v>
      </c>
      <c r="C1564" t="s">
        <v>1576</v>
      </c>
      <c r="D1564" t="s">
        <v>1985</v>
      </c>
      <c r="E1564">
        <v>0</v>
      </c>
      <c r="F1564">
        <v>0</v>
      </c>
      <c r="G1564">
        <v>0</v>
      </c>
      <c r="H1564">
        <v>0</v>
      </c>
    </row>
    <row r="1565" spans="1:8">
      <c r="A1565">
        <v>8</v>
      </c>
      <c r="B1565" t="s">
        <v>1576</v>
      </c>
      <c r="C1565" t="s">
        <v>1576</v>
      </c>
      <c r="D1565" t="s">
        <v>1881</v>
      </c>
      <c r="E1565">
        <v>0</v>
      </c>
      <c r="F1565">
        <v>0</v>
      </c>
      <c r="G1565">
        <v>0</v>
      </c>
      <c r="H1565">
        <v>0</v>
      </c>
    </row>
    <row r="1566" spans="1:8">
      <c r="A1566">
        <v>9</v>
      </c>
      <c r="B1566" t="s">
        <v>1576</v>
      </c>
      <c r="C1566" t="s">
        <v>1576</v>
      </c>
      <c r="D1566" t="s">
        <v>759</v>
      </c>
      <c r="E1566">
        <v>0</v>
      </c>
      <c r="F1566">
        <v>0</v>
      </c>
      <c r="G1566">
        <v>0</v>
      </c>
      <c r="H1566">
        <v>0</v>
      </c>
    </row>
    <row r="1567" spans="1:8">
      <c r="A1567">
        <v>10</v>
      </c>
      <c r="B1567" t="s">
        <v>1576</v>
      </c>
      <c r="C1567" t="s">
        <v>1576</v>
      </c>
      <c r="D1567" t="s">
        <v>1483</v>
      </c>
      <c r="E1567">
        <v>0</v>
      </c>
      <c r="F1567">
        <v>0</v>
      </c>
      <c r="G1567">
        <v>0</v>
      </c>
      <c r="H1567">
        <v>0</v>
      </c>
    </row>
    <row r="1568" spans="1:8">
      <c r="A1568">
        <v>11</v>
      </c>
      <c r="B1568" t="s">
        <v>1576</v>
      </c>
      <c r="C1568" t="s">
        <v>1576</v>
      </c>
      <c r="D1568" t="s">
        <v>1590</v>
      </c>
      <c r="E1568">
        <v>0</v>
      </c>
      <c r="F1568">
        <v>0</v>
      </c>
      <c r="G1568">
        <v>0</v>
      </c>
      <c r="H156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FCDE3-ACBE-4DF8-9490-ED69BAD41402}">
  <dimension ref="A1:D8"/>
  <sheetViews>
    <sheetView tabSelected="1" workbookViewId="0"/>
  </sheetViews>
  <sheetFormatPr defaultRowHeight="14.4"/>
  <cols>
    <col min="1" max="1" width="6.109375" bestFit="1" customWidth="1"/>
    <col min="2" max="2" width="32.88671875" bestFit="1" customWidth="1"/>
    <col min="3" max="3" width="17.6640625" bestFit="1" customWidth="1"/>
    <col min="4" max="4" width="14.33203125" bestFit="1" customWidth="1"/>
  </cols>
  <sheetData>
    <row r="1" spans="1:4" s="516" customFormat="1">
      <c r="A1" s="516" t="s">
        <v>10</v>
      </c>
      <c r="B1" s="516" t="s">
        <v>11</v>
      </c>
      <c r="C1" s="516" t="s">
        <v>1986</v>
      </c>
      <c r="D1" s="516" t="s">
        <v>1911</v>
      </c>
    </row>
    <row r="2" spans="1:4">
      <c r="A2" t="s">
        <v>1</v>
      </c>
      <c r="B2" t="s">
        <v>1739</v>
      </c>
      <c r="C2" s="517">
        <v>1733162.56</v>
      </c>
      <c r="D2">
        <v>760</v>
      </c>
    </row>
    <row r="3" spans="1:4">
      <c r="A3" t="s">
        <v>3</v>
      </c>
      <c r="B3" t="s">
        <v>148</v>
      </c>
      <c r="C3" s="517">
        <v>763801.48</v>
      </c>
      <c r="D3">
        <v>335</v>
      </c>
    </row>
    <row r="4" spans="1:4">
      <c r="A4" t="s">
        <v>4</v>
      </c>
      <c r="B4" t="s">
        <v>6</v>
      </c>
      <c r="C4" s="517">
        <v>95319.01</v>
      </c>
      <c r="D4">
        <v>42</v>
      </c>
    </row>
    <row r="5" spans="1:4">
      <c r="A5" t="s">
        <v>5</v>
      </c>
      <c r="B5" t="s">
        <v>289</v>
      </c>
      <c r="C5" s="517">
        <v>442709.80000000005</v>
      </c>
      <c r="D5">
        <v>194</v>
      </c>
    </row>
    <row r="6" spans="1:4">
      <c r="A6" t="s">
        <v>7</v>
      </c>
      <c r="B6" t="s">
        <v>301</v>
      </c>
      <c r="C6" s="517">
        <v>1576638.6400000001</v>
      </c>
      <c r="D6">
        <v>692</v>
      </c>
    </row>
    <row r="7" spans="1:4">
      <c r="A7" t="s">
        <v>8</v>
      </c>
      <c r="B7" t="s">
        <v>1576</v>
      </c>
      <c r="C7" s="517">
        <v>162810.6</v>
      </c>
      <c r="D7">
        <v>71</v>
      </c>
    </row>
    <row r="8" spans="1:4">
      <c r="A8" s="516" t="s">
        <v>1550</v>
      </c>
      <c r="B8" s="516" t="s">
        <v>1550</v>
      </c>
      <c r="C8" s="539">
        <v>4774442.09</v>
      </c>
      <c r="D8" s="516">
        <v>2094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X1163"/>
  <sheetViews>
    <sheetView zoomScaleNormal="85" zoomScaleSheetLayoutView="84" workbookViewId="0">
      <pane xSplit="2" ySplit="2" topLeftCell="C1137" activePane="bottomRight" state="frozen"/>
      <selection pane="topRight" activeCell="C1" sqref="C1"/>
      <selection pane="bottomLeft" activeCell="A3" sqref="A3"/>
      <selection pane="bottomRight" activeCell="B1151" sqref="B1151"/>
    </sheetView>
  </sheetViews>
  <sheetFormatPr defaultColWidth="9.109375" defaultRowHeight="13.8"/>
  <cols>
    <col min="1" max="1" width="6.88671875" style="57" customWidth="1"/>
    <col min="2" max="2" width="56" style="388" customWidth="1"/>
    <col min="3" max="3" width="10.109375" style="435" customWidth="1"/>
    <col min="4" max="5" width="10.109375" style="388" customWidth="1"/>
    <col min="6" max="6" width="15.5546875" style="389" customWidth="1"/>
    <col min="7" max="8" width="10.109375" style="388" customWidth="1"/>
    <col min="9" max="9" width="15.5546875" style="389" customWidth="1"/>
    <col min="10" max="10" width="14" style="390" customWidth="1"/>
    <col min="11" max="11" width="13.77734375" style="66" customWidth="1"/>
    <col min="12" max="12" width="13.88671875" style="66" customWidth="1"/>
    <col min="13" max="13" width="13.109375" style="66" customWidth="1"/>
    <col min="14" max="14" width="15.44140625" style="66" customWidth="1"/>
    <col min="15" max="15" width="38.77734375" style="66" customWidth="1"/>
    <col min="16" max="24" width="9.109375" style="66"/>
    <col min="25" max="16384" width="9.109375" style="57"/>
  </cols>
  <sheetData>
    <row r="1" spans="1:15" s="57" customFormat="1">
      <c r="A1" s="297"/>
      <c r="B1" s="481"/>
      <c r="C1" s="531" t="s">
        <v>1539</v>
      </c>
      <c r="D1" s="531"/>
      <c r="E1" s="531"/>
      <c r="F1" s="531"/>
      <c r="G1" s="531" t="s">
        <v>1540</v>
      </c>
      <c r="H1" s="531"/>
      <c r="I1" s="531"/>
      <c r="J1" s="529" t="s">
        <v>1541</v>
      </c>
      <c r="K1" s="530"/>
      <c r="L1" s="299" t="s">
        <v>1548</v>
      </c>
      <c r="M1" s="299" t="s">
        <v>1549</v>
      </c>
      <c r="N1" s="299" t="s">
        <v>1550</v>
      </c>
      <c r="O1" s="299" t="s">
        <v>1551</v>
      </c>
    </row>
    <row r="2" spans="1:15" s="57" customFormat="1" ht="19.5" customHeight="1">
      <c r="A2" s="298" t="s">
        <v>10</v>
      </c>
      <c r="B2" s="482" t="s">
        <v>11</v>
      </c>
      <c r="C2" s="391" t="s">
        <v>1542</v>
      </c>
      <c r="D2" s="385" t="s">
        <v>1543</v>
      </c>
      <c r="E2" s="384" t="s">
        <v>1544</v>
      </c>
      <c r="F2" s="384" t="s">
        <v>1545</v>
      </c>
      <c r="G2" s="384" t="s">
        <v>1546</v>
      </c>
      <c r="H2" s="384" t="s">
        <v>1547</v>
      </c>
      <c r="I2" s="384" t="s">
        <v>1545</v>
      </c>
      <c r="J2" s="299" t="s">
        <v>12</v>
      </c>
      <c r="K2" s="386" t="s">
        <v>1545</v>
      </c>
      <c r="L2" s="386" t="s">
        <v>1545</v>
      </c>
      <c r="M2" s="386" t="s">
        <v>1545</v>
      </c>
      <c r="N2" s="386" t="s">
        <v>1545</v>
      </c>
      <c r="O2" s="299" t="s">
        <v>1551</v>
      </c>
    </row>
    <row r="3" spans="1:15" s="57" customFormat="1">
      <c r="A3" s="83" t="s">
        <v>1</v>
      </c>
      <c r="B3" s="58" t="s">
        <v>2</v>
      </c>
      <c r="C3" s="392"/>
      <c r="D3" s="59"/>
      <c r="E3" s="59"/>
      <c r="F3" s="59"/>
      <c r="G3" s="59"/>
      <c r="H3" s="59"/>
      <c r="I3" s="59"/>
      <c r="J3" s="59"/>
      <c r="K3" s="59"/>
      <c r="L3" s="59"/>
      <c r="M3" s="59"/>
      <c r="N3" s="59"/>
      <c r="O3" s="59"/>
    </row>
    <row r="4" spans="1:15" s="57" customFormat="1">
      <c r="A4" s="62">
        <v>1</v>
      </c>
      <c r="B4" s="60" t="s">
        <v>13</v>
      </c>
      <c r="C4" s="393"/>
      <c r="D4" s="61"/>
      <c r="E4" s="61"/>
      <c r="F4" s="61"/>
      <c r="G4" s="61"/>
      <c r="H4" s="61"/>
      <c r="I4" s="61"/>
      <c r="J4" s="61"/>
      <c r="K4" s="61"/>
      <c r="L4" s="61"/>
      <c r="M4" s="61"/>
      <c r="N4" s="61"/>
      <c r="O4" s="61"/>
    </row>
    <row r="5" spans="1:15" s="57" customFormat="1" ht="39.6">
      <c r="A5" s="272" t="s">
        <v>14</v>
      </c>
      <c r="B5" s="81" t="s">
        <v>15</v>
      </c>
      <c r="C5" s="109"/>
      <c r="D5" s="71"/>
      <c r="E5" s="109"/>
      <c r="F5" s="109"/>
      <c r="G5" s="109"/>
      <c r="H5" s="109"/>
      <c r="I5" s="109"/>
      <c r="J5" s="301"/>
      <c r="K5" s="368"/>
      <c r="L5" s="368"/>
      <c r="M5" s="368"/>
      <c r="N5" s="368"/>
      <c r="O5" s="368"/>
    </row>
    <row r="6" spans="1:15" s="57" customFormat="1">
      <c r="A6" s="271" t="s">
        <v>16</v>
      </c>
      <c r="B6" s="81" t="s">
        <v>17</v>
      </c>
      <c r="C6" s="394"/>
      <c r="D6" s="71" t="s">
        <v>18</v>
      </c>
      <c r="E6" s="437">
        <v>12</v>
      </c>
      <c r="F6" s="109">
        <f t="shared" ref="F6:F17" si="0">E6*C6</f>
        <v>0</v>
      </c>
      <c r="G6" s="436"/>
      <c r="H6" s="438">
        <f t="shared" ref="H6:H17" si="1">ROUND(G6,2)</f>
        <v>0</v>
      </c>
      <c r="I6" s="438">
        <f t="shared" ref="I6:I17" si="2">H6*E6</f>
        <v>0</v>
      </c>
      <c r="J6" s="438">
        <f t="shared" ref="J6:J17" si="3">G6-C6</f>
        <v>0</v>
      </c>
      <c r="K6" s="438">
        <f t="shared" ref="K6:K17" si="4">I6-F6</f>
        <v>0</v>
      </c>
      <c r="L6" s="438">
        <f t="shared" ref="L6:L17" si="5">IF(F6&lt;I6,(I6-F6),0)</f>
        <v>0</v>
      </c>
      <c r="M6" s="438">
        <f t="shared" ref="M6:M17" si="6">IF(F6&gt;I6,(I6-F6),0)</f>
        <v>0</v>
      </c>
      <c r="N6" s="438">
        <f t="shared" ref="N6:N17" si="7">M6+L6</f>
        <v>0</v>
      </c>
      <c r="O6" s="368"/>
    </row>
    <row r="7" spans="1:15" s="57" customFormat="1" ht="72">
      <c r="A7" s="271" t="s">
        <v>19</v>
      </c>
      <c r="B7" s="322" t="s">
        <v>20</v>
      </c>
      <c r="C7" s="394"/>
      <c r="D7" s="71" t="s">
        <v>18</v>
      </c>
      <c r="E7" s="437">
        <v>11</v>
      </c>
      <c r="F7" s="109">
        <f t="shared" si="0"/>
        <v>0</v>
      </c>
      <c r="G7" s="439">
        <f>'Measurement sheet'!F26</f>
        <v>932.3900000000001</v>
      </c>
      <c r="H7" s="438">
        <f t="shared" si="1"/>
        <v>932.39</v>
      </c>
      <c r="I7" s="438">
        <f t="shared" si="2"/>
        <v>10256.289999999999</v>
      </c>
      <c r="J7" s="438">
        <f t="shared" si="3"/>
        <v>932.3900000000001</v>
      </c>
      <c r="K7" s="438">
        <f t="shared" si="4"/>
        <v>10256.289999999999</v>
      </c>
      <c r="L7" s="438">
        <f t="shared" si="5"/>
        <v>10256.289999999999</v>
      </c>
      <c r="M7" s="438">
        <f t="shared" si="6"/>
        <v>0</v>
      </c>
      <c r="N7" s="438">
        <f t="shared" si="7"/>
        <v>10256.289999999999</v>
      </c>
      <c r="O7" s="477" t="s">
        <v>1609</v>
      </c>
    </row>
    <row r="8" spans="1:15" s="57" customFormat="1" ht="72">
      <c r="A8" s="271" t="s">
        <v>21</v>
      </c>
      <c r="B8" s="322" t="s">
        <v>22</v>
      </c>
      <c r="C8" s="394"/>
      <c r="D8" s="71" t="s">
        <v>18</v>
      </c>
      <c r="E8" s="437">
        <v>11</v>
      </c>
      <c r="F8" s="109">
        <f t="shared" si="0"/>
        <v>0</v>
      </c>
      <c r="G8" s="439">
        <f>'Measurement sheet'!F35</f>
        <v>459.73170000000005</v>
      </c>
      <c r="H8" s="438">
        <f t="shared" si="1"/>
        <v>459.73</v>
      </c>
      <c r="I8" s="438">
        <f t="shared" si="2"/>
        <v>5057.0300000000007</v>
      </c>
      <c r="J8" s="438">
        <f t="shared" si="3"/>
        <v>459.73170000000005</v>
      </c>
      <c r="K8" s="438">
        <f t="shared" si="4"/>
        <v>5057.0300000000007</v>
      </c>
      <c r="L8" s="438">
        <f t="shared" si="5"/>
        <v>5057.0300000000007</v>
      </c>
      <c r="M8" s="438">
        <f t="shared" si="6"/>
        <v>0</v>
      </c>
      <c r="N8" s="438">
        <f t="shared" si="7"/>
        <v>5057.0300000000007</v>
      </c>
      <c r="O8" s="477" t="s">
        <v>1609</v>
      </c>
    </row>
    <row r="9" spans="1:15" s="57" customFormat="1" ht="72">
      <c r="A9" s="271" t="s">
        <v>23</v>
      </c>
      <c r="B9" s="322" t="s">
        <v>24</v>
      </c>
      <c r="C9" s="394"/>
      <c r="D9" s="71" t="s">
        <v>18</v>
      </c>
      <c r="E9" s="437">
        <v>16</v>
      </c>
      <c r="F9" s="109">
        <f t="shared" si="0"/>
        <v>0</v>
      </c>
      <c r="G9" s="439">
        <f>'Measurement sheet'!F47</f>
        <v>540.83349999999996</v>
      </c>
      <c r="H9" s="438">
        <f t="shared" si="1"/>
        <v>540.83000000000004</v>
      </c>
      <c r="I9" s="438">
        <f t="shared" si="2"/>
        <v>8653.2800000000007</v>
      </c>
      <c r="J9" s="438">
        <f t="shared" si="3"/>
        <v>540.83349999999996</v>
      </c>
      <c r="K9" s="438">
        <f t="shared" si="4"/>
        <v>8653.2800000000007</v>
      </c>
      <c r="L9" s="438">
        <f t="shared" si="5"/>
        <v>8653.2800000000007</v>
      </c>
      <c r="M9" s="438">
        <f t="shared" si="6"/>
        <v>0</v>
      </c>
      <c r="N9" s="438">
        <f t="shared" si="7"/>
        <v>8653.2800000000007</v>
      </c>
      <c r="O9" s="477" t="s">
        <v>1609</v>
      </c>
    </row>
    <row r="10" spans="1:15" s="57" customFormat="1" ht="72">
      <c r="A10" s="271" t="s">
        <v>25</v>
      </c>
      <c r="B10" s="322" t="s">
        <v>26</v>
      </c>
      <c r="C10" s="394"/>
      <c r="D10" s="280" t="s">
        <v>27</v>
      </c>
      <c r="E10" s="440">
        <v>381</v>
      </c>
      <c r="F10" s="109">
        <f t="shared" si="0"/>
        <v>0</v>
      </c>
      <c r="G10" s="439">
        <f>'Measurement sheet'!F51</f>
        <v>16</v>
      </c>
      <c r="H10" s="438">
        <f t="shared" si="1"/>
        <v>16</v>
      </c>
      <c r="I10" s="438">
        <f t="shared" si="2"/>
        <v>6096</v>
      </c>
      <c r="J10" s="438">
        <f t="shared" si="3"/>
        <v>16</v>
      </c>
      <c r="K10" s="438">
        <f t="shared" si="4"/>
        <v>6096</v>
      </c>
      <c r="L10" s="438">
        <f t="shared" si="5"/>
        <v>6096</v>
      </c>
      <c r="M10" s="438">
        <f t="shared" si="6"/>
        <v>0</v>
      </c>
      <c r="N10" s="438">
        <f t="shared" si="7"/>
        <v>6096</v>
      </c>
      <c r="O10" s="477" t="s">
        <v>1609</v>
      </c>
    </row>
    <row r="11" spans="1:15" s="57" customFormat="1">
      <c r="A11" s="271" t="s">
        <v>28</v>
      </c>
      <c r="B11" s="75" t="s">
        <v>29</v>
      </c>
      <c r="C11" s="394"/>
      <c r="D11" s="280" t="s">
        <v>27</v>
      </c>
      <c r="E11" s="440">
        <v>1199</v>
      </c>
      <c r="F11" s="109">
        <f t="shared" si="0"/>
        <v>0</v>
      </c>
      <c r="G11" s="436"/>
      <c r="H11" s="438">
        <f t="shared" si="1"/>
        <v>0</v>
      </c>
      <c r="I11" s="438">
        <f t="shared" si="2"/>
        <v>0</v>
      </c>
      <c r="J11" s="438">
        <f t="shared" si="3"/>
        <v>0</v>
      </c>
      <c r="K11" s="438">
        <f t="shared" si="4"/>
        <v>0</v>
      </c>
      <c r="L11" s="438">
        <f t="shared" si="5"/>
        <v>0</v>
      </c>
      <c r="M11" s="438">
        <f t="shared" si="6"/>
        <v>0</v>
      </c>
      <c r="N11" s="438">
        <f t="shared" si="7"/>
        <v>0</v>
      </c>
      <c r="O11" s="368"/>
    </row>
    <row r="12" spans="1:15" s="57" customFormat="1">
      <c r="A12" s="271" t="s">
        <v>30</v>
      </c>
      <c r="B12" s="75" t="s">
        <v>31</v>
      </c>
      <c r="C12" s="394"/>
      <c r="D12" s="71" t="s">
        <v>18</v>
      </c>
      <c r="E12" s="437">
        <v>11</v>
      </c>
      <c r="F12" s="109">
        <f t="shared" si="0"/>
        <v>0</v>
      </c>
      <c r="G12" s="436"/>
      <c r="H12" s="438">
        <f t="shared" si="1"/>
        <v>0</v>
      </c>
      <c r="I12" s="438">
        <f t="shared" si="2"/>
        <v>0</v>
      </c>
      <c r="J12" s="438">
        <f t="shared" si="3"/>
        <v>0</v>
      </c>
      <c r="K12" s="438">
        <f t="shared" si="4"/>
        <v>0</v>
      </c>
      <c r="L12" s="438">
        <f t="shared" si="5"/>
        <v>0</v>
      </c>
      <c r="M12" s="438">
        <f t="shared" si="6"/>
        <v>0</v>
      </c>
      <c r="N12" s="438">
        <f t="shared" si="7"/>
        <v>0</v>
      </c>
      <c r="O12" s="368"/>
    </row>
    <row r="13" spans="1:15" s="57" customFormat="1">
      <c r="A13" s="271" t="s">
        <v>32</v>
      </c>
      <c r="B13" s="75" t="s">
        <v>33</v>
      </c>
      <c r="C13" s="394"/>
      <c r="D13" s="71" t="s">
        <v>18</v>
      </c>
      <c r="E13" s="440">
        <v>3</v>
      </c>
      <c r="F13" s="109">
        <f t="shared" si="0"/>
        <v>0</v>
      </c>
      <c r="G13" s="436"/>
      <c r="H13" s="438">
        <f t="shared" si="1"/>
        <v>0</v>
      </c>
      <c r="I13" s="438">
        <f t="shared" si="2"/>
        <v>0</v>
      </c>
      <c r="J13" s="438">
        <f t="shared" si="3"/>
        <v>0</v>
      </c>
      <c r="K13" s="438">
        <f t="shared" si="4"/>
        <v>0</v>
      </c>
      <c r="L13" s="438">
        <f t="shared" si="5"/>
        <v>0</v>
      </c>
      <c r="M13" s="438">
        <f t="shared" si="6"/>
        <v>0</v>
      </c>
      <c r="N13" s="438">
        <f t="shared" si="7"/>
        <v>0</v>
      </c>
      <c r="O13" s="368"/>
    </row>
    <row r="14" spans="1:15" s="57" customFormat="1">
      <c r="A14" s="271" t="s">
        <v>34</v>
      </c>
      <c r="B14" s="75" t="s">
        <v>35</v>
      </c>
      <c r="C14" s="394"/>
      <c r="D14" s="71" t="s">
        <v>18</v>
      </c>
      <c r="E14" s="440">
        <v>10</v>
      </c>
      <c r="F14" s="109">
        <f t="shared" si="0"/>
        <v>0</v>
      </c>
      <c r="G14" s="436"/>
      <c r="H14" s="438">
        <f t="shared" si="1"/>
        <v>0</v>
      </c>
      <c r="I14" s="438">
        <f t="shared" si="2"/>
        <v>0</v>
      </c>
      <c r="J14" s="438">
        <f t="shared" si="3"/>
        <v>0</v>
      </c>
      <c r="K14" s="438">
        <f t="shared" si="4"/>
        <v>0</v>
      </c>
      <c r="L14" s="438">
        <f t="shared" si="5"/>
        <v>0</v>
      </c>
      <c r="M14" s="438">
        <f t="shared" si="6"/>
        <v>0</v>
      </c>
      <c r="N14" s="438">
        <f t="shared" si="7"/>
        <v>0</v>
      </c>
      <c r="O14" s="368"/>
    </row>
    <row r="15" spans="1:15" s="57" customFormat="1">
      <c r="A15" s="271" t="s">
        <v>36</v>
      </c>
      <c r="B15" s="75" t="s">
        <v>37</v>
      </c>
      <c r="C15" s="394"/>
      <c r="D15" s="71" t="s">
        <v>18</v>
      </c>
      <c r="E15" s="440">
        <v>11</v>
      </c>
      <c r="F15" s="109">
        <f t="shared" si="0"/>
        <v>0</v>
      </c>
      <c r="G15" s="436"/>
      <c r="H15" s="438">
        <f t="shared" si="1"/>
        <v>0</v>
      </c>
      <c r="I15" s="438">
        <f t="shared" si="2"/>
        <v>0</v>
      </c>
      <c r="J15" s="438">
        <f t="shared" si="3"/>
        <v>0</v>
      </c>
      <c r="K15" s="438">
        <f t="shared" si="4"/>
        <v>0</v>
      </c>
      <c r="L15" s="438">
        <f t="shared" si="5"/>
        <v>0</v>
      </c>
      <c r="M15" s="438">
        <f t="shared" si="6"/>
        <v>0</v>
      </c>
      <c r="N15" s="438">
        <f t="shared" si="7"/>
        <v>0</v>
      </c>
      <c r="O15" s="368"/>
    </row>
    <row r="16" spans="1:15" s="57" customFormat="1" ht="26.4">
      <c r="A16" s="271" t="s">
        <v>38</v>
      </c>
      <c r="B16" s="75" t="s">
        <v>39</v>
      </c>
      <c r="C16" s="394"/>
      <c r="D16" s="280" t="s">
        <v>27</v>
      </c>
      <c r="E16" s="440">
        <v>487</v>
      </c>
      <c r="F16" s="109">
        <f t="shared" si="0"/>
        <v>0</v>
      </c>
      <c r="G16" s="436"/>
      <c r="H16" s="438">
        <f t="shared" si="1"/>
        <v>0</v>
      </c>
      <c r="I16" s="438">
        <f t="shared" si="2"/>
        <v>0</v>
      </c>
      <c r="J16" s="438">
        <f t="shared" si="3"/>
        <v>0</v>
      </c>
      <c r="K16" s="438">
        <f t="shared" si="4"/>
        <v>0</v>
      </c>
      <c r="L16" s="438">
        <f t="shared" si="5"/>
        <v>0</v>
      </c>
      <c r="M16" s="438">
        <f t="shared" si="6"/>
        <v>0</v>
      </c>
      <c r="N16" s="438">
        <f t="shared" si="7"/>
        <v>0</v>
      </c>
      <c r="O16" s="368"/>
    </row>
    <row r="17" spans="1:15" s="57" customFormat="1" ht="72">
      <c r="A17" s="271" t="s">
        <v>40</v>
      </c>
      <c r="B17" s="483" t="s">
        <v>41</v>
      </c>
      <c r="C17" s="394"/>
      <c r="D17" s="71" t="s">
        <v>18</v>
      </c>
      <c r="E17" s="440">
        <v>84</v>
      </c>
      <c r="F17" s="109">
        <f t="shared" si="0"/>
        <v>0</v>
      </c>
      <c r="G17" s="439">
        <f>'Measurement sheet'!F54</f>
        <v>2</v>
      </c>
      <c r="H17" s="438">
        <f t="shared" si="1"/>
        <v>2</v>
      </c>
      <c r="I17" s="438">
        <f t="shared" si="2"/>
        <v>168</v>
      </c>
      <c r="J17" s="438">
        <f t="shared" si="3"/>
        <v>2</v>
      </c>
      <c r="K17" s="438">
        <f t="shared" si="4"/>
        <v>168</v>
      </c>
      <c r="L17" s="438">
        <f t="shared" si="5"/>
        <v>168</v>
      </c>
      <c r="M17" s="438">
        <f t="shared" si="6"/>
        <v>0</v>
      </c>
      <c r="N17" s="438">
        <f t="shared" si="7"/>
        <v>168</v>
      </c>
      <c r="O17" s="477" t="s">
        <v>1609</v>
      </c>
    </row>
    <row r="18" spans="1:15" s="57" customFormat="1">
      <c r="A18" s="271"/>
      <c r="B18" s="75"/>
      <c r="C18" s="395"/>
      <c r="D18" s="280"/>
      <c r="E18" s="395"/>
      <c r="F18" s="395"/>
      <c r="G18" s="395"/>
      <c r="H18" s="395"/>
      <c r="I18" s="395"/>
      <c r="J18" s="395"/>
      <c r="K18" s="368"/>
      <c r="L18" s="368"/>
      <c r="M18" s="368"/>
      <c r="N18" s="368"/>
      <c r="O18" s="368"/>
    </row>
    <row r="19" spans="1:15" s="57" customFormat="1">
      <c r="A19" s="62">
        <v>2</v>
      </c>
      <c r="B19" s="60" t="s">
        <v>42</v>
      </c>
      <c r="C19" s="393"/>
      <c r="D19" s="61"/>
      <c r="E19" s="393"/>
      <c r="F19" s="393"/>
      <c r="G19" s="61"/>
      <c r="H19" s="393"/>
      <c r="I19" s="393"/>
      <c r="J19" s="393"/>
      <c r="K19" s="393"/>
      <c r="L19" s="393"/>
      <c r="M19" s="393"/>
      <c r="N19" s="393"/>
      <c r="O19" s="393"/>
    </row>
    <row r="20" spans="1:15" s="57" customFormat="1" ht="92.4">
      <c r="A20" s="272" t="s">
        <v>14</v>
      </c>
      <c r="B20" s="75" t="s">
        <v>43</v>
      </c>
      <c r="C20" s="394"/>
      <c r="D20" s="71" t="s">
        <v>18</v>
      </c>
      <c r="E20" s="437">
        <v>114</v>
      </c>
      <c r="F20" s="109">
        <f>E20*C20</f>
        <v>0</v>
      </c>
      <c r="G20" s="436"/>
      <c r="H20" s="438">
        <f>ROUND(G20,2)</f>
        <v>0</v>
      </c>
      <c r="I20" s="438">
        <f>H20*E20</f>
        <v>0</v>
      </c>
      <c r="J20" s="438">
        <f>G20-C20</f>
        <v>0</v>
      </c>
      <c r="K20" s="438">
        <f>I20-F20</f>
        <v>0</v>
      </c>
      <c r="L20" s="438">
        <f>IF(F20&lt;I20,(I20-F20),0)</f>
        <v>0</v>
      </c>
      <c r="M20" s="438">
        <f>IF(F20&gt;I20,(I20-F20),0)</f>
        <v>0</v>
      </c>
      <c r="N20" s="438">
        <f>M20+L20</f>
        <v>0</v>
      </c>
      <c r="O20" s="368"/>
    </row>
    <row r="21" spans="1:15" s="57" customFormat="1">
      <c r="A21" s="272" t="s">
        <v>44</v>
      </c>
      <c r="B21" s="81" t="s">
        <v>45</v>
      </c>
      <c r="C21" s="394"/>
      <c r="D21" s="71" t="s">
        <v>18</v>
      </c>
      <c r="E21" s="437">
        <v>150</v>
      </c>
      <c r="F21" s="109">
        <f>E21*C21</f>
        <v>0</v>
      </c>
      <c r="G21" s="436"/>
      <c r="H21" s="438">
        <f>ROUND(G21,2)</f>
        <v>0</v>
      </c>
      <c r="I21" s="438">
        <f>H21*E21</f>
        <v>0</v>
      </c>
      <c r="J21" s="438">
        <f>G21-C21</f>
        <v>0</v>
      </c>
      <c r="K21" s="438">
        <f>I21-F21</f>
        <v>0</v>
      </c>
      <c r="L21" s="438">
        <f>IF(F21&lt;I21,(I21-F21),0)</f>
        <v>0</v>
      </c>
      <c r="M21" s="438">
        <f>IF(F21&gt;I21,(I21-F21),0)</f>
        <v>0</v>
      </c>
      <c r="N21" s="438">
        <f>M21+L21</f>
        <v>0</v>
      </c>
      <c r="O21" s="368"/>
    </row>
    <row r="22" spans="1:15" s="57" customFormat="1" ht="52.8">
      <c r="A22" s="74" t="s">
        <v>46</v>
      </c>
      <c r="B22" s="144" t="s">
        <v>1232</v>
      </c>
      <c r="C22" s="394"/>
      <c r="D22" s="71" t="s">
        <v>18</v>
      </c>
      <c r="E22" s="437">
        <v>124</v>
      </c>
      <c r="F22" s="109">
        <f>E22*C22</f>
        <v>0</v>
      </c>
      <c r="G22" s="436"/>
      <c r="H22" s="438">
        <f>ROUND(G22,2)</f>
        <v>0</v>
      </c>
      <c r="I22" s="438">
        <f>H22*E22</f>
        <v>0</v>
      </c>
      <c r="J22" s="438">
        <f>G22-C22</f>
        <v>0</v>
      </c>
      <c r="K22" s="438">
        <f>I22-F22</f>
        <v>0</v>
      </c>
      <c r="L22" s="438">
        <f>IF(F22&lt;I22,(I22-F22),0)</f>
        <v>0</v>
      </c>
      <c r="M22" s="438">
        <f>IF(F22&gt;I22,(I22-F22),0)</f>
        <v>0</v>
      </c>
      <c r="N22" s="438">
        <f>M22+L22</f>
        <v>0</v>
      </c>
      <c r="O22" s="368"/>
    </row>
    <row r="23" spans="1:15" s="57" customFormat="1" ht="52.8">
      <c r="A23" s="74" t="s">
        <v>47</v>
      </c>
      <c r="B23" s="144" t="s">
        <v>1233</v>
      </c>
      <c r="C23" s="394">
        <v>850</v>
      </c>
      <c r="D23" s="71" t="s">
        <v>18</v>
      </c>
      <c r="E23" s="437">
        <v>129</v>
      </c>
      <c r="F23" s="109">
        <f>E23*C23</f>
        <v>109650</v>
      </c>
      <c r="G23" s="439">
        <f>'Measurement sheet'!F80</f>
        <v>851.39499999999998</v>
      </c>
      <c r="H23" s="438">
        <f>ROUND(G23,2)</f>
        <v>851.4</v>
      </c>
      <c r="I23" s="438">
        <f>H23*E23</f>
        <v>109830.59999999999</v>
      </c>
      <c r="J23" s="438">
        <f>G23-C23</f>
        <v>1.3949999999999818</v>
      </c>
      <c r="K23" s="438">
        <f>I23-F23</f>
        <v>180.59999999999127</v>
      </c>
      <c r="L23" s="438">
        <f>IF(F23&lt;I23,(I23-F23),0)</f>
        <v>180.59999999999127</v>
      </c>
      <c r="M23" s="438">
        <f>IF(F23&gt;I23,(I23-F23),0)</f>
        <v>0</v>
      </c>
      <c r="N23" s="438">
        <f>M23+L23</f>
        <v>180.59999999999127</v>
      </c>
      <c r="O23" s="478" t="s">
        <v>1610</v>
      </c>
    </row>
    <row r="24" spans="1:15" s="57" customFormat="1">
      <c r="A24" s="106"/>
      <c r="B24" s="65"/>
      <c r="C24" s="396"/>
      <c r="D24" s="103"/>
      <c r="E24" s="396"/>
      <c r="F24" s="396"/>
      <c r="G24" s="396"/>
      <c r="H24" s="396"/>
      <c r="I24" s="396"/>
      <c r="J24" s="396"/>
      <c r="K24" s="368"/>
      <c r="L24" s="368"/>
      <c r="M24" s="368"/>
      <c r="N24" s="368"/>
      <c r="O24" s="368"/>
    </row>
    <row r="25" spans="1:15" s="57" customFormat="1">
      <c r="A25" s="62">
        <v>3</v>
      </c>
      <c r="B25" s="60" t="s">
        <v>48</v>
      </c>
      <c r="C25" s="393"/>
      <c r="D25" s="61"/>
      <c r="E25" s="393"/>
      <c r="F25" s="393"/>
      <c r="G25" s="61"/>
      <c r="H25" s="393"/>
      <c r="I25" s="393"/>
      <c r="J25" s="393"/>
      <c r="K25" s="393"/>
      <c r="L25" s="393"/>
      <c r="M25" s="393"/>
      <c r="N25" s="393"/>
      <c r="O25" s="393"/>
    </row>
    <row r="26" spans="1:15" s="57" customFormat="1" ht="158.4">
      <c r="A26" s="166" t="s">
        <v>14</v>
      </c>
      <c r="B26" s="178" t="s">
        <v>1234</v>
      </c>
      <c r="C26" s="394"/>
      <c r="D26" s="71" t="s">
        <v>18</v>
      </c>
      <c r="E26" s="437">
        <v>444</v>
      </c>
      <c r="F26" s="109">
        <f t="shared" ref="F26:F36" si="8">E26*C26</f>
        <v>0</v>
      </c>
      <c r="G26" s="436"/>
      <c r="H26" s="438">
        <f t="shared" ref="H26:H36" si="9">ROUND(G26,2)</f>
        <v>0</v>
      </c>
      <c r="I26" s="438">
        <f t="shared" ref="I26:I36" si="10">H26*E26</f>
        <v>0</v>
      </c>
      <c r="J26" s="438">
        <f t="shared" ref="J26:J36" si="11">G26-C26</f>
        <v>0</v>
      </c>
      <c r="K26" s="438">
        <f t="shared" ref="K26:K36" si="12">I26-F26</f>
        <v>0</v>
      </c>
      <c r="L26" s="438">
        <f t="shared" ref="L26:L36" si="13">IF(F26&lt;I26,(I26-F26),0)</f>
        <v>0</v>
      </c>
      <c r="M26" s="438">
        <f t="shared" ref="M26:M36" si="14">IF(F26&gt;I26,(I26-F26),0)</f>
        <v>0</v>
      </c>
      <c r="N26" s="438">
        <f t="shared" ref="N26:N36" si="15">M26+L26</f>
        <v>0</v>
      </c>
      <c r="O26" s="368"/>
    </row>
    <row r="27" spans="1:15" s="57" customFormat="1" ht="39.6">
      <c r="A27" s="166" t="s">
        <v>44</v>
      </c>
      <c r="B27" s="144" t="s">
        <v>1235</v>
      </c>
      <c r="C27" s="394"/>
      <c r="D27" s="71" t="s">
        <v>18</v>
      </c>
      <c r="E27" s="437">
        <v>699</v>
      </c>
      <c r="F27" s="109">
        <f t="shared" si="8"/>
        <v>0</v>
      </c>
      <c r="G27" s="436"/>
      <c r="H27" s="438">
        <f t="shared" si="9"/>
        <v>0</v>
      </c>
      <c r="I27" s="438">
        <f t="shared" si="10"/>
        <v>0</v>
      </c>
      <c r="J27" s="438">
        <f t="shared" si="11"/>
        <v>0</v>
      </c>
      <c r="K27" s="438">
        <f t="shared" si="12"/>
        <v>0</v>
      </c>
      <c r="L27" s="438">
        <f t="shared" si="13"/>
        <v>0</v>
      </c>
      <c r="M27" s="438">
        <f t="shared" si="14"/>
        <v>0</v>
      </c>
      <c r="N27" s="438">
        <f t="shared" si="15"/>
        <v>0</v>
      </c>
      <c r="O27" s="368"/>
    </row>
    <row r="28" spans="1:15" s="57" customFormat="1" ht="52.8">
      <c r="A28" s="166" t="s">
        <v>46</v>
      </c>
      <c r="B28" s="187" t="s">
        <v>49</v>
      </c>
      <c r="C28" s="394"/>
      <c r="D28" s="71" t="s">
        <v>18</v>
      </c>
      <c r="E28" s="437">
        <v>198</v>
      </c>
      <c r="F28" s="109">
        <f t="shared" si="8"/>
        <v>0</v>
      </c>
      <c r="G28" s="436"/>
      <c r="H28" s="438">
        <f t="shared" si="9"/>
        <v>0</v>
      </c>
      <c r="I28" s="438">
        <f t="shared" si="10"/>
        <v>0</v>
      </c>
      <c r="J28" s="438">
        <f t="shared" si="11"/>
        <v>0</v>
      </c>
      <c r="K28" s="438">
        <f t="shared" si="12"/>
        <v>0</v>
      </c>
      <c r="L28" s="438">
        <f t="shared" si="13"/>
        <v>0</v>
      </c>
      <c r="M28" s="438">
        <f t="shared" si="14"/>
        <v>0</v>
      </c>
      <c r="N28" s="438">
        <f t="shared" si="15"/>
        <v>0</v>
      </c>
      <c r="O28" s="368"/>
    </row>
    <row r="29" spans="1:15" s="57" customFormat="1" ht="39.6">
      <c r="A29" s="166" t="s">
        <v>47</v>
      </c>
      <c r="B29" s="144" t="s">
        <v>1236</v>
      </c>
      <c r="C29" s="394"/>
      <c r="D29" s="71" t="s">
        <v>18</v>
      </c>
      <c r="E29" s="437">
        <v>330</v>
      </c>
      <c r="F29" s="109">
        <f t="shared" si="8"/>
        <v>0</v>
      </c>
      <c r="G29" s="436"/>
      <c r="H29" s="438">
        <f t="shared" si="9"/>
        <v>0</v>
      </c>
      <c r="I29" s="438">
        <f t="shared" si="10"/>
        <v>0</v>
      </c>
      <c r="J29" s="438">
        <f t="shared" si="11"/>
        <v>0</v>
      </c>
      <c r="K29" s="438">
        <f t="shared" si="12"/>
        <v>0</v>
      </c>
      <c r="L29" s="438">
        <f t="shared" si="13"/>
        <v>0</v>
      </c>
      <c r="M29" s="438">
        <f t="shared" si="14"/>
        <v>0</v>
      </c>
      <c r="N29" s="438">
        <f t="shared" si="15"/>
        <v>0</v>
      </c>
      <c r="O29" s="368"/>
    </row>
    <row r="30" spans="1:15" s="57" customFormat="1" ht="66">
      <c r="A30" s="166" t="s">
        <v>50</v>
      </c>
      <c r="B30" s="187" t="s">
        <v>51</v>
      </c>
      <c r="C30" s="394"/>
      <c r="D30" s="71" t="s">
        <v>18</v>
      </c>
      <c r="E30" s="437">
        <v>336</v>
      </c>
      <c r="F30" s="109">
        <f t="shared" si="8"/>
        <v>0</v>
      </c>
      <c r="G30" s="436"/>
      <c r="H30" s="438">
        <f t="shared" si="9"/>
        <v>0</v>
      </c>
      <c r="I30" s="438">
        <f t="shared" si="10"/>
        <v>0</v>
      </c>
      <c r="J30" s="438">
        <f t="shared" si="11"/>
        <v>0</v>
      </c>
      <c r="K30" s="438">
        <f t="shared" si="12"/>
        <v>0</v>
      </c>
      <c r="L30" s="438">
        <f t="shared" si="13"/>
        <v>0</v>
      </c>
      <c r="M30" s="438">
        <f t="shared" si="14"/>
        <v>0</v>
      </c>
      <c r="N30" s="438">
        <f t="shared" si="15"/>
        <v>0</v>
      </c>
      <c r="O30" s="368"/>
    </row>
    <row r="31" spans="1:15" s="57" customFormat="1" ht="39.6">
      <c r="A31" s="166" t="s">
        <v>52</v>
      </c>
      <c r="B31" s="144" t="s">
        <v>1237</v>
      </c>
      <c r="C31" s="394"/>
      <c r="D31" s="71" t="s">
        <v>18</v>
      </c>
      <c r="E31" s="437">
        <v>453</v>
      </c>
      <c r="F31" s="109">
        <f t="shared" si="8"/>
        <v>0</v>
      </c>
      <c r="G31" s="436"/>
      <c r="H31" s="438">
        <f t="shared" si="9"/>
        <v>0</v>
      </c>
      <c r="I31" s="438">
        <f t="shared" si="10"/>
        <v>0</v>
      </c>
      <c r="J31" s="438">
        <f t="shared" si="11"/>
        <v>0</v>
      </c>
      <c r="K31" s="438">
        <f t="shared" si="12"/>
        <v>0</v>
      </c>
      <c r="L31" s="438">
        <f t="shared" si="13"/>
        <v>0</v>
      </c>
      <c r="M31" s="438">
        <f t="shared" si="14"/>
        <v>0</v>
      </c>
      <c r="N31" s="438">
        <f t="shared" si="15"/>
        <v>0</v>
      </c>
      <c r="O31" s="368"/>
    </row>
    <row r="32" spans="1:15" s="57" customFormat="1" ht="39.6">
      <c r="A32" s="166" t="s">
        <v>53</v>
      </c>
      <c r="B32" s="187" t="s">
        <v>54</v>
      </c>
      <c r="C32" s="394"/>
      <c r="D32" s="71" t="s">
        <v>18</v>
      </c>
      <c r="E32" s="437">
        <v>129</v>
      </c>
      <c r="F32" s="109">
        <f t="shared" si="8"/>
        <v>0</v>
      </c>
      <c r="G32" s="436"/>
      <c r="H32" s="438">
        <f t="shared" si="9"/>
        <v>0</v>
      </c>
      <c r="I32" s="438">
        <f t="shared" si="10"/>
        <v>0</v>
      </c>
      <c r="J32" s="438">
        <f t="shared" si="11"/>
        <v>0</v>
      </c>
      <c r="K32" s="438">
        <f t="shared" si="12"/>
        <v>0</v>
      </c>
      <c r="L32" s="438">
        <f t="shared" si="13"/>
        <v>0</v>
      </c>
      <c r="M32" s="438">
        <f t="shared" si="14"/>
        <v>0</v>
      </c>
      <c r="N32" s="438">
        <f t="shared" si="15"/>
        <v>0</v>
      </c>
      <c r="O32" s="368"/>
    </row>
    <row r="33" spans="1:15" s="57" customFormat="1" ht="39.6">
      <c r="A33" s="166" t="s">
        <v>16</v>
      </c>
      <c r="B33" s="144" t="s">
        <v>1238</v>
      </c>
      <c r="C33" s="394"/>
      <c r="D33" s="71" t="s">
        <v>18</v>
      </c>
      <c r="E33" s="437">
        <v>389</v>
      </c>
      <c r="F33" s="109">
        <f t="shared" si="8"/>
        <v>0</v>
      </c>
      <c r="G33" s="436"/>
      <c r="H33" s="438">
        <f t="shared" si="9"/>
        <v>0</v>
      </c>
      <c r="I33" s="438">
        <f t="shared" si="10"/>
        <v>0</v>
      </c>
      <c r="J33" s="438">
        <f t="shared" si="11"/>
        <v>0</v>
      </c>
      <c r="K33" s="438">
        <f t="shared" si="12"/>
        <v>0</v>
      </c>
      <c r="L33" s="438">
        <f t="shared" si="13"/>
        <v>0</v>
      </c>
      <c r="M33" s="438">
        <f t="shared" si="14"/>
        <v>0</v>
      </c>
      <c r="N33" s="438">
        <f t="shared" si="15"/>
        <v>0</v>
      </c>
      <c r="O33" s="368"/>
    </row>
    <row r="34" spans="1:15" s="57" customFormat="1" ht="39.6">
      <c r="A34" s="166" t="s">
        <v>55</v>
      </c>
      <c r="B34" s="144" t="s">
        <v>56</v>
      </c>
      <c r="C34" s="394"/>
      <c r="D34" s="71" t="s">
        <v>18</v>
      </c>
      <c r="E34" s="437">
        <v>468</v>
      </c>
      <c r="F34" s="109">
        <f t="shared" si="8"/>
        <v>0</v>
      </c>
      <c r="G34" s="436"/>
      <c r="H34" s="438">
        <f t="shared" si="9"/>
        <v>0</v>
      </c>
      <c r="I34" s="438">
        <f t="shared" si="10"/>
        <v>0</v>
      </c>
      <c r="J34" s="438">
        <f t="shared" si="11"/>
        <v>0</v>
      </c>
      <c r="K34" s="438">
        <f t="shared" si="12"/>
        <v>0</v>
      </c>
      <c r="L34" s="438">
        <f t="shared" si="13"/>
        <v>0</v>
      </c>
      <c r="M34" s="438">
        <f t="shared" si="14"/>
        <v>0</v>
      </c>
      <c r="N34" s="438">
        <f t="shared" si="15"/>
        <v>0</v>
      </c>
      <c r="O34" s="368"/>
    </row>
    <row r="35" spans="1:15" s="57" customFormat="1" ht="39.6">
      <c r="A35" s="166" t="s">
        <v>57</v>
      </c>
      <c r="B35" s="144" t="s">
        <v>58</v>
      </c>
      <c r="C35" s="394"/>
      <c r="D35" s="280" t="s">
        <v>59</v>
      </c>
      <c r="E35" s="441">
        <v>8559</v>
      </c>
      <c r="F35" s="109">
        <f t="shared" si="8"/>
        <v>0</v>
      </c>
      <c r="G35" s="436"/>
      <c r="H35" s="438">
        <f t="shared" si="9"/>
        <v>0</v>
      </c>
      <c r="I35" s="438">
        <f t="shared" si="10"/>
        <v>0</v>
      </c>
      <c r="J35" s="438">
        <f t="shared" si="11"/>
        <v>0</v>
      </c>
      <c r="K35" s="438">
        <f t="shared" si="12"/>
        <v>0</v>
      </c>
      <c r="L35" s="438">
        <f t="shared" si="13"/>
        <v>0</v>
      </c>
      <c r="M35" s="438">
        <f t="shared" si="14"/>
        <v>0</v>
      </c>
      <c r="N35" s="438">
        <f t="shared" si="15"/>
        <v>0</v>
      </c>
      <c r="O35" s="368"/>
    </row>
    <row r="36" spans="1:15" s="57" customFormat="1" ht="39.6">
      <c r="A36" s="166" t="s">
        <v>60</v>
      </c>
      <c r="B36" s="144" t="s">
        <v>61</v>
      </c>
      <c r="C36" s="394"/>
      <c r="D36" s="280" t="s">
        <v>59</v>
      </c>
      <c r="E36" s="441">
        <v>5720</v>
      </c>
      <c r="F36" s="109">
        <f t="shared" si="8"/>
        <v>0</v>
      </c>
      <c r="G36" s="436"/>
      <c r="H36" s="438">
        <f t="shared" si="9"/>
        <v>0</v>
      </c>
      <c r="I36" s="438">
        <f t="shared" si="10"/>
        <v>0</v>
      </c>
      <c r="J36" s="438">
        <f t="shared" si="11"/>
        <v>0</v>
      </c>
      <c r="K36" s="438">
        <f t="shared" si="12"/>
        <v>0</v>
      </c>
      <c r="L36" s="438">
        <f t="shared" si="13"/>
        <v>0</v>
      </c>
      <c r="M36" s="438">
        <f t="shared" si="14"/>
        <v>0</v>
      </c>
      <c r="N36" s="438">
        <f t="shared" si="15"/>
        <v>0</v>
      </c>
      <c r="O36" s="368"/>
    </row>
    <row r="37" spans="1:15" s="57" customFormat="1">
      <c r="A37" s="272"/>
      <c r="B37" s="81"/>
      <c r="C37" s="396"/>
      <c r="D37" s="103"/>
      <c r="E37" s="396"/>
      <c r="F37" s="396"/>
      <c r="G37" s="396"/>
      <c r="H37" s="396"/>
      <c r="I37" s="396"/>
      <c r="J37" s="396"/>
      <c r="K37" s="368"/>
      <c r="L37" s="368"/>
      <c r="M37" s="368"/>
      <c r="N37" s="368"/>
      <c r="O37" s="368"/>
    </row>
    <row r="38" spans="1:15" s="57" customFormat="1">
      <c r="A38" s="62">
        <v>4</v>
      </c>
      <c r="B38" s="60" t="s">
        <v>62</v>
      </c>
      <c r="C38" s="393"/>
      <c r="D38" s="61"/>
      <c r="E38" s="393"/>
      <c r="F38" s="393"/>
      <c r="G38" s="61"/>
      <c r="H38" s="393"/>
      <c r="I38" s="393"/>
      <c r="J38" s="393"/>
      <c r="K38" s="393"/>
      <c r="L38" s="393"/>
      <c r="M38" s="393"/>
      <c r="N38" s="393"/>
      <c r="O38" s="393"/>
    </row>
    <row r="39" spans="1:15" s="57" customFormat="1" ht="66">
      <c r="A39" s="272" t="s">
        <v>14</v>
      </c>
      <c r="B39" s="302" t="s">
        <v>1239</v>
      </c>
      <c r="C39" s="394">
        <v>2320</v>
      </c>
      <c r="D39" s="71" t="s">
        <v>18</v>
      </c>
      <c r="E39" s="437">
        <v>46</v>
      </c>
      <c r="F39" s="109">
        <f>E39*C39</f>
        <v>106720</v>
      </c>
      <c r="G39" s="439">
        <f>'Measurement sheet'!F100</f>
        <v>2317.1297</v>
      </c>
      <c r="H39" s="438">
        <f>ROUND(G39,2)</f>
        <v>2317.13</v>
      </c>
      <c r="I39" s="438">
        <f>H39*E39</f>
        <v>106587.98000000001</v>
      </c>
      <c r="J39" s="438">
        <f>G39-C39</f>
        <v>-2.8703000000000429</v>
      </c>
      <c r="K39" s="438">
        <f>I39-F39</f>
        <v>-132.01999999998952</v>
      </c>
      <c r="L39" s="438">
        <f>IF(F39&lt;I39,(I39-F39),0)</f>
        <v>0</v>
      </c>
      <c r="M39" s="438">
        <f>IF(F39&gt;I39,(I39-F39),0)</f>
        <v>-132.01999999998952</v>
      </c>
      <c r="N39" s="438">
        <f>M39+L39</f>
        <v>-132.01999999998952</v>
      </c>
      <c r="O39" s="368"/>
    </row>
    <row r="40" spans="1:15" s="57" customFormat="1" ht="66">
      <c r="A40" s="280" t="s">
        <v>44</v>
      </c>
      <c r="B40" s="187" t="s">
        <v>1240</v>
      </c>
      <c r="C40" s="394"/>
      <c r="D40" s="71" t="s">
        <v>18</v>
      </c>
      <c r="E40" s="442">
        <v>62</v>
      </c>
      <c r="F40" s="109">
        <f>E40*C40</f>
        <v>0</v>
      </c>
      <c r="G40" s="436"/>
      <c r="H40" s="438">
        <f>ROUND(G40,2)</f>
        <v>0</v>
      </c>
      <c r="I40" s="438">
        <f>H40*E40</f>
        <v>0</v>
      </c>
      <c r="J40" s="438">
        <f>G40-C40</f>
        <v>0</v>
      </c>
      <c r="K40" s="438">
        <f>I40-F40</f>
        <v>0</v>
      </c>
      <c r="L40" s="438">
        <f>IF(F40&lt;I40,(I40-F40),0)</f>
        <v>0</v>
      </c>
      <c r="M40" s="438">
        <f>IF(F40&gt;I40,(I40-F40),0)</f>
        <v>0</v>
      </c>
      <c r="N40" s="438">
        <f>M40+L40</f>
        <v>0</v>
      </c>
      <c r="O40" s="368"/>
    </row>
    <row r="41" spans="1:15" s="57" customFormat="1">
      <c r="A41" s="272"/>
      <c r="B41" s="65"/>
      <c r="C41" s="396"/>
      <c r="D41" s="103"/>
      <c r="E41" s="396"/>
      <c r="F41" s="396"/>
      <c r="G41" s="396"/>
      <c r="H41" s="396"/>
      <c r="I41" s="396"/>
      <c r="J41" s="396"/>
      <c r="K41" s="368"/>
      <c r="L41" s="368"/>
      <c r="M41" s="368"/>
      <c r="N41" s="368"/>
      <c r="O41" s="368"/>
    </row>
    <row r="42" spans="1:15" s="57" customFormat="1">
      <c r="A42" s="62">
        <v>5</v>
      </c>
      <c r="B42" s="60" t="s">
        <v>63</v>
      </c>
      <c r="C42" s="393"/>
      <c r="D42" s="61"/>
      <c r="E42" s="393"/>
      <c r="F42" s="393"/>
      <c r="G42" s="61"/>
      <c r="H42" s="393"/>
      <c r="I42" s="393"/>
      <c r="J42" s="393"/>
      <c r="K42" s="393"/>
      <c r="L42" s="393"/>
      <c r="M42" s="393"/>
      <c r="N42" s="393"/>
      <c r="O42" s="393"/>
    </row>
    <row r="43" spans="1:15" s="57" customFormat="1" ht="92.4">
      <c r="A43" s="272" t="s">
        <v>14</v>
      </c>
      <c r="B43" s="75" t="s">
        <v>64</v>
      </c>
      <c r="C43" s="394">
        <v>380</v>
      </c>
      <c r="D43" s="71" t="s">
        <v>18</v>
      </c>
      <c r="E43" s="437">
        <v>45</v>
      </c>
      <c r="F43" s="109">
        <f>E43*C43</f>
        <v>17100</v>
      </c>
      <c r="G43" s="439">
        <f>'Measurement sheet'!F113</f>
        <v>285.08350000000002</v>
      </c>
      <c r="H43" s="438">
        <f>ROUND(G43,2)</f>
        <v>285.08</v>
      </c>
      <c r="I43" s="438">
        <f>H43*E43</f>
        <v>12828.599999999999</v>
      </c>
      <c r="J43" s="438">
        <f>G43-C43</f>
        <v>-94.916499999999985</v>
      </c>
      <c r="K43" s="438">
        <f>I43-F43</f>
        <v>-4271.4000000000015</v>
      </c>
      <c r="L43" s="438">
        <f>IF(F43&lt;I43,(I43-F43),0)</f>
        <v>0</v>
      </c>
      <c r="M43" s="438">
        <f>IF(F43&gt;I43,(I43-F43),0)</f>
        <v>-4271.4000000000015</v>
      </c>
      <c r="N43" s="438">
        <f>M43+L43</f>
        <v>-4271.4000000000015</v>
      </c>
      <c r="O43" s="368"/>
    </row>
    <row r="44" spans="1:15" s="57" customFormat="1">
      <c r="A44" s="106"/>
      <c r="B44" s="65"/>
      <c r="C44" s="396"/>
      <c r="D44" s="103"/>
      <c r="E44" s="396"/>
      <c r="F44" s="396"/>
      <c r="G44" s="396"/>
      <c r="H44" s="396"/>
      <c r="I44" s="396"/>
      <c r="J44" s="396"/>
      <c r="K44" s="368"/>
      <c r="L44" s="368"/>
      <c r="M44" s="368"/>
      <c r="N44" s="368"/>
      <c r="O44" s="368"/>
    </row>
    <row r="45" spans="1:15" s="57" customFormat="1">
      <c r="A45" s="62">
        <v>6</v>
      </c>
      <c r="B45" s="60" t="s">
        <v>65</v>
      </c>
      <c r="C45" s="393"/>
      <c r="D45" s="61"/>
      <c r="E45" s="393"/>
      <c r="F45" s="393"/>
      <c r="G45" s="61"/>
      <c r="H45" s="393"/>
      <c r="I45" s="393"/>
      <c r="J45" s="393"/>
      <c r="K45" s="393"/>
      <c r="L45" s="393"/>
      <c r="M45" s="393"/>
      <c r="N45" s="393"/>
      <c r="O45" s="393"/>
    </row>
    <row r="46" spans="1:15" s="57" customFormat="1" ht="79.2">
      <c r="A46" s="272" t="s">
        <v>14</v>
      </c>
      <c r="B46" s="81" t="s">
        <v>66</v>
      </c>
      <c r="C46" s="394">
        <v>140</v>
      </c>
      <c r="D46" s="71" t="s">
        <v>18</v>
      </c>
      <c r="E46" s="437">
        <v>88</v>
      </c>
      <c r="F46" s="109">
        <f>E46*C46</f>
        <v>12320</v>
      </c>
      <c r="G46" s="439">
        <f>'Measurement sheet'!F121</f>
        <v>109.2835</v>
      </c>
      <c r="H46" s="438">
        <f>ROUND(G46,2)</f>
        <v>109.28</v>
      </c>
      <c r="I46" s="438">
        <f>H46*E46</f>
        <v>9616.64</v>
      </c>
      <c r="J46" s="438">
        <f>G46-C46</f>
        <v>-30.716499999999996</v>
      </c>
      <c r="K46" s="438">
        <f>I46-F46</f>
        <v>-2703.3600000000006</v>
      </c>
      <c r="L46" s="438">
        <f>IF(F46&lt;I46,(I46-F46),0)</f>
        <v>0</v>
      </c>
      <c r="M46" s="438">
        <f>IF(F46&gt;I46,(I46-F46),0)</f>
        <v>-2703.3600000000006</v>
      </c>
      <c r="N46" s="438">
        <f>M46+L46</f>
        <v>-2703.3600000000006</v>
      </c>
      <c r="O46" s="368"/>
    </row>
    <row r="47" spans="1:15" s="57" customFormat="1">
      <c r="A47" s="106"/>
      <c r="B47" s="65"/>
      <c r="C47" s="396"/>
      <c r="D47" s="103"/>
      <c r="E47" s="396"/>
      <c r="F47" s="396"/>
      <c r="G47" s="396"/>
      <c r="H47" s="396"/>
      <c r="I47" s="396"/>
      <c r="J47" s="396"/>
      <c r="K47" s="368"/>
      <c r="L47" s="368"/>
      <c r="M47" s="368"/>
      <c r="N47" s="368"/>
      <c r="O47" s="368"/>
    </row>
    <row r="48" spans="1:15" s="57" customFormat="1">
      <c r="A48" s="62">
        <v>7</v>
      </c>
      <c r="B48" s="60" t="s">
        <v>67</v>
      </c>
      <c r="C48" s="393"/>
      <c r="D48" s="61"/>
      <c r="E48" s="393"/>
      <c r="F48" s="393"/>
      <c r="G48" s="61"/>
      <c r="H48" s="393"/>
      <c r="I48" s="393"/>
      <c r="J48" s="393"/>
      <c r="K48" s="393"/>
      <c r="L48" s="393"/>
      <c r="M48" s="393"/>
      <c r="N48" s="393"/>
      <c r="O48" s="393"/>
    </row>
    <row r="49" spans="1:15" s="57" customFormat="1" ht="92.4">
      <c r="A49" s="166" t="s">
        <v>14</v>
      </c>
      <c r="B49" s="131" t="s">
        <v>1241</v>
      </c>
      <c r="C49" s="394">
        <v>100</v>
      </c>
      <c r="D49" s="71" t="s">
        <v>18</v>
      </c>
      <c r="E49" s="437">
        <v>50</v>
      </c>
      <c r="F49" s="109">
        <f t="shared" ref="F49:F55" si="16">E49*C49</f>
        <v>5000</v>
      </c>
      <c r="G49" s="439">
        <f>'Measurement sheet'!F131</f>
        <v>534.5</v>
      </c>
      <c r="H49" s="438">
        <f t="shared" ref="H49:H55" si="17">ROUND(G49,2)</f>
        <v>534.5</v>
      </c>
      <c r="I49" s="438">
        <f t="shared" ref="I49:I55" si="18">H49*E49</f>
        <v>26725</v>
      </c>
      <c r="J49" s="438">
        <f t="shared" ref="J49:J55" si="19">G49-C49</f>
        <v>434.5</v>
      </c>
      <c r="K49" s="438">
        <f t="shared" ref="K49:K55" si="20">I49-F49</f>
        <v>21725</v>
      </c>
      <c r="L49" s="438">
        <f t="shared" ref="L49:L55" si="21">IF(F49&lt;I49,(I49-F49),0)</f>
        <v>21725</v>
      </c>
      <c r="M49" s="438">
        <f t="shared" ref="M49:M55" si="22">IF(F49&gt;I49,(I49-F49),0)</f>
        <v>0</v>
      </c>
      <c r="N49" s="438">
        <f t="shared" ref="N49:N55" si="23">M49+L49</f>
        <v>21725</v>
      </c>
      <c r="O49" s="477" t="s">
        <v>1612</v>
      </c>
    </row>
    <row r="50" spans="1:15" s="57" customFormat="1">
      <c r="A50" s="166" t="s">
        <v>44</v>
      </c>
      <c r="B50" s="133" t="s">
        <v>68</v>
      </c>
      <c r="C50" s="394"/>
      <c r="D50" s="71" t="s">
        <v>18</v>
      </c>
      <c r="E50" s="437">
        <v>105</v>
      </c>
      <c r="F50" s="109">
        <f t="shared" si="16"/>
        <v>0</v>
      </c>
      <c r="G50" s="436"/>
      <c r="H50" s="438">
        <f t="shared" si="17"/>
        <v>0</v>
      </c>
      <c r="I50" s="438">
        <f t="shared" si="18"/>
        <v>0</v>
      </c>
      <c r="J50" s="438">
        <f t="shared" si="19"/>
        <v>0</v>
      </c>
      <c r="K50" s="438">
        <f t="shared" si="20"/>
        <v>0</v>
      </c>
      <c r="L50" s="438">
        <f t="shared" si="21"/>
        <v>0</v>
      </c>
      <c r="M50" s="438">
        <f t="shared" si="22"/>
        <v>0</v>
      </c>
      <c r="N50" s="438">
        <f t="shared" si="23"/>
        <v>0</v>
      </c>
      <c r="O50" s="368"/>
    </row>
    <row r="51" spans="1:15" s="57" customFormat="1" ht="39.6">
      <c r="A51" s="166" t="s">
        <v>46</v>
      </c>
      <c r="B51" s="144" t="s">
        <v>1242</v>
      </c>
      <c r="C51" s="394"/>
      <c r="D51" s="71" t="s">
        <v>18</v>
      </c>
      <c r="E51" s="437">
        <v>72</v>
      </c>
      <c r="F51" s="109">
        <f t="shared" si="16"/>
        <v>0</v>
      </c>
      <c r="G51" s="436"/>
      <c r="H51" s="438">
        <f t="shared" si="17"/>
        <v>0</v>
      </c>
      <c r="I51" s="438">
        <f t="shared" si="18"/>
        <v>0</v>
      </c>
      <c r="J51" s="438">
        <f t="shared" si="19"/>
        <v>0</v>
      </c>
      <c r="K51" s="438">
        <f t="shared" si="20"/>
        <v>0</v>
      </c>
      <c r="L51" s="438">
        <f t="shared" si="21"/>
        <v>0</v>
      </c>
      <c r="M51" s="438">
        <f t="shared" si="22"/>
        <v>0</v>
      </c>
      <c r="N51" s="438">
        <f t="shared" si="23"/>
        <v>0</v>
      </c>
      <c r="O51" s="368"/>
    </row>
    <row r="52" spans="1:15" s="57" customFormat="1" ht="39.6">
      <c r="A52" s="166" t="s">
        <v>47</v>
      </c>
      <c r="B52" s="144" t="s">
        <v>1243</v>
      </c>
      <c r="C52" s="394"/>
      <c r="D52" s="71" t="s">
        <v>18</v>
      </c>
      <c r="E52" s="437">
        <v>139</v>
      </c>
      <c r="F52" s="109">
        <f t="shared" si="16"/>
        <v>0</v>
      </c>
      <c r="G52" s="436"/>
      <c r="H52" s="438">
        <f t="shared" si="17"/>
        <v>0</v>
      </c>
      <c r="I52" s="438">
        <f t="shared" si="18"/>
        <v>0</v>
      </c>
      <c r="J52" s="438">
        <f t="shared" si="19"/>
        <v>0</v>
      </c>
      <c r="K52" s="438">
        <f t="shared" si="20"/>
        <v>0</v>
      </c>
      <c r="L52" s="438">
        <f t="shared" si="21"/>
        <v>0</v>
      </c>
      <c r="M52" s="438">
        <f t="shared" si="22"/>
        <v>0</v>
      </c>
      <c r="N52" s="438">
        <f t="shared" si="23"/>
        <v>0</v>
      </c>
      <c r="O52" s="368"/>
    </row>
    <row r="53" spans="1:15" s="57" customFormat="1" ht="26.4">
      <c r="A53" s="166" t="s">
        <v>50</v>
      </c>
      <c r="B53" s="133" t="s">
        <v>1244</v>
      </c>
      <c r="C53" s="394"/>
      <c r="D53" s="71" t="s">
        <v>18</v>
      </c>
      <c r="E53" s="437">
        <v>64</v>
      </c>
      <c r="F53" s="109">
        <f t="shared" si="16"/>
        <v>0</v>
      </c>
      <c r="G53" s="436"/>
      <c r="H53" s="438">
        <f t="shared" si="17"/>
        <v>0</v>
      </c>
      <c r="I53" s="438">
        <f t="shared" si="18"/>
        <v>0</v>
      </c>
      <c r="J53" s="438">
        <f t="shared" si="19"/>
        <v>0</v>
      </c>
      <c r="K53" s="438">
        <f t="shared" si="20"/>
        <v>0</v>
      </c>
      <c r="L53" s="438">
        <f t="shared" si="21"/>
        <v>0</v>
      </c>
      <c r="M53" s="438">
        <f t="shared" si="22"/>
        <v>0</v>
      </c>
      <c r="N53" s="438">
        <f t="shared" si="23"/>
        <v>0</v>
      </c>
      <c r="O53" s="368"/>
    </row>
    <row r="54" spans="1:15" s="57" customFormat="1" ht="39.6">
      <c r="A54" s="166" t="s">
        <v>52</v>
      </c>
      <c r="B54" s="144" t="s">
        <v>1245</v>
      </c>
      <c r="C54" s="394"/>
      <c r="D54" s="71" t="s">
        <v>18</v>
      </c>
      <c r="E54" s="437">
        <v>80</v>
      </c>
      <c r="F54" s="109">
        <f t="shared" si="16"/>
        <v>0</v>
      </c>
      <c r="G54" s="436"/>
      <c r="H54" s="438">
        <f t="shared" si="17"/>
        <v>0</v>
      </c>
      <c r="I54" s="438">
        <f t="shared" si="18"/>
        <v>0</v>
      </c>
      <c r="J54" s="438">
        <f t="shared" si="19"/>
        <v>0</v>
      </c>
      <c r="K54" s="438">
        <f t="shared" si="20"/>
        <v>0</v>
      </c>
      <c r="L54" s="438">
        <f t="shared" si="21"/>
        <v>0</v>
      </c>
      <c r="M54" s="438">
        <f t="shared" si="22"/>
        <v>0</v>
      </c>
      <c r="N54" s="438">
        <f t="shared" si="23"/>
        <v>0</v>
      </c>
      <c r="O54" s="368"/>
    </row>
    <row r="55" spans="1:15" s="57" customFormat="1" ht="79.2">
      <c r="A55" s="166" t="s">
        <v>53</v>
      </c>
      <c r="B55" s="144" t="s">
        <v>1246</v>
      </c>
      <c r="C55" s="394"/>
      <c r="D55" s="71" t="s">
        <v>18</v>
      </c>
      <c r="E55" s="437">
        <v>38</v>
      </c>
      <c r="F55" s="109">
        <f t="shared" si="16"/>
        <v>0</v>
      </c>
      <c r="G55" s="436"/>
      <c r="H55" s="438">
        <f t="shared" si="17"/>
        <v>0</v>
      </c>
      <c r="I55" s="438">
        <f t="shared" si="18"/>
        <v>0</v>
      </c>
      <c r="J55" s="438">
        <f t="shared" si="19"/>
        <v>0</v>
      </c>
      <c r="K55" s="438">
        <f t="shared" si="20"/>
        <v>0</v>
      </c>
      <c r="L55" s="438">
        <f t="shared" si="21"/>
        <v>0</v>
      </c>
      <c r="M55" s="438">
        <f t="shared" si="22"/>
        <v>0</v>
      </c>
      <c r="N55" s="438">
        <f t="shared" si="23"/>
        <v>0</v>
      </c>
      <c r="O55" s="368"/>
    </row>
    <row r="56" spans="1:15" s="57" customFormat="1">
      <c r="A56" s="106"/>
      <c r="B56" s="65"/>
      <c r="C56" s="396"/>
      <c r="D56" s="103"/>
      <c r="E56" s="396"/>
      <c r="F56" s="396"/>
      <c r="G56" s="396"/>
      <c r="H56" s="396"/>
      <c r="I56" s="396"/>
      <c r="J56" s="396"/>
      <c r="K56" s="368"/>
      <c r="L56" s="368"/>
      <c r="M56" s="368"/>
      <c r="N56" s="368"/>
      <c r="O56" s="368"/>
    </row>
    <row r="57" spans="1:15" s="57" customFormat="1">
      <c r="A57" s="62">
        <v>8</v>
      </c>
      <c r="B57" s="60" t="s">
        <v>69</v>
      </c>
      <c r="C57" s="393"/>
      <c r="D57" s="61"/>
      <c r="E57" s="393"/>
      <c r="F57" s="393"/>
      <c r="G57" s="61"/>
      <c r="H57" s="393"/>
      <c r="I57" s="393"/>
      <c r="J57" s="393"/>
      <c r="K57" s="393"/>
      <c r="L57" s="393"/>
      <c r="M57" s="393"/>
      <c r="N57" s="393"/>
      <c r="O57" s="393"/>
    </row>
    <row r="58" spans="1:15" s="57" customFormat="1" ht="409.6">
      <c r="A58" s="166" t="s">
        <v>14</v>
      </c>
      <c r="B58" s="303" t="s">
        <v>1247</v>
      </c>
      <c r="C58" s="394"/>
      <c r="D58" s="71" t="s">
        <v>18</v>
      </c>
      <c r="E58" s="437">
        <v>160</v>
      </c>
      <c r="F58" s="109">
        <f>E58*C58</f>
        <v>0</v>
      </c>
      <c r="G58" s="436"/>
      <c r="H58" s="438">
        <f>ROUND(G58,2)</f>
        <v>0</v>
      </c>
      <c r="I58" s="438">
        <f>H58*E58</f>
        <v>0</v>
      </c>
      <c r="J58" s="438">
        <f>G58-C58</f>
        <v>0</v>
      </c>
      <c r="K58" s="438">
        <f>I58-F58</f>
        <v>0</v>
      </c>
      <c r="L58" s="438">
        <f>IF(F58&lt;I58,(I58-F58),0)</f>
        <v>0</v>
      </c>
      <c r="M58" s="438">
        <f>IF(F58&gt;I58,(I58-F58),0)</f>
        <v>0</v>
      </c>
      <c r="N58" s="438">
        <f>M58+L58</f>
        <v>0</v>
      </c>
      <c r="O58" s="368"/>
    </row>
    <row r="59" spans="1:15" s="57" customFormat="1" ht="39.6">
      <c r="A59" s="166" t="s">
        <v>44</v>
      </c>
      <c r="B59" s="144" t="s">
        <v>1248</v>
      </c>
      <c r="C59" s="394"/>
      <c r="D59" s="71" t="s">
        <v>18</v>
      </c>
      <c r="E59" s="437">
        <v>254</v>
      </c>
      <c r="F59" s="109">
        <f>E59*C59</f>
        <v>0</v>
      </c>
      <c r="G59" s="436"/>
      <c r="H59" s="438">
        <f>ROUND(G59,2)</f>
        <v>0</v>
      </c>
      <c r="I59" s="438">
        <f>H59*E59</f>
        <v>0</v>
      </c>
      <c r="J59" s="438">
        <f>G59-C59</f>
        <v>0</v>
      </c>
      <c r="K59" s="438">
        <f>I59-F59</f>
        <v>0</v>
      </c>
      <c r="L59" s="438">
        <f>IF(F59&lt;I59,(I59-F59),0)</f>
        <v>0</v>
      </c>
      <c r="M59" s="438">
        <f>IF(F59&gt;I59,(I59-F59),0)</f>
        <v>0</v>
      </c>
      <c r="N59" s="438">
        <f>M59+L59</f>
        <v>0</v>
      </c>
      <c r="O59" s="368"/>
    </row>
    <row r="60" spans="1:15" s="57" customFormat="1">
      <c r="A60" s="106"/>
      <c r="B60" s="65"/>
      <c r="C60" s="396"/>
      <c r="D60" s="103"/>
      <c r="E60" s="396"/>
      <c r="F60" s="396"/>
      <c r="G60" s="396"/>
      <c r="H60" s="396"/>
      <c r="I60" s="396"/>
      <c r="J60" s="396"/>
      <c r="K60" s="368"/>
      <c r="L60" s="368"/>
      <c r="M60" s="368"/>
      <c r="N60" s="368"/>
      <c r="O60" s="368"/>
    </row>
    <row r="61" spans="1:15" s="57" customFormat="1">
      <c r="A61" s="62">
        <v>9</v>
      </c>
      <c r="B61" s="60" t="s">
        <v>70</v>
      </c>
      <c r="C61" s="393"/>
      <c r="D61" s="61"/>
      <c r="E61" s="393"/>
      <c r="F61" s="393"/>
      <c r="G61" s="61"/>
      <c r="H61" s="393"/>
      <c r="I61" s="393"/>
      <c r="J61" s="393"/>
      <c r="K61" s="393"/>
      <c r="L61" s="393"/>
      <c r="M61" s="393"/>
      <c r="N61" s="393"/>
      <c r="O61" s="393"/>
    </row>
    <row r="62" spans="1:15" s="57" customFormat="1">
      <c r="A62" s="304" t="s">
        <v>14</v>
      </c>
      <c r="B62" s="305" t="s">
        <v>71</v>
      </c>
      <c r="C62" s="397"/>
      <c r="D62" s="306"/>
      <c r="E62" s="397"/>
      <c r="F62" s="397"/>
      <c r="G62" s="397"/>
      <c r="H62" s="397"/>
      <c r="I62" s="397"/>
      <c r="J62" s="397"/>
      <c r="K62" s="397"/>
      <c r="L62" s="397"/>
      <c r="M62" s="397"/>
      <c r="N62" s="397"/>
      <c r="O62" s="397"/>
    </row>
    <row r="63" spans="1:15" s="57" customFormat="1" ht="118.8">
      <c r="A63" s="272" t="s">
        <v>16</v>
      </c>
      <c r="B63" s="303" t="s">
        <v>72</v>
      </c>
      <c r="C63" s="394">
        <v>2040</v>
      </c>
      <c r="D63" s="71" t="s">
        <v>18</v>
      </c>
      <c r="E63" s="437">
        <v>152</v>
      </c>
      <c r="F63" s="109">
        <f>E63*C63</f>
        <v>310080</v>
      </c>
      <c r="G63" s="439">
        <f>'Measurement sheet'!F145</f>
        <v>2009.7808000000005</v>
      </c>
      <c r="H63" s="438">
        <f>ROUND(G63,2)</f>
        <v>2009.78</v>
      </c>
      <c r="I63" s="438">
        <f>H63*E63</f>
        <v>305486.56</v>
      </c>
      <c r="J63" s="438">
        <f>G63-C63</f>
        <v>-30.219199999999546</v>
      </c>
      <c r="K63" s="438">
        <f>I63-F63</f>
        <v>-4593.4400000000023</v>
      </c>
      <c r="L63" s="438">
        <f>IF(F63&lt;I63,(I63-F63),0)</f>
        <v>0</v>
      </c>
      <c r="M63" s="438">
        <f>IF(F63&gt;I63,(I63-F63),0)</f>
        <v>-4593.4400000000023</v>
      </c>
      <c r="N63" s="438">
        <f>M63+L63</f>
        <v>-4593.4400000000023</v>
      </c>
      <c r="O63" s="368"/>
    </row>
    <row r="64" spans="1:15" s="57" customFormat="1" ht="43.2">
      <c r="A64" s="272" t="s">
        <v>19</v>
      </c>
      <c r="B64" s="322" t="s">
        <v>73</v>
      </c>
      <c r="C64" s="394"/>
      <c r="D64" s="71" t="s">
        <v>74</v>
      </c>
      <c r="E64" s="437">
        <v>66</v>
      </c>
      <c r="F64" s="109">
        <f>E64*C64</f>
        <v>0</v>
      </c>
      <c r="G64" s="439">
        <f>'Measurement sheet'!F150</f>
        <v>86.45</v>
      </c>
      <c r="H64" s="438">
        <f>ROUND(G64,2)</f>
        <v>86.45</v>
      </c>
      <c r="I64" s="438">
        <f>H64*E64</f>
        <v>5705.7</v>
      </c>
      <c r="J64" s="438">
        <f>G64-C64</f>
        <v>86.45</v>
      </c>
      <c r="K64" s="438">
        <f>I64-F64</f>
        <v>5705.7</v>
      </c>
      <c r="L64" s="438">
        <f>IF(F64&lt;I64,(I64-F64),0)</f>
        <v>5705.7</v>
      </c>
      <c r="M64" s="438">
        <f>IF(F64&gt;I64,(I64-F64),0)</f>
        <v>0</v>
      </c>
      <c r="N64" s="438">
        <f>M64+L64</f>
        <v>5705.7</v>
      </c>
      <c r="O64" s="479" t="s">
        <v>1611</v>
      </c>
    </row>
    <row r="65" spans="1:15" s="57" customFormat="1" ht="145.19999999999999">
      <c r="A65" s="272" t="s">
        <v>21</v>
      </c>
      <c r="B65" s="303" t="s">
        <v>1249</v>
      </c>
      <c r="C65" s="394">
        <v>1660</v>
      </c>
      <c r="D65" s="71" t="s">
        <v>18</v>
      </c>
      <c r="E65" s="437">
        <v>102</v>
      </c>
      <c r="F65" s="109">
        <f>E65*C65</f>
        <v>169320</v>
      </c>
      <c r="G65" s="439">
        <f>'Measurement sheet'!F179</f>
        <v>1359.3184999999994</v>
      </c>
      <c r="H65" s="438">
        <f>ROUND(G65,2)</f>
        <v>1359.32</v>
      </c>
      <c r="I65" s="438">
        <f>H65*E65</f>
        <v>138650.63999999998</v>
      </c>
      <c r="J65" s="438">
        <f>G65-C65</f>
        <v>-300.6815000000006</v>
      </c>
      <c r="K65" s="438">
        <f>I65-F65</f>
        <v>-30669.360000000015</v>
      </c>
      <c r="L65" s="438">
        <f>IF(F65&lt;I65,(I65-F65),0)</f>
        <v>0</v>
      </c>
      <c r="M65" s="438">
        <f>IF(F65&gt;I65,(I65-F65),0)</f>
        <v>-30669.360000000015</v>
      </c>
      <c r="N65" s="438">
        <f>M65+L65</f>
        <v>-30669.360000000015</v>
      </c>
      <c r="O65" s="368"/>
    </row>
    <row r="66" spans="1:15" s="57" customFormat="1" ht="28.8">
      <c r="A66" s="272" t="s">
        <v>23</v>
      </c>
      <c r="B66" s="81" t="s">
        <v>75</v>
      </c>
      <c r="C66" s="394">
        <v>100</v>
      </c>
      <c r="D66" s="71" t="s">
        <v>74</v>
      </c>
      <c r="E66" s="437">
        <v>57</v>
      </c>
      <c r="F66" s="109">
        <f>E66*C66</f>
        <v>5700</v>
      </c>
      <c r="G66" s="439">
        <f>'Measurement sheet'!F186</f>
        <v>129.88999999999999</v>
      </c>
      <c r="H66" s="438">
        <f>ROUND(G66,2)</f>
        <v>129.88999999999999</v>
      </c>
      <c r="I66" s="438">
        <f>H66*E66</f>
        <v>7403.73</v>
      </c>
      <c r="J66" s="438">
        <f>G66-C66</f>
        <v>29.889999999999986</v>
      </c>
      <c r="K66" s="438">
        <f>I66-F66</f>
        <v>1703.7299999999996</v>
      </c>
      <c r="L66" s="438">
        <f>IF(F66&lt;I66,(I66-F66),0)</f>
        <v>1703.7299999999996</v>
      </c>
      <c r="M66" s="438">
        <f>IF(F66&gt;I66,(I66-F66),0)</f>
        <v>0</v>
      </c>
      <c r="N66" s="438">
        <f>M66+L66</f>
        <v>1703.7299999999996</v>
      </c>
      <c r="O66" s="478" t="s">
        <v>1610</v>
      </c>
    </row>
    <row r="67" spans="1:15" s="57" customFormat="1">
      <c r="A67" s="106"/>
      <c r="B67" s="65"/>
      <c r="C67" s="396"/>
      <c r="D67" s="103"/>
      <c r="E67" s="396"/>
      <c r="F67" s="396"/>
      <c r="G67" s="396"/>
      <c r="H67" s="396"/>
      <c r="I67" s="396"/>
      <c r="J67" s="396"/>
      <c r="K67" s="368"/>
      <c r="L67" s="368"/>
      <c r="M67" s="368"/>
      <c r="N67" s="368"/>
      <c r="O67" s="368"/>
    </row>
    <row r="68" spans="1:15" s="57" customFormat="1">
      <c r="A68" s="304" t="s">
        <v>44</v>
      </c>
      <c r="B68" s="305" t="s">
        <v>76</v>
      </c>
      <c r="C68" s="397"/>
      <c r="D68" s="306"/>
      <c r="E68" s="397"/>
      <c r="F68" s="397"/>
      <c r="G68" s="397"/>
      <c r="H68" s="397"/>
      <c r="I68" s="397"/>
      <c r="J68" s="397"/>
      <c r="K68" s="397"/>
      <c r="L68" s="397"/>
      <c r="M68" s="397"/>
      <c r="N68" s="397"/>
      <c r="O68" s="397"/>
    </row>
    <row r="69" spans="1:15" s="57" customFormat="1" ht="132">
      <c r="A69" s="272" t="s">
        <v>16</v>
      </c>
      <c r="B69" s="81" t="s">
        <v>1250</v>
      </c>
      <c r="C69" s="394"/>
      <c r="D69" s="71" t="s">
        <v>18</v>
      </c>
      <c r="E69" s="437">
        <v>76</v>
      </c>
      <c r="F69" s="109">
        <f>E69*C69</f>
        <v>0</v>
      </c>
      <c r="G69" s="436"/>
      <c r="H69" s="438">
        <f>ROUND(G69,2)</f>
        <v>0</v>
      </c>
      <c r="I69" s="438">
        <f>H69*E69</f>
        <v>0</v>
      </c>
      <c r="J69" s="438">
        <f>G69-C69</f>
        <v>0</v>
      </c>
      <c r="K69" s="438">
        <f>I69-F69</f>
        <v>0</v>
      </c>
      <c r="L69" s="438">
        <f>IF(F69&lt;I69,(I69-F69),0)</f>
        <v>0</v>
      </c>
      <c r="M69" s="438">
        <f>IF(F69&gt;I69,(I69-F69),0)</f>
        <v>0</v>
      </c>
      <c r="N69" s="438">
        <f>M69+L69</f>
        <v>0</v>
      </c>
      <c r="O69" s="368"/>
    </row>
    <row r="70" spans="1:15" s="57" customFormat="1" ht="26.4">
      <c r="A70" s="272" t="s">
        <v>19</v>
      </c>
      <c r="B70" s="81" t="s">
        <v>77</v>
      </c>
      <c r="C70" s="394"/>
      <c r="D70" s="71" t="s">
        <v>74</v>
      </c>
      <c r="E70" s="437">
        <v>38</v>
      </c>
      <c r="F70" s="109">
        <f>E70*C70</f>
        <v>0</v>
      </c>
      <c r="G70" s="436"/>
      <c r="H70" s="438">
        <f>ROUND(G70,2)</f>
        <v>0</v>
      </c>
      <c r="I70" s="438">
        <f>H70*E70</f>
        <v>0</v>
      </c>
      <c r="J70" s="438">
        <f>G70-C70</f>
        <v>0</v>
      </c>
      <c r="K70" s="438">
        <f>I70-F70</f>
        <v>0</v>
      </c>
      <c r="L70" s="438">
        <f>IF(F70&lt;I70,(I70-F70),0)</f>
        <v>0</v>
      </c>
      <c r="M70" s="438">
        <f>IF(F70&gt;I70,(I70-F70),0)</f>
        <v>0</v>
      </c>
      <c r="N70" s="438">
        <f>M70+L70</f>
        <v>0</v>
      </c>
      <c r="O70" s="368"/>
    </row>
    <row r="71" spans="1:15" s="57" customFormat="1">
      <c r="A71" s="106"/>
      <c r="B71" s="65"/>
      <c r="C71" s="396"/>
      <c r="D71" s="103"/>
      <c r="E71" s="396"/>
      <c r="F71" s="396"/>
      <c r="G71" s="396"/>
      <c r="H71" s="396"/>
      <c r="I71" s="396"/>
      <c r="J71" s="396"/>
      <c r="K71" s="368"/>
      <c r="L71" s="368"/>
      <c r="M71" s="368"/>
      <c r="N71" s="368"/>
      <c r="O71" s="368"/>
    </row>
    <row r="72" spans="1:15" s="57" customFormat="1">
      <c r="A72" s="304" t="s">
        <v>46</v>
      </c>
      <c r="B72" s="305" t="s">
        <v>78</v>
      </c>
      <c r="C72" s="397"/>
      <c r="D72" s="306"/>
      <c r="E72" s="397"/>
      <c r="F72" s="397"/>
      <c r="G72" s="397"/>
      <c r="H72" s="397"/>
      <c r="I72" s="397"/>
      <c r="J72" s="397"/>
      <c r="K72" s="397"/>
      <c r="L72" s="397"/>
      <c r="M72" s="397"/>
      <c r="N72" s="397"/>
      <c r="O72" s="397"/>
    </row>
    <row r="73" spans="1:15" s="57" customFormat="1" ht="105.6">
      <c r="A73" s="272" t="s">
        <v>16</v>
      </c>
      <c r="B73" s="81" t="s">
        <v>1251</v>
      </c>
      <c r="C73" s="394"/>
      <c r="D73" s="71" t="s">
        <v>18</v>
      </c>
      <c r="E73" s="437">
        <v>317</v>
      </c>
      <c r="F73" s="109">
        <f>E73*C73</f>
        <v>0</v>
      </c>
      <c r="G73" s="436"/>
      <c r="H73" s="438">
        <f>ROUND(G73,2)</f>
        <v>0</v>
      </c>
      <c r="I73" s="438">
        <f>H73*E73</f>
        <v>0</v>
      </c>
      <c r="J73" s="438">
        <f>G73-C73</f>
        <v>0</v>
      </c>
      <c r="K73" s="438">
        <f>I73-F73</f>
        <v>0</v>
      </c>
      <c r="L73" s="438">
        <f>IF(F73&lt;I73,(I73-F73),0)</f>
        <v>0</v>
      </c>
      <c r="M73" s="438">
        <f>IF(F73&gt;I73,(I73-F73),0)</f>
        <v>0</v>
      </c>
      <c r="N73" s="438">
        <f>M73+L73</f>
        <v>0</v>
      </c>
      <c r="O73" s="368"/>
    </row>
    <row r="74" spans="1:15" s="57" customFormat="1">
      <c r="A74" s="272" t="s">
        <v>19</v>
      </c>
      <c r="B74" s="81" t="s">
        <v>79</v>
      </c>
      <c r="C74" s="394"/>
      <c r="D74" s="71" t="s">
        <v>74</v>
      </c>
      <c r="E74" s="437">
        <v>128</v>
      </c>
      <c r="F74" s="109">
        <f>E74*C74</f>
        <v>0</v>
      </c>
      <c r="G74" s="436"/>
      <c r="H74" s="438">
        <f>ROUND(G74,2)</f>
        <v>0</v>
      </c>
      <c r="I74" s="438">
        <f>H74*E74</f>
        <v>0</v>
      </c>
      <c r="J74" s="438">
        <f>G74-C74</f>
        <v>0</v>
      </c>
      <c r="K74" s="438">
        <f>I74-F74</f>
        <v>0</v>
      </c>
      <c r="L74" s="438">
        <f>IF(F74&lt;I74,(I74-F74),0)</f>
        <v>0</v>
      </c>
      <c r="M74" s="438">
        <f>IF(F74&gt;I74,(I74-F74),0)</f>
        <v>0</v>
      </c>
      <c r="N74" s="438">
        <f>M74+L74</f>
        <v>0</v>
      </c>
      <c r="O74" s="368"/>
    </row>
    <row r="75" spans="1:15" s="57" customFormat="1">
      <c r="A75" s="106"/>
      <c r="B75" s="65"/>
      <c r="C75" s="396"/>
      <c r="D75" s="103"/>
      <c r="E75" s="396"/>
      <c r="F75" s="396"/>
      <c r="G75" s="396"/>
      <c r="H75" s="396"/>
      <c r="I75" s="396"/>
      <c r="J75" s="396"/>
      <c r="K75" s="368"/>
      <c r="L75" s="368"/>
      <c r="M75" s="368"/>
      <c r="N75" s="368"/>
      <c r="O75" s="368"/>
    </row>
    <row r="76" spans="1:15" s="57" customFormat="1" ht="26.4">
      <c r="A76" s="304" t="s">
        <v>47</v>
      </c>
      <c r="B76" s="305" t="s">
        <v>1252</v>
      </c>
      <c r="C76" s="398"/>
      <c r="D76" s="307"/>
      <c r="E76" s="398"/>
      <c r="F76" s="398"/>
      <c r="G76" s="397"/>
      <c r="H76" s="397"/>
      <c r="I76" s="397"/>
      <c r="J76" s="397"/>
      <c r="K76" s="397"/>
      <c r="L76" s="397"/>
      <c r="M76" s="397"/>
      <c r="N76" s="397"/>
      <c r="O76" s="397"/>
    </row>
    <row r="77" spans="1:15" s="57" customFormat="1" ht="52.8">
      <c r="A77" s="272" t="s">
        <v>16</v>
      </c>
      <c r="B77" s="81" t="s">
        <v>1253</v>
      </c>
      <c r="C77" s="394"/>
      <c r="D77" s="71" t="s">
        <v>18</v>
      </c>
      <c r="E77" s="443">
        <v>122</v>
      </c>
      <c r="F77" s="109">
        <f>E77*C77</f>
        <v>0</v>
      </c>
      <c r="G77" s="436"/>
      <c r="H77" s="438">
        <f>ROUND(G77,2)</f>
        <v>0</v>
      </c>
      <c r="I77" s="438">
        <f>H77*E77</f>
        <v>0</v>
      </c>
      <c r="J77" s="438">
        <f>G77-C77</f>
        <v>0</v>
      </c>
      <c r="K77" s="438">
        <f>I77-F77</f>
        <v>0</v>
      </c>
      <c r="L77" s="438">
        <f>IF(F77&lt;I77,(I77-F77),0)</f>
        <v>0</v>
      </c>
      <c r="M77" s="438">
        <f>IF(F77&gt;I77,(I77-F77),0)</f>
        <v>0</v>
      </c>
      <c r="N77" s="438">
        <f>M77+L77</f>
        <v>0</v>
      </c>
      <c r="O77" s="368"/>
    </row>
    <row r="78" spans="1:15" s="57" customFormat="1">
      <c r="A78" s="272"/>
      <c r="B78" s="81"/>
      <c r="C78" s="109"/>
      <c r="D78" s="71"/>
      <c r="E78" s="109"/>
      <c r="F78" s="109"/>
      <c r="G78" s="109"/>
      <c r="H78" s="109"/>
      <c r="I78" s="109"/>
      <c r="J78" s="109"/>
      <c r="K78" s="368"/>
      <c r="L78" s="368"/>
      <c r="M78" s="368"/>
      <c r="N78" s="368"/>
      <c r="O78" s="368"/>
    </row>
    <row r="79" spans="1:15" s="57" customFormat="1">
      <c r="A79" s="308" t="s">
        <v>50</v>
      </c>
      <c r="B79" s="305" t="s">
        <v>1254</v>
      </c>
      <c r="C79" s="398"/>
      <c r="D79" s="307"/>
      <c r="E79" s="398"/>
      <c r="F79" s="398"/>
      <c r="G79" s="397"/>
      <c r="H79" s="397"/>
      <c r="I79" s="397"/>
      <c r="J79" s="397"/>
      <c r="K79" s="397"/>
      <c r="L79" s="397"/>
      <c r="M79" s="397"/>
      <c r="N79" s="397"/>
      <c r="O79" s="397"/>
    </row>
    <row r="80" spans="1:15" s="57" customFormat="1" ht="79.2">
      <c r="A80" s="309" t="s">
        <v>16</v>
      </c>
      <c r="B80" s="81" t="s">
        <v>1255</v>
      </c>
      <c r="C80" s="394"/>
      <c r="D80" s="71" t="s">
        <v>18</v>
      </c>
      <c r="E80" s="443">
        <v>152</v>
      </c>
      <c r="F80" s="109">
        <f>E80*C80</f>
        <v>0</v>
      </c>
      <c r="G80" s="436"/>
      <c r="H80" s="438">
        <f>ROUND(G80,2)</f>
        <v>0</v>
      </c>
      <c r="I80" s="438">
        <f>H80*E80</f>
        <v>0</v>
      </c>
      <c r="J80" s="438">
        <f>G80-C80</f>
        <v>0</v>
      </c>
      <c r="K80" s="438">
        <f>I80-F80</f>
        <v>0</v>
      </c>
      <c r="L80" s="438">
        <f>IF(F80&lt;I80,(I80-F80),0)</f>
        <v>0</v>
      </c>
      <c r="M80" s="438">
        <f>IF(F80&gt;I80,(I80-F80),0)</f>
        <v>0</v>
      </c>
      <c r="N80" s="438">
        <f>M80+L80</f>
        <v>0</v>
      </c>
      <c r="O80" s="368"/>
    </row>
    <row r="81" spans="1:15" s="57" customFormat="1">
      <c r="A81" s="309"/>
      <c r="B81" s="81"/>
      <c r="C81" s="399"/>
      <c r="D81" s="310"/>
      <c r="E81" s="399"/>
      <c r="F81" s="399"/>
      <c r="G81" s="399"/>
      <c r="H81" s="399"/>
      <c r="I81" s="399"/>
      <c r="J81" s="399"/>
      <c r="K81" s="368"/>
      <c r="L81" s="368"/>
      <c r="M81" s="368"/>
      <c r="N81" s="368"/>
      <c r="O81" s="368"/>
    </row>
    <row r="82" spans="1:15" s="57" customFormat="1">
      <c r="A82" s="308" t="s">
        <v>52</v>
      </c>
      <c r="B82" s="305" t="s">
        <v>80</v>
      </c>
      <c r="C82" s="398"/>
      <c r="D82" s="307"/>
      <c r="E82" s="398"/>
      <c r="F82" s="398"/>
      <c r="G82" s="397"/>
      <c r="H82" s="397"/>
      <c r="I82" s="397"/>
      <c r="J82" s="397"/>
      <c r="K82" s="397"/>
      <c r="L82" s="397"/>
      <c r="M82" s="397"/>
      <c r="N82" s="397"/>
      <c r="O82" s="397"/>
    </row>
    <row r="83" spans="1:15" s="57" customFormat="1" ht="52.8">
      <c r="A83" s="309" t="s">
        <v>16</v>
      </c>
      <c r="B83" s="81" t="s">
        <v>81</v>
      </c>
      <c r="C83" s="394">
        <v>430</v>
      </c>
      <c r="D83" s="71" t="s">
        <v>18</v>
      </c>
      <c r="E83" s="443">
        <v>105</v>
      </c>
      <c r="F83" s="109">
        <f>E83*C83</f>
        <v>45150</v>
      </c>
      <c r="G83" s="439">
        <f>'Measurement sheet'!F195</f>
        <v>418.51639999999998</v>
      </c>
      <c r="H83" s="438">
        <f>ROUND(G83,2)</f>
        <v>418.52</v>
      </c>
      <c r="I83" s="438">
        <f>H83*E83</f>
        <v>43944.6</v>
      </c>
      <c r="J83" s="438">
        <f>G83-C83</f>
        <v>-11.483600000000024</v>
      </c>
      <c r="K83" s="438">
        <f>I83-F83</f>
        <v>-1205.4000000000015</v>
      </c>
      <c r="L83" s="438">
        <f>IF(F83&lt;I83,(I83-F83),0)</f>
        <v>0</v>
      </c>
      <c r="M83" s="438">
        <f>IF(F83&gt;I83,(I83-F83),0)</f>
        <v>-1205.4000000000015</v>
      </c>
      <c r="N83" s="438">
        <f>M83+L83</f>
        <v>-1205.4000000000015</v>
      </c>
      <c r="O83" s="368"/>
    </row>
    <row r="84" spans="1:15" s="57" customFormat="1">
      <c r="A84" s="309"/>
      <c r="B84" s="81"/>
      <c r="C84" s="399"/>
      <c r="D84" s="310"/>
      <c r="E84" s="399"/>
      <c r="F84" s="399"/>
      <c r="G84" s="399"/>
      <c r="H84" s="399"/>
      <c r="I84" s="399"/>
      <c r="J84" s="399"/>
      <c r="K84" s="368"/>
      <c r="L84" s="368"/>
      <c r="M84" s="368"/>
      <c r="N84" s="368"/>
      <c r="O84" s="368"/>
    </row>
    <row r="85" spans="1:15" s="57" customFormat="1">
      <c r="A85" s="308" t="s">
        <v>53</v>
      </c>
      <c r="B85" s="305" t="s">
        <v>82</v>
      </c>
      <c r="C85" s="397"/>
      <c r="D85" s="306"/>
      <c r="E85" s="397"/>
      <c r="F85" s="397"/>
      <c r="G85" s="397"/>
      <c r="H85" s="397"/>
      <c r="I85" s="397"/>
      <c r="J85" s="397"/>
      <c r="K85" s="397"/>
      <c r="L85" s="397"/>
      <c r="M85" s="397"/>
      <c r="N85" s="397"/>
      <c r="O85" s="397"/>
    </row>
    <row r="86" spans="1:15" s="57" customFormat="1" ht="66">
      <c r="A86" s="311" t="s">
        <v>16</v>
      </c>
      <c r="B86" s="81" t="s">
        <v>83</v>
      </c>
      <c r="C86" s="394">
        <v>80</v>
      </c>
      <c r="D86" s="71" t="s">
        <v>18</v>
      </c>
      <c r="E86" s="442">
        <v>339</v>
      </c>
      <c r="F86" s="109">
        <f>E86*C86</f>
        <v>27120</v>
      </c>
      <c r="G86" s="439">
        <f>'Measurement sheet'!F200</f>
        <v>73.324399999999997</v>
      </c>
      <c r="H86" s="438">
        <f>ROUND(G86,2)</f>
        <v>73.319999999999993</v>
      </c>
      <c r="I86" s="438">
        <f>H86*E86</f>
        <v>24855.479999999996</v>
      </c>
      <c r="J86" s="438">
        <f>G86-C86</f>
        <v>-6.6756000000000029</v>
      </c>
      <c r="K86" s="438">
        <f>I86-F86</f>
        <v>-2264.5200000000041</v>
      </c>
      <c r="L86" s="438">
        <f>IF(F86&lt;I86,(I86-F86),0)</f>
        <v>0</v>
      </c>
      <c r="M86" s="438">
        <f>IF(F86&gt;I86,(I86-F86),0)</f>
        <v>-2264.5200000000041</v>
      </c>
      <c r="N86" s="438">
        <f>M86+L86</f>
        <v>-2264.5200000000041</v>
      </c>
      <c r="O86" s="368"/>
    </row>
    <row r="87" spans="1:15" s="57" customFormat="1" ht="52.8">
      <c r="A87" s="311" t="s">
        <v>19</v>
      </c>
      <c r="B87" s="81" t="s">
        <v>84</v>
      </c>
      <c r="C87" s="394"/>
      <c r="D87" s="71" t="s">
        <v>18</v>
      </c>
      <c r="E87" s="442">
        <v>350</v>
      </c>
      <c r="F87" s="109">
        <f>E87*C87</f>
        <v>0</v>
      </c>
      <c r="G87" s="436"/>
      <c r="H87" s="438">
        <f>ROUND(G87,2)</f>
        <v>0</v>
      </c>
      <c r="I87" s="438">
        <f>H87*E87</f>
        <v>0</v>
      </c>
      <c r="J87" s="438">
        <f>G87-C87</f>
        <v>0</v>
      </c>
      <c r="K87" s="438">
        <f>I87-F87</f>
        <v>0</v>
      </c>
      <c r="L87" s="438">
        <f>IF(F87&lt;I87,(I87-F87),0)</f>
        <v>0</v>
      </c>
      <c r="M87" s="438">
        <f>IF(F87&gt;I87,(I87-F87),0)</f>
        <v>0</v>
      </c>
      <c r="N87" s="438">
        <f>M87+L87</f>
        <v>0</v>
      </c>
      <c r="O87" s="368"/>
    </row>
    <row r="88" spans="1:15" s="57" customFormat="1">
      <c r="A88" s="272"/>
      <c r="B88" s="81"/>
      <c r="C88" s="396"/>
      <c r="D88" s="103"/>
      <c r="E88" s="396"/>
      <c r="F88" s="396"/>
      <c r="G88" s="396"/>
      <c r="H88" s="396"/>
      <c r="I88" s="396"/>
      <c r="J88" s="396"/>
      <c r="K88" s="368"/>
      <c r="L88" s="368"/>
      <c r="M88" s="368"/>
      <c r="N88" s="368"/>
      <c r="O88" s="368"/>
    </row>
    <row r="89" spans="1:15" s="57" customFormat="1">
      <c r="A89" s="304" t="s">
        <v>85</v>
      </c>
      <c r="B89" s="305" t="s">
        <v>86</v>
      </c>
      <c r="C89" s="397"/>
      <c r="D89" s="306"/>
      <c r="E89" s="397"/>
      <c r="F89" s="397"/>
      <c r="G89" s="397"/>
      <c r="H89" s="397"/>
      <c r="I89" s="397"/>
      <c r="J89" s="397"/>
      <c r="K89" s="397"/>
      <c r="L89" s="397"/>
      <c r="M89" s="397"/>
      <c r="N89" s="397"/>
      <c r="O89" s="397"/>
    </row>
    <row r="90" spans="1:15" s="57" customFormat="1" ht="52.8">
      <c r="A90" s="272" t="s">
        <v>16</v>
      </c>
      <c r="B90" s="81" t="s">
        <v>87</v>
      </c>
      <c r="C90" s="394"/>
      <c r="D90" s="71" t="s">
        <v>18</v>
      </c>
      <c r="E90" s="442">
        <v>12</v>
      </c>
      <c r="F90" s="109">
        <f>E90*C90</f>
        <v>0</v>
      </c>
      <c r="G90" s="436"/>
      <c r="H90" s="438">
        <f>ROUND(G90,2)</f>
        <v>0</v>
      </c>
      <c r="I90" s="438">
        <f>H90*E90</f>
        <v>0</v>
      </c>
      <c r="J90" s="438">
        <f>G90-C90</f>
        <v>0</v>
      </c>
      <c r="K90" s="438">
        <f>I90-F90</f>
        <v>0</v>
      </c>
      <c r="L90" s="438">
        <f>IF(F90&lt;I90,(I90-F90),0)</f>
        <v>0</v>
      </c>
      <c r="M90" s="438">
        <f>IF(F90&gt;I90,(I90-F90),0)</f>
        <v>0</v>
      </c>
      <c r="N90" s="438">
        <f>M90+L90</f>
        <v>0</v>
      </c>
      <c r="O90" s="368"/>
    </row>
    <row r="91" spans="1:15" s="57" customFormat="1" ht="52.8">
      <c r="A91" s="272" t="s">
        <v>19</v>
      </c>
      <c r="B91" s="81" t="s">
        <v>88</v>
      </c>
      <c r="C91" s="394">
        <v>2540</v>
      </c>
      <c r="D91" s="71" t="s">
        <v>18</v>
      </c>
      <c r="E91" s="442">
        <v>12</v>
      </c>
      <c r="F91" s="109">
        <f>E91*C91</f>
        <v>30480</v>
      </c>
      <c r="G91" s="439">
        <f>'Measurement sheet'!F207</f>
        <v>2049.0880000000002</v>
      </c>
      <c r="H91" s="438">
        <f>ROUND(G91,2)</f>
        <v>2049.09</v>
      </c>
      <c r="I91" s="438">
        <f>H91*E91</f>
        <v>24589.08</v>
      </c>
      <c r="J91" s="438">
        <f>G91-C91</f>
        <v>-490.91199999999981</v>
      </c>
      <c r="K91" s="438">
        <f>I91-F91</f>
        <v>-5890.9199999999983</v>
      </c>
      <c r="L91" s="438">
        <f>IF(F91&lt;I91,(I91-F91),0)</f>
        <v>0</v>
      </c>
      <c r="M91" s="438">
        <f>IF(F91&gt;I91,(I91-F91),0)</f>
        <v>-5890.9199999999983</v>
      </c>
      <c r="N91" s="438">
        <f>M91+L91</f>
        <v>-5890.9199999999983</v>
      </c>
      <c r="O91" s="368"/>
    </row>
    <row r="92" spans="1:15" s="57" customFormat="1">
      <c r="A92" s="272"/>
      <c r="B92" s="65"/>
      <c r="C92" s="396"/>
      <c r="D92" s="103"/>
      <c r="E92" s="396"/>
      <c r="F92" s="396"/>
      <c r="G92" s="396"/>
      <c r="H92" s="396"/>
      <c r="I92" s="396"/>
      <c r="J92" s="396"/>
      <c r="K92" s="368"/>
      <c r="L92" s="368"/>
      <c r="M92" s="368"/>
      <c r="N92" s="368"/>
      <c r="O92" s="368"/>
    </row>
    <row r="93" spans="1:15" s="57" customFormat="1">
      <c r="A93" s="304" t="s">
        <v>16</v>
      </c>
      <c r="B93" s="305" t="s">
        <v>89</v>
      </c>
      <c r="C93" s="397"/>
      <c r="D93" s="306"/>
      <c r="E93" s="397"/>
      <c r="F93" s="397"/>
      <c r="G93" s="397"/>
      <c r="H93" s="397"/>
      <c r="I93" s="397"/>
      <c r="J93" s="397"/>
      <c r="K93" s="397"/>
      <c r="L93" s="397"/>
      <c r="M93" s="397"/>
      <c r="N93" s="397"/>
      <c r="O93" s="397"/>
    </row>
    <row r="94" spans="1:15" s="57" customFormat="1" ht="118.8">
      <c r="A94" s="272" t="s">
        <v>16</v>
      </c>
      <c r="B94" s="81" t="s">
        <v>1256</v>
      </c>
      <c r="C94" s="394"/>
      <c r="D94" s="71" t="s">
        <v>18</v>
      </c>
      <c r="E94" s="442">
        <v>76</v>
      </c>
      <c r="F94" s="109">
        <f>E94*C94</f>
        <v>0</v>
      </c>
      <c r="G94" s="436"/>
      <c r="H94" s="438">
        <f>ROUND(G94,2)</f>
        <v>0</v>
      </c>
      <c r="I94" s="438">
        <f>H94*E94</f>
        <v>0</v>
      </c>
      <c r="J94" s="438">
        <f>G94-C94</f>
        <v>0</v>
      </c>
      <c r="K94" s="438">
        <f>I94-F94</f>
        <v>0</v>
      </c>
      <c r="L94" s="438">
        <f>IF(F94&lt;I94,(I94-F94),0)</f>
        <v>0</v>
      </c>
      <c r="M94" s="438">
        <f>IF(F94&gt;I94,(I94-F94),0)</f>
        <v>0</v>
      </c>
      <c r="N94" s="438">
        <f>M94+L94</f>
        <v>0</v>
      </c>
      <c r="O94" s="368"/>
    </row>
    <row r="95" spans="1:15" s="57" customFormat="1" ht="118.8">
      <c r="A95" s="272" t="s">
        <v>19</v>
      </c>
      <c r="B95" s="144" t="s">
        <v>1257</v>
      </c>
      <c r="C95" s="394"/>
      <c r="D95" s="71" t="s">
        <v>18</v>
      </c>
      <c r="E95" s="442">
        <v>99</v>
      </c>
      <c r="F95" s="109">
        <f>E95*C95</f>
        <v>0</v>
      </c>
      <c r="G95" s="436"/>
      <c r="H95" s="438">
        <f>ROUND(G95,2)</f>
        <v>0</v>
      </c>
      <c r="I95" s="438">
        <f>H95*E95</f>
        <v>0</v>
      </c>
      <c r="J95" s="438">
        <f>G95-C95</f>
        <v>0</v>
      </c>
      <c r="K95" s="438">
        <f>I95-F95</f>
        <v>0</v>
      </c>
      <c r="L95" s="438">
        <f>IF(F95&lt;I95,(I95-F95),0)</f>
        <v>0</v>
      </c>
      <c r="M95" s="438">
        <f>IF(F95&gt;I95,(I95-F95),0)</f>
        <v>0</v>
      </c>
      <c r="N95" s="438">
        <f>M95+L95</f>
        <v>0</v>
      </c>
      <c r="O95" s="368"/>
    </row>
    <row r="96" spans="1:15" s="57" customFormat="1">
      <c r="A96" s="106"/>
      <c r="B96" s="65"/>
      <c r="C96" s="396"/>
      <c r="D96" s="103"/>
      <c r="E96" s="396"/>
      <c r="F96" s="396"/>
      <c r="G96" s="396"/>
      <c r="H96" s="396"/>
      <c r="I96" s="396"/>
      <c r="J96" s="396"/>
      <c r="K96" s="368"/>
      <c r="L96" s="368"/>
      <c r="M96" s="368"/>
      <c r="N96" s="368"/>
      <c r="O96" s="368"/>
    </row>
    <row r="97" spans="1:15" s="57" customFormat="1">
      <c r="A97" s="62">
        <v>10</v>
      </c>
      <c r="B97" s="60" t="s">
        <v>90</v>
      </c>
      <c r="C97" s="393"/>
      <c r="D97" s="61"/>
      <c r="E97" s="393"/>
      <c r="F97" s="393"/>
      <c r="G97" s="61"/>
      <c r="H97" s="393"/>
      <c r="I97" s="393"/>
      <c r="J97" s="393"/>
      <c r="K97" s="393"/>
      <c r="L97" s="393"/>
      <c r="M97" s="393"/>
      <c r="N97" s="393"/>
      <c r="O97" s="393"/>
    </row>
    <row r="98" spans="1:15" s="57" customFormat="1" ht="145.19999999999999">
      <c r="A98" s="272" t="s">
        <v>14</v>
      </c>
      <c r="B98" s="81" t="s">
        <v>1258</v>
      </c>
      <c r="C98" s="394">
        <v>20</v>
      </c>
      <c r="D98" s="71" t="s">
        <v>74</v>
      </c>
      <c r="E98" s="437">
        <v>2796</v>
      </c>
      <c r="F98" s="109">
        <f t="shared" ref="F98:F103" si="24">E98*C98</f>
        <v>55920</v>
      </c>
      <c r="G98" s="439">
        <f>'Measurement sheet'!F210</f>
        <v>20</v>
      </c>
      <c r="H98" s="438">
        <f t="shared" ref="H98:H103" si="25">ROUND(G98,2)</f>
        <v>20</v>
      </c>
      <c r="I98" s="438">
        <f t="shared" ref="I98:I103" si="26">H98*E98</f>
        <v>55920</v>
      </c>
      <c r="J98" s="438">
        <f t="shared" ref="J98:J103" si="27">G98-C98</f>
        <v>0</v>
      </c>
      <c r="K98" s="438">
        <f t="shared" ref="K98:K103" si="28">I98-F98</f>
        <v>0</v>
      </c>
      <c r="L98" s="438">
        <f t="shared" ref="L98:L103" si="29">IF(F98&lt;I98,(I98-F98),0)</f>
        <v>0</v>
      </c>
      <c r="M98" s="438">
        <f t="shared" ref="M98:M103" si="30">IF(F98&gt;I98,(I98-F98),0)</f>
        <v>0</v>
      </c>
      <c r="N98" s="438">
        <f t="shared" ref="N98:N103" si="31">M98+L98</f>
        <v>0</v>
      </c>
      <c r="O98" s="368"/>
    </row>
    <row r="99" spans="1:15" s="57" customFormat="1" ht="52.8">
      <c r="A99" s="272" t="s">
        <v>44</v>
      </c>
      <c r="B99" s="81" t="s">
        <v>1259</v>
      </c>
      <c r="C99" s="394"/>
      <c r="D99" s="71" t="s">
        <v>74</v>
      </c>
      <c r="E99" s="437">
        <v>1483</v>
      </c>
      <c r="F99" s="109">
        <f t="shared" si="24"/>
        <v>0</v>
      </c>
      <c r="G99" s="436"/>
      <c r="H99" s="438">
        <f t="shared" si="25"/>
        <v>0</v>
      </c>
      <c r="I99" s="438">
        <f t="shared" si="26"/>
        <v>0</v>
      </c>
      <c r="J99" s="438">
        <f t="shared" si="27"/>
        <v>0</v>
      </c>
      <c r="K99" s="438">
        <f t="shared" si="28"/>
        <v>0</v>
      </c>
      <c r="L99" s="438">
        <f t="shared" si="29"/>
        <v>0</v>
      </c>
      <c r="M99" s="438">
        <f t="shared" si="30"/>
        <v>0</v>
      </c>
      <c r="N99" s="438">
        <f t="shared" si="31"/>
        <v>0</v>
      </c>
      <c r="O99" s="368"/>
    </row>
    <row r="100" spans="1:15" s="57" customFormat="1" ht="79.2">
      <c r="A100" s="272" t="s">
        <v>46</v>
      </c>
      <c r="B100" s="81" t="s">
        <v>1260</v>
      </c>
      <c r="C100" s="394"/>
      <c r="D100" s="71" t="s">
        <v>74</v>
      </c>
      <c r="E100" s="437">
        <v>1815</v>
      </c>
      <c r="F100" s="109">
        <f t="shared" si="24"/>
        <v>0</v>
      </c>
      <c r="G100" s="436"/>
      <c r="H100" s="438">
        <f t="shared" si="25"/>
        <v>0</v>
      </c>
      <c r="I100" s="438">
        <f t="shared" si="26"/>
        <v>0</v>
      </c>
      <c r="J100" s="438">
        <f t="shared" si="27"/>
        <v>0</v>
      </c>
      <c r="K100" s="438">
        <f t="shared" si="28"/>
        <v>0</v>
      </c>
      <c r="L100" s="438">
        <f t="shared" si="29"/>
        <v>0</v>
      </c>
      <c r="M100" s="438">
        <f t="shared" si="30"/>
        <v>0</v>
      </c>
      <c r="N100" s="438">
        <f t="shared" si="31"/>
        <v>0</v>
      </c>
      <c r="O100" s="368"/>
    </row>
    <row r="101" spans="1:15" s="57" customFormat="1" ht="52.8">
      <c r="A101" s="272" t="s">
        <v>47</v>
      </c>
      <c r="B101" s="81" t="s">
        <v>1261</v>
      </c>
      <c r="C101" s="394">
        <v>2</v>
      </c>
      <c r="D101" s="280" t="s">
        <v>27</v>
      </c>
      <c r="E101" s="440">
        <v>1716</v>
      </c>
      <c r="F101" s="109">
        <f t="shared" si="24"/>
        <v>3432</v>
      </c>
      <c r="G101" s="439">
        <f>'Measurement sheet'!F213</f>
        <v>1</v>
      </c>
      <c r="H101" s="438">
        <f t="shared" si="25"/>
        <v>1</v>
      </c>
      <c r="I101" s="438">
        <f t="shared" si="26"/>
        <v>1716</v>
      </c>
      <c r="J101" s="438">
        <f t="shared" si="27"/>
        <v>-1</v>
      </c>
      <c r="K101" s="438">
        <f t="shared" si="28"/>
        <v>-1716</v>
      </c>
      <c r="L101" s="438">
        <f t="shared" si="29"/>
        <v>0</v>
      </c>
      <c r="M101" s="438">
        <f t="shared" si="30"/>
        <v>-1716</v>
      </c>
      <c r="N101" s="438">
        <f t="shared" si="31"/>
        <v>-1716</v>
      </c>
      <c r="O101" s="368"/>
    </row>
    <row r="102" spans="1:15" s="57" customFormat="1" ht="28.8">
      <c r="A102" s="272" t="s">
        <v>50</v>
      </c>
      <c r="B102" s="81" t="s">
        <v>1262</v>
      </c>
      <c r="C102" s="394">
        <v>20</v>
      </c>
      <c r="D102" s="71" t="s">
        <v>74</v>
      </c>
      <c r="E102" s="437">
        <v>211</v>
      </c>
      <c r="F102" s="109">
        <f t="shared" si="24"/>
        <v>4220</v>
      </c>
      <c r="G102" s="439">
        <f>'Measurement sheet'!F224</f>
        <v>29.41</v>
      </c>
      <c r="H102" s="438">
        <f t="shared" si="25"/>
        <v>29.41</v>
      </c>
      <c r="I102" s="438">
        <f t="shared" si="26"/>
        <v>6205.51</v>
      </c>
      <c r="J102" s="438">
        <f t="shared" si="27"/>
        <v>9.41</v>
      </c>
      <c r="K102" s="438">
        <f t="shared" si="28"/>
        <v>1985.5100000000002</v>
      </c>
      <c r="L102" s="438">
        <f t="shared" si="29"/>
        <v>1985.5100000000002</v>
      </c>
      <c r="M102" s="438">
        <f t="shared" si="30"/>
        <v>0</v>
      </c>
      <c r="N102" s="438">
        <f t="shared" si="31"/>
        <v>1985.5100000000002</v>
      </c>
      <c r="O102" s="478" t="s">
        <v>1610</v>
      </c>
    </row>
    <row r="103" spans="1:15" s="57" customFormat="1" ht="26.4">
      <c r="A103" s="272" t="s">
        <v>52</v>
      </c>
      <c r="B103" s="81" t="s">
        <v>1263</v>
      </c>
      <c r="C103" s="394">
        <v>15</v>
      </c>
      <c r="D103" s="71" t="s">
        <v>74</v>
      </c>
      <c r="E103" s="437">
        <v>177</v>
      </c>
      <c r="F103" s="109">
        <f t="shared" si="24"/>
        <v>2655</v>
      </c>
      <c r="G103" s="439">
        <f>'Measurement sheet'!F229</f>
        <v>11.5</v>
      </c>
      <c r="H103" s="438">
        <f t="shared" si="25"/>
        <v>11.5</v>
      </c>
      <c r="I103" s="438">
        <f t="shared" si="26"/>
        <v>2035.5</v>
      </c>
      <c r="J103" s="438">
        <f t="shared" si="27"/>
        <v>-3.5</v>
      </c>
      <c r="K103" s="438">
        <f t="shared" si="28"/>
        <v>-619.5</v>
      </c>
      <c r="L103" s="438">
        <f t="shared" si="29"/>
        <v>0</v>
      </c>
      <c r="M103" s="438">
        <f t="shared" si="30"/>
        <v>-619.5</v>
      </c>
      <c r="N103" s="438">
        <f t="shared" si="31"/>
        <v>-619.5</v>
      </c>
      <c r="O103" s="368"/>
    </row>
    <row r="104" spans="1:15" s="57" customFormat="1">
      <c r="A104" s="74"/>
      <c r="B104" s="65"/>
      <c r="C104" s="396"/>
      <c r="D104" s="103"/>
      <c r="E104" s="396"/>
      <c r="F104" s="396"/>
      <c r="G104" s="396"/>
      <c r="H104" s="396"/>
      <c r="I104" s="396"/>
      <c r="J104" s="396"/>
      <c r="K104" s="368"/>
      <c r="L104" s="368"/>
      <c r="M104" s="368"/>
      <c r="N104" s="368"/>
      <c r="O104" s="368"/>
    </row>
    <row r="105" spans="1:15" s="57" customFormat="1">
      <c r="A105" s="62">
        <v>11</v>
      </c>
      <c r="B105" s="60" t="s">
        <v>91</v>
      </c>
      <c r="C105" s="393"/>
      <c r="D105" s="61"/>
      <c r="E105" s="393"/>
      <c r="F105" s="393"/>
      <c r="G105" s="61"/>
      <c r="H105" s="393"/>
      <c r="I105" s="393"/>
      <c r="J105" s="393"/>
      <c r="K105" s="393"/>
      <c r="L105" s="393"/>
      <c r="M105" s="393"/>
      <c r="N105" s="393"/>
      <c r="O105" s="393"/>
    </row>
    <row r="106" spans="1:15" s="57" customFormat="1" ht="92.4">
      <c r="A106" s="272" t="s">
        <v>14</v>
      </c>
      <c r="B106" s="81" t="s">
        <v>1264</v>
      </c>
      <c r="C106" s="394"/>
      <c r="D106" s="71" t="s">
        <v>18</v>
      </c>
      <c r="E106" s="437">
        <v>91</v>
      </c>
      <c r="F106" s="109">
        <f t="shared" ref="F106:F112" si="32">E106*C106</f>
        <v>0</v>
      </c>
      <c r="G106" s="436"/>
      <c r="H106" s="438">
        <f t="shared" ref="H106:H112" si="33">ROUND(G106,2)</f>
        <v>0</v>
      </c>
      <c r="I106" s="438">
        <f t="shared" ref="I106:I112" si="34">H106*E106</f>
        <v>0</v>
      </c>
      <c r="J106" s="438">
        <f t="shared" ref="J106:J112" si="35">G106-C106</f>
        <v>0</v>
      </c>
      <c r="K106" s="438">
        <f t="shared" ref="K106:K112" si="36">I106-F106</f>
        <v>0</v>
      </c>
      <c r="L106" s="438">
        <f t="shared" ref="L106:L112" si="37">IF(F106&lt;I106,(I106-F106),0)</f>
        <v>0</v>
      </c>
      <c r="M106" s="438">
        <f t="shared" ref="M106:M112" si="38">IF(F106&gt;I106,(I106-F106),0)</f>
        <v>0</v>
      </c>
      <c r="N106" s="438">
        <f t="shared" ref="N106:N112" si="39">M106+L106</f>
        <v>0</v>
      </c>
      <c r="O106" s="368"/>
    </row>
    <row r="107" spans="1:15" s="57" customFormat="1" ht="105.6">
      <c r="A107" s="272" t="s">
        <v>44</v>
      </c>
      <c r="B107" s="81" t="s">
        <v>1265</v>
      </c>
      <c r="C107" s="394"/>
      <c r="D107" s="71" t="s">
        <v>18</v>
      </c>
      <c r="E107" s="437">
        <v>98</v>
      </c>
      <c r="F107" s="109">
        <f t="shared" si="32"/>
        <v>0</v>
      </c>
      <c r="G107" s="436"/>
      <c r="H107" s="438">
        <f t="shared" si="33"/>
        <v>0</v>
      </c>
      <c r="I107" s="438">
        <f t="shared" si="34"/>
        <v>0</v>
      </c>
      <c r="J107" s="438">
        <f t="shared" si="35"/>
        <v>0</v>
      </c>
      <c r="K107" s="438">
        <f t="shared" si="36"/>
        <v>0</v>
      </c>
      <c r="L107" s="438">
        <f t="shared" si="37"/>
        <v>0</v>
      </c>
      <c r="M107" s="438">
        <f t="shared" si="38"/>
        <v>0</v>
      </c>
      <c r="N107" s="438">
        <f t="shared" si="39"/>
        <v>0</v>
      </c>
      <c r="O107" s="368"/>
    </row>
    <row r="108" spans="1:15" s="57" customFormat="1" ht="66">
      <c r="A108" s="272" t="s">
        <v>46</v>
      </c>
      <c r="B108" s="81" t="s">
        <v>1266</v>
      </c>
      <c r="C108" s="394"/>
      <c r="D108" s="71" t="s">
        <v>18</v>
      </c>
      <c r="E108" s="437">
        <v>110</v>
      </c>
      <c r="F108" s="109">
        <f t="shared" si="32"/>
        <v>0</v>
      </c>
      <c r="G108" s="436"/>
      <c r="H108" s="438">
        <f t="shared" si="33"/>
        <v>0</v>
      </c>
      <c r="I108" s="438">
        <f t="shared" si="34"/>
        <v>0</v>
      </c>
      <c r="J108" s="438">
        <f t="shared" si="35"/>
        <v>0</v>
      </c>
      <c r="K108" s="438">
        <f t="shared" si="36"/>
        <v>0</v>
      </c>
      <c r="L108" s="438">
        <f t="shared" si="37"/>
        <v>0</v>
      </c>
      <c r="M108" s="438">
        <f t="shared" si="38"/>
        <v>0</v>
      </c>
      <c r="N108" s="438">
        <f t="shared" si="39"/>
        <v>0</v>
      </c>
      <c r="O108" s="368"/>
    </row>
    <row r="109" spans="1:15" s="57" customFormat="1" ht="118.8">
      <c r="A109" s="272" t="s">
        <v>47</v>
      </c>
      <c r="B109" s="81" t="s">
        <v>1267</v>
      </c>
      <c r="C109" s="394"/>
      <c r="D109" s="71" t="s">
        <v>18</v>
      </c>
      <c r="E109" s="437">
        <v>314</v>
      </c>
      <c r="F109" s="109">
        <f t="shared" si="32"/>
        <v>0</v>
      </c>
      <c r="G109" s="436"/>
      <c r="H109" s="438">
        <f t="shared" si="33"/>
        <v>0</v>
      </c>
      <c r="I109" s="438">
        <f t="shared" si="34"/>
        <v>0</v>
      </c>
      <c r="J109" s="438">
        <f t="shared" si="35"/>
        <v>0</v>
      </c>
      <c r="K109" s="438">
        <f t="shared" si="36"/>
        <v>0</v>
      </c>
      <c r="L109" s="438">
        <f t="shared" si="37"/>
        <v>0</v>
      </c>
      <c r="M109" s="438">
        <f t="shared" si="38"/>
        <v>0</v>
      </c>
      <c r="N109" s="438">
        <f t="shared" si="39"/>
        <v>0</v>
      </c>
      <c r="O109" s="368"/>
    </row>
    <row r="110" spans="1:15" s="57" customFormat="1" ht="105.6">
      <c r="A110" s="272" t="s">
        <v>50</v>
      </c>
      <c r="B110" s="81" t="s">
        <v>1268</v>
      </c>
      <c r="C110" s="394">
        <v>80</v>
      </c>
      <c r="D110" s="71" t="s">
        <v>74</v>
      </c>
      <c r="E110" s="437">
        <v>194</v>
      </c>
      <c r="F110" s="109">
        <f t="shared" si="32"/>
        <v>15520</v>
      </c>
      <c r="G110" s="439">
        <f>'Measurement sheet'!F239</f>
        <v>85.039999999999992</v>
      </c>
      <c r="H110" s="438">
        <f t="shared" si="33"/>
        <v>85.04</v>
      </c>
      <c r="I110" s="438">
        <f t="shared" si="34"/>
        <v>16497.760000000002</v>
      </c>
      <c r="J110" s="438">
        <f t="shared" si="35"/>
        <v>5.039999999999992</v>
      </c>
      <c r="K110" s="438">
        <f t="shared" si="36"/>
        <v>977.76000000000204</v>
      </c>
      <c r="L110" s="438">
        <f t="shared" si="37"/>
        <v>977.76000000000204</v>
      </c>
      <c r="M110" s="438">
        <f t="shared" si="38"/>
        <v>0</v>
      </c>
      <c r="N110" s="438">
        <f t="shared" si="39"/>
        <v>977.76000000000204</v>
      </c>
      <c r="O110" s="478" t="s">
        <v>1610</v>
      </c>
    </row>
    <row r="111" spans="1:15" s="57" customFormat="1" ht="92.4">
      <c r="A111" s="272" t="s">
        <v>52</v>
      </c>
      <c r="B111" s="81" t="s">
        <v>1269</v>
      </c>
      <c r="C111" s="394">
        <v>70</v>
      </c>
      <c r="D111" s="71" t="s">
        <v>74</v>
      </c>
      <c r="E111" s="437">
        <v>385</v>
      </c>
      <c r="F111" s="109">
        <f t="shared" si="32"/>
        <v>26950</v>
      </c>
      <c r="G111" s="439">
        <f>'Measurement sheet'!F246</f>
        <v>84</v>
      </c>
      <c r="H111" s="438">
        <f t="shared" si="33"/>
        <v>84</v>
      </c>
      <c r="I111" s="438">
        <f t="shared" si="34"/>
        <v>32340</v>
      </c>
      <c r="J111" s="438">
        <f t="shared" si="35"/>
        <v>14</v>
      </c>
      <c r="K111" s="438">
        <f t="shared" si="36"/>
        <v>5390</v>
      </c>
      <c r="L111" s="438">
        <f t="shared" si="37"/>
        <v>5390</v>
      </c>
      <c r="M111" s="438">
        <f t="shared" si="38"/>
        <v>0</v>
      </c>
      <c r="N111" s="438">
        <f t="shared" si="39"/>
        <v>5390</v>
      </c>
      <c r="O111" s="478" t="s">
        <v>1610</v>
      </c>
    </row>
    <row r="112" spans="1:15" s="57" customFormat="1" ht="158.4">
      <c r="A112" s="272" t="s">
        <v>53</v>
      </c>
      <c r="B112" s="81" t="s">
        <v>1270</v>
      </c>
      <c r="C112" s="394"/>
      <c r="D112" s="71" t="s">
        <v>18</v>
      </c>
      <c r="E112" s="437">
        <v>396</v>
      </c>
      <c r="F112" s="109">
        <f t="shared" si="32"/>
        <v>0</v>
      </c>
      <c r="G112" s="436"/>
      <c r="H112" s="438">
        <f t="shared" si="33"/>
        <v>0</v>
      </c>
      <c r="I112" s="438">
        <f t="shared" si="34"/>
        <v>0</v>
      </c>
      <c r="J112" s="438">
        <f t="shared" si="35"/>
        <v>0</v>
      </c>
      <c r="K112" s="438">
        <f t="shared" si="36"/>
        <v>0</v>
      </c>
      <c r="L112" s="438">
        <f t="shared" si="37"/>
        <v>0</v>
      </c>
      <c r="M112" s="438">
        <f t="shared" si="38"/>
        <v>0</v>
      </c>
      <c r="N112" s="438">
        <f t="shared" si="39"/>
        <v>0</v>
      </c>
      <c r="O112" s="368"/>
    </row>
    <row r="113" spans="1:15" s="57" customFormat="1">
      <c r="A113" s="106"/>
      <c r="B113" s="65"/>
      <c r="C113" s="396"/>
      <c r="D113" s="103"/>
      <c r="E113" s="396"/>
      <c r="F113" s="396"/>
      <c r="G113" s="396"/>
      <c r="H113" s="396"/>
      <c r="I113" s="396"/>
      <c r="J113" s="396"/>
      <c r="K113" s="368"/>
      <c r="L113" s="368"/>
      <c r="M113" s="368"/>
      <c r="N113" s="368"/>
      <c r="O113" s="368"/>
    </row>
    <row r="114" spans="1:15" s="57" customFormat="1">
      <c r="A114" s="62">
        <v>12</v>
      </c>
      <c r="B114" s="60" t="s">
        <v>92</v>
      </c>
      <c r="C114" s="393"/>
      <c r="D114" s="61"/>
      <c r="E114" s="393"/>
      <c r="F114" s="393"/>
      <c r="G114" s="61"/>
      <c r="H114" s="393"/>
      <c r="I114" s="393"/>
      <c r="J114" s="393"/>
      <c r="K114" s="393"/>
      <c r="L114" s="393"/>
      <c r="M114" s="393"/>
      <c r="N114" s="393"/>
      <c r="O114" s="393"/>
    </row>
    <row r="115" spans="1:15" s="57" customFormat="1" ht="118.8">
      <c r="A115" s="272" t="s">
        <v>14</v>
      </c>
      <c r="B115" s="81" t="s">
        <v>93</v>
      </c>
      <c r="C115" s="394"/>
      <c r="D115" s="71" t="s">
        <v>18</v>
      </c>
      <c r="E115" s="437">
        <v>474</v>
      </c>
      <c r="F115" s="109">
        <f>E115*C115</f>
        <v>0</v>
      </c>
      <c r="G115" s="436"/>
      <c r="H115" s="438">
        <f>ROUND(G115,2)</f>
        <v>0</v>
      </c>
      <c r="I115" s="438">
        <f>H115*E115</f>
        <v>0</v>
      </c>
      <c r="J115" s="438">
        <f>G115-C115</f>
        <v>0</v>
      </c>
      <c r="K115" s="438">
        <f>I115-F115</f>
        <v>0</v>
      </c>
      <c r="L115" s="438">
        <f>IF(F115&lt;I115,(I115-F115),0)</f>
        <v>0</v>
      </c>
      <c r="M115" s="438">
        <f>IF(F115&gt;I115,(I115-F115),0)</f>
        <v>0</v>
      </c>
      <c r="N115" s="438">
        <f>M115+L115</f>
        <v>0</v>
      </c>
      <c r="O115" s="368"/>
    </row>
    <row r="116" spans="1:15" s="57" customFormat="1">
      <c r="A116" s="106"/>
      <c r="B116" s="65"/>
      <c r="C116" s="396"/>
      <c r="D116" s="103"/>
      <c r="E116" s="396"/>
      <c r="F116" s="396"/>
      <c r="G116" s="396"/>
      <c r="H116" s="396"/>
      <c r="I116" s="396"/>
      <c r="J116" s="396"/>
      <c r="K116" s="368"/>
      <c r="L116" s="368"/>
      <c r="M116" s="368"/>
      <c r="N116" s="368"/>
      <c r="O116" s="368"/>
    </row>
    <row r="117" spans="1:15" s="57" customFormat="1">
      <c r="A117" s="62">
        <v>13</v>
      </c>
      <c r="B117" s="63" t="s">
        <v>94</v>
      </c>
      <c r="C117" s="393"/>
      <c r="D117" s="61"/>
      <c r="E117" s="393"/>
      <c r="F117" s="393"/>
      <c r="G117" s="61"/>
      <c r="H117" s="393"/>
      <c r="I117" s="393"/>
      <c r="J117" s="393"/>
      <c r="K117" s="393"/>
      <c r="L117" s="393"/>
      <c r="M117" s="393"/>
      <c r="N117" s="393"/>
      <c r="O117" s="393"/>
    </row>
    <row r="118" spans="1:15" s="57" customFormat="1" ht="92.4">
      <c r="A118" s="272" t="s">
        <v>14</v>
      </c>
      <c r="B118" s="174" t="s">
        <v>1271</v>
      </c>
      <c r="C118" s="394"/>
      <c r="D118" s="71" t="s">
        <v>74</v>
      </c>
      <c r="E118" s="437">
        <v>1114</v>
      </c>
      <c r="F118" s="109">
        <f>E118*C118</f>
        <v>0</v>
      </c>
      <c r="G118" s="436"/>
      <c r="H118" s="438">
        <f>ROUND(G118,2)</f>
        <v>0</v>
      </c>
      <c r="I118" s="438">
        <f>H118*E118</f>
        <v>0</v>
      </c>
      <c r="J118" s="438">
        <f>G118-C118</f>
        <v>0</v>
      </c>
      <c r="K118" s="438">
        <f>I118-F118</f>
        <v>0</v>
      </c>
      <c r="L118" s="438">
        <f>IF(F118&lt;I118,(I118-F118),0)</f>
        <v>0</v>
      </c>
      <c r="M118" s="438">
        <f>IF(F118&gt;I118,(I118-F118),0)</f>
        <v>0</v>
      </c>
      <c r="N118" s="438">
        <f>M118+L118</f>
        <v>0</v>
      </c>
      <c r="O118" s="368"/>
    </row>
    <row r="119" spans="1:15" s="57" customFormat="1" ht="66">
      <c r="A119" s="272" t="s">
        <v>44</v>
      </c>
      <c r="B119" s="75" t="s">
        <v>1272</v>
      </c>
      <c r="C119" s="394"/>
      <c r="D119" s="71" t="s">
        <v>18</v>
      </c>
      <c r="E119" s="437">
        <v>271</v>
      </c>
      <c r="F119" s="109">
        <f>E119*C119</f>
        <v>0</v>
      </c>
      <c r="G119" s="436"/>
      <c r="H119" s="438">
        <f>ROUND(G119,2)</f>
        <v>0</v>
      </c>
      <c r="I119" s="438">
        <f>H119*E119</f>
        <v>0</v>
      </c>
      <c r="J119" s="438">
        <f>G119-C119</f>
        <v>0</v>
      </c>
      <c r="K119" s="438">
        <f>I119-F119</f>
        <v>0</v>
      </c>
      <c r="L119" s="438">
        <f>IF(F119&lt;I119,(I119-F119),0)</f>
        <v>0</v>
      </c>
      <c r="M119" s="438">
        <f>IF(F119&gt;I119,(I119-F119),0)</f>
        <v>0</v>
      </c>
      <c r="N119" s="438">
        <f>M119+L119</f>
        <v>0</v>
      </c>
      <c r="O119" s="368"/>
    </row>
    <row r="120" spans="1:15" s="57" customFormat="1">
      <c r="A120" s="272"/>
      <c r="B120" s="75"/>
      <c r="C120" s="396"/>
      <c r="D120" s="103"/>
      <c r="E120" s="396"/>
      <c r="F120" s="396"/>
      <c r="G120" s="396"/>
      <c r="H120" s="396"/>
      <c r="I120" s="396"/>
      <c r="J120" s="396"/>
      <c r="K120" s="368"/>
      <c r="L120" s="368"/>
      <c r="M120" s="368"/>
      <c r="N120" s="368"/>
      <c r="O120" s="368"/>
    </row>
    <row r="121" spans="1:15" s="57" customFormat="1">
      <c r="A121" s="62">
        <v>14</v>
      </c>
      <c r="B121" s="64" t="s">
        <v>95</v>
      </c>
      <c r="C121" s="393"/>
      <c r="D121" s="61"/>
      <c r="E121" s="393"/>
      <c r="F121" s="393"/>
      <c r="G121" s="61"/>
      <c r="H121" s="393"/>
      <c r="I121" s="393"/>
      <c r="J121" s="393"/>
      <c r="K121" s="393"/>
      <c r="L121" s="393"/>
      <c r="M121" s="393"/>
      <c r="N121" s="393"/>
      <c r="O121" s="393"/>
    </row>
    <row r="122" spans="1:15" s="57" customFormat="1" ht="39.6">
      <c r="A122" s="272" t="s">
        <v>14</v>
      </c>
      <c r="B122" s="75" t="s">
        <v>1273</v>
      </c>
      <c r="C122" s="394"/>
      <c r="D122" s="71" t="s">
        <v>18</v>
      </c>
      <c r="E122" s="437">
        <v>305</v>
      </c>
      <c r="F122" s="109">
        <f>E122*C122</f>
        <v>0</v>
      </c>
      <c r="G122" s="436"/>
      <c r="H122" s="438">
        <f>ROUND(G122,2)</f>
        <v>0</v>
      </c>
      <c r="I122" s="438">
        <f>H122*E122</f>
        <v>0</v>
      </c>
      <c r="J122" s="438">
        <f>G122-C122</f>
        <v>0</v>
      </c>
      <c r="K122" s="438">
        <f>I122-F122</f>
        <v>0</v>
      </c>
      <c r="L122" s="438">
        <f>IF(F122&lt;I122,(I122-F122),0)</f>
        <v>0</v>
      </c>
      <c r="M122" s="438">
        <f>IF(F122&gt;I122,(I122-F122),0)</f>
        <v>0</v>
      </c>
      <c r="N122" s="438">
        <f>M122+L122</f>
        <v>0</v>
      </c>
      <c r="O122" s="368"/>
    </row>
    <row r="123" spans="1:15" s="57" customFormat="1" ht="92.4">
      <c r="A123" s="272" t="s">
        <v>44</v>
      </c>
      <c r="B123" s="75" t="s">
        <v>1274</v>
      </c>
      <c r="C123" s="394"/>
      <c r="D123" s="71" t="s">
        <v>18</v>
      </c>
      <c r="E123" s="437">
        <v>345</v>
      </c>
      <c r="F123" s="109">
        <f>E123*C123</f>
        <v>0</v>
      </c>
      <c r="G123" s="436"/>
      <c r="H123" s="438">
        <f>ROUND(G123,2)</f>
        <v>0</v>
      </c>
      <c r="I123" s="438">
        <f>H123*E123</f>
        <v>0</v>
      </c>
      <c r="J123" s="438">
        <f>G123-C123</f>
        <v>0</v>
      </c>
      <c r="K123" s="438">
        <f>I123-F123</f>
        <v>0</v>
      </c>
      <c r="L123" s="438">
        <f>IF(F123&lt;I123,(I123-F123),0)</f>
        <v>0</v>
      </c>
      <c r="M123" s="438">
        <f>IF(F123&gt;I123,(I123-F123),0)</f>
        <v>0</v>
      </c>
      <c r="N123" s="438">
        <f>M123+L123</f>
        <v>0</v>
      </c>
      <c r="O123" s="368"/>
    </row>
    <row r="124" spans="1:15" s="57" customFormat="1">
      <c r="A124" s="272"/>
      <c r="B124" s="81"/>
      <c r="C124" s="396"/>
      <c r="D124" s="103"/>
      <c r="E124" s="396"/>
      <c r="F124" s="396"/>
      <c r="G124" s="396"/>
      <c r="H124" s="396"/>
      <c r="I124" s="396"/>
      <c r="J124" s="396"/>
      <c r="K124" s="368"/>
      <c r="L124" s="368"/>
      <c r="M124" s="368"/>
      <c r="N124" s="368"/>
      <c r="O124" s="368"/>
    </row>
    <row r="125" spans="1:15" s="57" customFormat="1">
      <c r="A125" s="62">
        <v>15</v>
      </c>
      <c r="B125" s="60" t="s">
        <v>96</v>
      </c>
      <c r="C125" s="393"/>
      <c r="D125" s="61"/>
      <c r="E125" s="393"/>
      <c r="F125" s="393"/>
      <c r="G125" s="61"/>
      <c r="H125" s="393"/>
      <c r="I125" s="393"/>
      <c r="J125" s="393"/>
      <c r="K125" s="393"/>
      <c r="L125" s="393"/>
      <c r="M125" s="393"/>
      <c r="N125" s="393"/>
      <c r="O125" s="393"/>
    </row>
    <row r="126" spans="1:15" s="57" customFormat="1" ht="52.8">
      <c r="A126" s="272" t="s">
        <v>14</v>
      </c>
      <c r="B126" s="81" t="s">
        <v>97</v>
      </c>
      <c r="C126" s="394">
        <v>1</v>
      </c>
      <c r="D126" s="280" t="s">
        <v>98</v>
      </c>
      <c r="E126" s="440">
        <v>11441</v>
      </c>
      <c r="F126" s="109">
        <f t="shared" ref="F126:F131" si="40">E126*C126</f>
        <v>11441</v>
      </c>
      <c r="G126" s="439">
        <f>'Measurement sheet'!F248</f>
        <v>1.25</v>
      </c>
      <c r="H126" s="438">
        <f t="shared" ref="H126:H131" si="41">ROUND(G126,2)</f>
        <v>1.25</v>
      </c>
      <c r="I126" s="438">
        <f t="shared" ref="I126:I131" si="42">H126*E126</f>
        <v>14301.25</v>
      </c>
      <c r="J126" s="438">
        <f t="shared" ref="J126:J131" si="43">G126-C126</f>
        <v>0.25</v>
      </c>
      <c r="K126" s="438">
        <f t="shared" ref="K126:K131" si="44">I126-F126</f>
        <v>2860.25</v>
      </c>
      <c r="L126" s="438">
        <f t="shared" ref="L126:L131" si="45">IF(F126&lt;I126,(I126-F126),0)</f>
        <v>2860.25</v>
      </c>
      <c r="M126" s="438">
        <f t="shared" ref="M126:M131" si="46">IF(F126&gt;I126,(I126-F126),0)</f>
        <v>0</v>
      </c>
      <c r="N126" s="438">
        <f t="shared" ref="N126:N131" si="47">M126+L126</f>
        <v>2860.25</v>
      </c>
      <c r="O126" s="478" t="s">
        <v>1610</v>
      </c>
    </row>
    <row r="127" spans="1:15" s="57" customFormat="1" ht="39.6">
      <c r="A127" s="272" t="s">
        <v>44</v>
      </c>
      <c r="B127" s="81" t="s">
        <v>99</v>
      </c>
      <c r="C127" s="394">
        <v>1</v>
      </c>
      <c r="D127" s="280" t="s">
        <v>98</v>
      </c>
      <c r="E127" s="440">
        <v>11017</v>
      </c>
      <c r="F127" s="109">
        <f t="shared" si="40"/>
        <v>11017</v>
      </c>
      <c r="G127" s="439">
        <f>'Measurement sheet'!F249</f>
        <v>1</v>
      </c>
      <c r="H127" s="438">
        <f t="shared" si="41"/>
        <v>1</v>
      </c>
      <c r="I127" s="438">
        <f t="shared" si="42"/>
        <v>11017</v>
      </c>
      <c r="J127" s="438">
        <f t="shared" si="43"/>
        <v>0</v>
      </c>
      <c r="K127" s="438">
        <f t="shared" si="44"/>
        <v>0</v>
      </c>
      <c r="L127" s="438">
        <f t="shared" si="45"/>
        <v>0</v>
      </c>
      <c r="M127" s="438">
        <f t="shared" si="46"/>
        <v>0</v>
      </c>
      <c r="N127" s="438">
        <f t="shared" si="47"/>
        <v>0</v>
      </c>
      <c r="O127" s="368"/>
    </row>
    <row r="128" spans="1:15" s="57" customFormat="1" ht="52.8">
      <c r="A128" s="272" t="s">
        <v>46</v>
      </c>
      <c r="B128" s="81" t="s">
        <v>1275</v>
      </c>
      <c r="C128" s="394">
        <v>1</v>
      </c>
      <c r="D128" s="280" t="s">
        <v>27</v>
      </c>
      <c r="E128" s="440">
        <v>2012</v>
      </c>
      <c r="F128" s="109">
        <f t="shared" si="40"/>
        <v>2012</v>
      </c>
      <c r="G128" s="439">
        <f>'Measurement sheet'!F250</f>
        <v>1</v>
      </c>
      <c r="H128" s="438">
        <f t="shared" si="41"/>
        <v>1</v>
      </c>
      <c r="I128" s="438">
        <f t="shared" si="42"/>
        <v>2012</v>
      </c>
      <c r="J128" s="438">
        <f t="shared" si="43"/>
        <v>0</v>
      </c>
      <c r="K128" s="438">
        <f t="shared" si="44"/>
        <v>0</v>
      </c>
      <c r="L128" s="438">
        <f t="shared" si="45"/>
        <v>0</v>
      </c>
      <c r="M128" s="438">
        <f t="shared" si="46"/>
        <v>0</v>
      </c>
      <c r="N128" s="438">
        <f t="shared" si="47"/>
        <v>0</v>
      </c>
      <c r="O128" s="368"/>
    </row>
    <row r="129" spans="1:15" s="57" customFormat="1" ht="39.6">
      <c r="A129" s="272" t="s">
        <v>47</v>
      </c>
      <c r="B129" s="81" t="s">
        <v>100</v>
      </c>
      <c r="C129" s="394">
        <v>2</v>
      </c>
      <c r="D129" s="280" t="s">
        <v>101</v>
      </c>
      <c r="E129" s="440">
        <v>6073</v>
      </c>
      <c r="F129" s="109">
        <f t="shared" si="40"/>
        <v>12146</v>
      </c>
      <c r="G129" s="439">
        <f>'Measurement sheet'!F251</f>
        <v>1</v>
      </c>
      <c r="H129" s="438">
        <f t="shared" si="41"/>
        <v>1</v>
      </c>
      <c r="I129" s="438">
        <f t="shared" si="42"/>
        <v>6073</v>
      </c>
      <c r="J129" s="438">
        <f t="shared" si="43"/>
        <v>-1</v>
      </c>
      <c r="K129" s="438">
        <f t="shared" si="44"/>
        <v>-6073</v>
      </c>
      <c r="L129" s="438">
        <f t="shared" si="45"/>
        <v>0</v>
      </c>
      <c r="M129" s="438">
        <f t="shared" si="46"/>
        <v>-6073</v>
      </c>
      <c r="N129" s="438">
        <f t="shared" si="47"/>
        <v>-6073</v>
      </c>
      <c r="O129" s="368"/>
    </row>
    <row r="130" spans="1:15" s="57" customFormat="1" ht="26.4">
      <c r="A130" s="272" t="s">
        <v>50</v>
      </c>
      <c r="B130" s="65" t="s">
        <v>1276</v>
      </c>
      <c r="C130" s="394">
        <v>5</v>
      </c>
      <c r="D130" s="280" t="s">
        <v>27</v>
      </c>
      <c r="E130" s="440">
        <v>1207</v>
      </c>
      <c r="F130" s="109">
        <f t="shared" si="40"/>
        <v>6035</v>
      </c>
      <c r="G130" s="439">
        <f>'Measurement sheet'!F252</f>
        <v>4</v>
      </c>
      <c r="H130" s="438">
        <f t="shared" si="41"/>
        <v>4</v>
      </c>
      <c r="I130" s="438">
        <f t="shared" si="42"/>
        <v>4828</v>
      </c>
      <c r="J130" s="438">
        <f t="shared" si="43"/>
        <v>-1</v>
      </c>
      <c r="K130" s="438">
        <f t="shared" si="44"/>
        <v>-1207</v>
      </c>
      <c r="L130" s="438">
        <f t="shared" si="45"/>
        <v>0</v>
      </c>
      <c r="M130" s="438">
        <f t="shared" si="46"/>
        <v>-1207</v>
      </c>
      <c r="N130" s="438">
        <f t="shared" si="47"/>
        <v>-1207</v>
      </c>
      <c r="O130" s="368"/>
    </row>
    <row r="131" spans="1:15" s="57" customFormat="1" ht="79.2">
      <c r="A131" s="272" t="s">
        <v>52</v>
      </c>
      <c r="B131" s="303" t="s">
        <v>1277</v>
      </c>
      <c r="C131" s="394">
        <v>1</v>
      </c>
      <c r="D131" s="280" t="s">
        <v>27</v>
      </c>
      <c r="E131" s="440">
        <v>3919</v>
      </c>
      <c r="F131" s="109">
        <f t="shared" si="40"/>
        <v>3919</v>
      </c>
      <c r="G131" s="439">
        <f>'Measurement sheet'!F253</f>
        <v>1</v>
      </c>
      <c r="H131" s="438">
        <f t="shared" si="41"/>
        <v>1</v>
      </c>
      <c r="I131" s="438">
        <f t="shared" si="42"/>
        <v>3919</v>
      </c>
      <c r="J131" s="438">
        <f t="shared" si="43"/>
        <v>0</v>
      </c>
      <c r="K131" s="438">
        <f t="shared" si="44"/>
        <v>0</v>
      </c>
      <c r="L131" s="438">
        <f t="shared" si="45"/>
        <v>0</v>
      </c>
      <c r="M131" s="438">
        <f t="shared" si="46"/>
        <v>0</v>
      </c>
      <c r="N131" s="438">
        <f t="shared" si="47"/>
        <v>0</v>
      </c>
      <c r="O131" s="368"/>
    </row>
    <row r="132" spans="1:15" s="57" customFormat="1">
      <c r="A132" s="272"/>
      <c r="B132" s="65"/>
      <c r="C132" s="396"/>
      <c r="D132" s="103"/>
      <c r="E132" s="396"/>
      <c r="F132" s="396"/>
      <c r="G132" s="396"/>
      <c r="H132" s="396"/>
      <c r="I132" s="396"/>
      <c r="J132" s="396"/>
      <c r="K132" s="368"/>
      <c r="L132" s="368"/>
      <c r="M132" s="368"/>
      <c r="N132" s="368"/>
      <c r="O132" s="368"/>
    </row>
    <row r="133" spans="1:15" s="57" customFormat="1">
      <c r="A133" s="62">
        <v>16</v>
      </c>
      <c r="B133" s="60" t="s">
        <v>102</v>
      </c>
      <c r="C133" s="393"/>
      <c r="D133" s="61"/>
      <c r="E133" s="393"/>
      <c r="F133" s="393"/>
      <c r="G133" s="61"/>
      <c r="H133" s="393"/>
      <c r="I133" s="393"/>
      <c r="J133" s="393"/>
      <c r="K133" s="393"/>
      <c r="L133" s="393"/>
      <c r="M133" s="393"/>
      <c r="N133" s="393"/>
      <c r="O133" s="393"/>
    </row>
    <row r="134" spans="1:15" s="57" customFormat="1" ht="79.2">
      <c r="A134" s="272" t="s">
        <v>14</v>
      </c>
      <c r="B134" s="133" t="s">
        <v>1278</v>
      </c>
      <c r="C134" s="394">
        <v>2</v>
      </c>
      <c r="D134" s="280" t="s">
        <v>27</v>
      </c>
      <c r="E134" s="440">
        <v>14831</v>
      </c>
      <c r="F134" s="109">
        <f t="shared" ref="F134:F141" si="48">E134*C134</f>
        <v>29662</v>
      </c>
      <c r="G134" s="439">
        <f>'Measurement sheet'!F255</f>
        <v>2</v>
      </c>
      <c r="H134" s="438">
        <f t="shared" ref="H134:H141" si="49">ROUND(G134,2)</f>
        <v>2</v>
      </c>
      <c r="I134" s="438">
        <f t="shared" ref="I134:I141" si="50">H134*E134</f>
        <v>29662</v>
      </c>
      <c r="J134" s="438">
        <f t="shared" ref="J134:J141" si="51">G134-C134</f>
        <v>0</v>
      </c>
      <c r="K134" s="438">
        <f t="shared" ref="K134:K141" si="52">I134-F134</f>
        <v>0</v>
      </c>
      <c r="L134" s="438">
        <f t="shared" ref="L134:L141" si="53">IF(F134&lt;I134,(I134-F134),0)</f>
        <v>0</v>
      </c>
      <c r="M134" s="438">
        <f t="shared" ref="M134:M141" si="54">IF(F134&gt;I134,(I134-F134),0)</f>
        <v>0</v>
      </c>
      <c r="N134" s="438">
        <f t="shared" ref="N134:N141" si="55">M134+L134</f>
        <v>0</v>
      </c>
      <c r="O134" s="368"/>
    </row>
    <row r="135" spans="1:15" s="57" customFormat="1" ht="39.6">
      <c r="A135" s="272" t="s">
        <v>44</v>
      </c>
      <c r="B135" s="133" t="s">
        <v>1279</v>
      </c>
      <c r="C135" s="394"/>
      <c r="D135" s="280" t="s">
        <v>27</v>
      </c>
      <c r="E135" s="440">
        <v>15305</v>
      </c>
      <c r="F135" s="109">
        <f t="shared" si="48"/>
        <v>0</v>
      </c>
      <c r="G135" s="436"/>
      <c r="H135" s="438">
        <f t="shared" si="49"/>
        <v>0</v>
      </c>
      <c r="I135" s="438">
        <f t="shared" si="50"/>
        <v>0</v>
      </c>
      <c r="J135" s="438">
        <f t="shared" si="51"/>
        <v>0</v>
      </c>
      <c r="K135" s="438">
        <f t="shared" si="52"/>
        <v>0</v>
      </c>
      <c r="L135" s="438">
        <f t="shared" si="53"/>
        <v>0</v>
      </c>
      <c r="M135" s="438">
        <f t="shared" si="54"/>
        <v>0</v>
      </c>
      <c r="N135" s="438">
        <f t="shared" si="55"/>
        <v>0</v>
      </c>
      <c r="O135" s="368"/>
    </row>
    <row r="136" spans="1:15" s="57" customFormat="1" ht="79.2">
      <c r="A136" s="272" t="s">
        <v>46</v>
      </c>
      <c r="B136" s="133" t="s">
        <v>1280</v>
      </c>
      <c r="C136" s="394"/>
      <c r="D136" s="280" t="s">
        <v>27</v>
      </c>
      <c r="E136" s="440">
        <v>11059</v>
      </c>
      <c r="F136" s="109">
        <f t="shared" si="48"/>
        <v>0</v>
      </c>
      <c r="G136" s="436"/>
      <c r="H136" s="438">
        <f t="shared" si="49"/>
        <v>0</v>
      </c>
      <c r="I136" s="438">
        <f t="shared" si="50"/>
        <v>0</v>
      </c>
      <c r="J136" s="438">
        <f t="shared" si="51"/>
        <v>0</v>
      </c>
      <c r="K136" s="438">
        <f t="shared" si="52"/>
        <v>0</v>
      </c>
      <c r="L136" s="438">
        <f t="shared" si="53"/>
        <v>0</v>
      </c>
      <c r="M136" s="438">
        <f t="shared" si="54"/>
        <v>0</v>
      </c>
      <c r="N136" s="438">
        <f t="shared" si="55"/>
        <v>0</v>
      </c>
      <c r="O136" s="368"/>
    </row>
    <row r="137" spans="1:15" s="57" customFormat="1" ht="92.4">
      <c r="A137" s="272" t="s">
        <v>47</v>
      </c>
      <c r="B137" s="133" t="s">
        <v>1281</v>
      </c>
      <c r="C137" s="394">
        <v>2</v>
      </c>
      <c r="D137" s="280" t="s">
        <v>27</v>
      </c>
      <c r="E137" s="440">
        <v>7627</v>
      </c>
      <c r="F137" s="109">
        <f t="shared" si="48"/>
        <v>15254</v>
      </c>
      <c r="G137" s="439">
        <f>'Measurement sheet'!F256</f>
        <v>2</v>
      </c>
      <c r="H137" s="438">
        <f t="shared" si="49"/>
        <v>2</v>
      </c>
      <c r="I137" s="438">
        <f t="shared" si="50"/>
        <v>15254</v>
      </c>
      <c r="J137" s="438">
        <f t="shared" si="51"/>
        <v>0</v>
      </c>
      <c r="K137" s="438">
        <f t="shared" si="52"/>
        <v>0</v>
      </c>
      <c r="L137" s="438">
        <f t="shared" si="53"/>
        <v>0</v>
      </c>
      <c r="M137" s="438">
        <f t="shared" si="54"/>
        <v>0</v>
      </c>
      <c r="N137" s="438">
        <f t="shared" si="55"/>
        <v>0</v>
      </c>
      <c r="O137" s="368"/>
    </row>
    <row r="138" spans="1:15" s="57" customFormat="1" ht="66">
      <c r="A138" s="272" t="s">
        <v>50</v>
      </c>
      <c r="B138" s="133" t="s">
        <v>1282</v>
      </c>
      <c r="C138" s="394">
        <v>4</v>
      </c>
      <c r="D138" s="280" t="s">
        <v>27</v>
      </c>
      <c r="E138" s="440">
        <v>7203</v>
      </c>
      <c r="F138" s="109">
        <f t="shared" si="48"/>
        <v>28812</v>
      </c>
      <c r="G138" s="439">
        <f>'Measurement sheet'!F257</f>
        <v>4</v>
      </c>
      <c r="H138" s="438">
        <f t="shared" si="49"/>
        <v>4</v>
      </c>
      <c r="I138" s="438">
        <f t="shared" si="50"/>
        <v>28812</v>
      </c>
      <c r="J138" s="438">
        <f t="shared" si="51"/>
        <v>0</v>
      </c>
      <c r="K138" s="438">
        <f t="shared" si="52"/>
        <v>0</v>
      </c>
      <c r="L138" s="438">
        <f t="shared" si="53"/>
        <v>0</v>
      </c>
      <c r="M138" s="438">
        <f t="shared" si="54"/>
        <v>0</v>
      </c>
      <c r="N138" s="438">
        <f t="shared" si="55"/>
        <v>0</v>
      </c>
      <c r="O138" s="368"/>
    </row>
    <row r="139" spans="1:15" s="57" customFormat="1">
      <c r="A139" s="272" t="s">
        <v>52</v>
      </c>
      <c r="B139" s="133" t="s">
        <v>1283</v>
      </c>
      <c r="C139" s="394"/>
      <c r="D139" s="280" t="s">
        <v>27</v>
      </c>
      <c r="E139" s="440">
        <v>7398</v>
      </c>
      <c r="F139" s="109">
        <f t="shared" si="48"/>
        <v>0</v>
      </c>
      <c r="G139" s="436"/>
      <c r="H139" s="438">
        <f t="shared" si="49"/>
        <v>0</v>
      </c>
      <c r="I139" s="438">
        <f t="shared" si="50"/>
        <v>0</v>
      </c>
      <c r="J139" s="438">
        <f t="shared" si="51"/>
        <v>0</v>
      </c>
      <c r="K139" s="438">
        <f t="shared" si="52"/>
        <v>0</v>
      </c>
      <c r="L139" s="438">
        <f t="shared" si="53"/>
        <v>0</v>
      </c>
      <c r="M139" s="438">
        <f t="shared" si="54"/>
        <v>0</v>
      </c>
      <c r="N139" s="438">
        <f t="shared" si="55"/>
        <v>0</v>
      </c>
      <c r="O139" s="368"/>
    </row>
    <row r="140" spans="1:15" s="57" customFormat="1" ht="26.4">
      <c r="A140" s="272" t="s">
        <v>53</v>
      </c>
      <c r="B140" s="133" t="s">
        <v>1284</v>
      </c>
      <c r="C140" s="394"/>
      <c r="D140" s="280" t="s">
        <v>27</v>
      </c>
      <c r="E140" s="440">
        <v>2118</v>
      </c>
      <c r="F140" s="109">
        <f t="shared" si="48"/>
        <v>0</v>
      </c>
      <c r="G140" s="436"/>
      <c r="H140" s="438">
        <f t="shared" si="49"/>
        <v>0</v>
      </c>
      <c r="I140" s="438">
        <f t="shared" si="50"/>
        <v>0</v>
      </c>
      <c r="J140" s="438">
        <f t="shared" si="51"/>
        <v>0</v>
      </c>
      <c r="K140" s="438">
        <f t="shared" si="52"/>
        <v>0</v>
      </c>
      <c r="L140" s="438">
        <f t="shared" si="53"/>
        <v>0</v>
      </c>
      <c r="M140" s="438">
        <f t="shared" si="54"/>
        <v>0</v>
      </c>
      <c r="N140" s="438">
        <f t="shared" si="55"/>
        <v>0</v>
      </c>
      <c r="O140" s="368"/>
    </row>
    <row r="141" spans="1:15" s="57" customFormat="1" ht="66">
      <c r="A141" s="272" t="s">
        <v>85</v>
      </c>
      <c r="B141" s="133" t="s">
        <v>1285</v>
      </c>
      <c r="C141" s="394">
        <v>1</v>
      </c>
      <c r="D141" s="280" t="s">
        <v>27</v>
      </c>
      <c r="E141" s="440">
        <v>7013</v>
      </c>
      <c r="F141" s="109">
        <f t="shared" si="48"/>
        <v>7013</v>
      </c>
      <c r="G141" s="439">
        <f>'Measurement sheet'!F258</f>
        <v>0</v>
      </c>
      <c r="H141" s="438">
        <f t="shared" si="49"/>
        <v>0</v>
      </c>
      <c r="I141" s="438">
        <f t="shared" si="50"/>
        <v>0</v>
      </c>
      <c r="J141" s="438">
        <f t="shared" si="51"/>
        <v>-1</v>
      </c>
      <c r="K141" s="438">
        <f t="shared" si="52"/>
        <v>-7013</v>
      </c>
      <c r="L141" s="438">
        <f t="shared" si="53"/>
        <v>0</v>
      </c>
      <c r="M141" s="438">
        <f t="shared" si="54"/>
        <v>-7013</v>
      </c>
      <c r="N141" s="438">
        <f t="shared" si="55"/>
        <v>-7013</v>
      </c>
      <c r="O141" s="368"/>
    </row>
    <row r="142" spans="1:15" s="57" customFormat="1">
      <c r="A142" s="272"/>
      <c r="B142" s="81"/>
      <c r="C142" s="395"/>
      <c r="D142" s="280"/>
      <c r="E142" s="395"/>
      <c r="F142" s="395"/>
      <c r="G142" s="395"/>
      <c r="H142" s="395"/>
      <c r="I142" s="395"/>
      <c r="J142" s="395"/>
      <c r="K142" s="368"/>
      <c r="L142" s="368"/>
      <c r="M142" s="368"/>
      <c r="N142" s="368"/>
      <c r="O142" s="368"/>
    </row>
    <row r="143" spans="1:15" s="57" customFormat="1">
      <c r="A143" s="62">
        <v>17</v>
      </c>
      <c r="B143" s="60" t="s">
        <v>103</v>
      </c>
      <c r="C143" s="393"/>
      <c r="D143" s="61"/>
      <c r="E143" s="393"/>
      <c r="F143" s="393"/>
      <c r="G143" s="61"/>
      <c r="H143" s="393"/>
      <c r="I143" s="393"/>
      <c r="J143" s="393"/>
      <c r="K143" s="393"/>
      <c r="L143" s="393"/>
      <c r="M143" s="393"/>
      <c r="N143" s="393"/>
      <c r="O143" s="393"/>
    </row>
    <row r="144" spans="1:15" s="57" customFormat="1" ht="79.2">
      <c r="A144" s="166" t="s">
        <v>14</v>
      </c>
      <c r="B144" s="133" t="s">
        <v>1286</v>
      </c>
      <c r="C144" s="394">
        <v>1</v>
      </c>
      <c r="D144" s="280" t="s">
        <v>27</v>
      </c>
      <c r="E144" s="440">
        <v>1716</v>
      </c>
      <c r="F144" s="109">
        <f t="shared" ref="F144:F151" si="56">E144*C144</f>
        <v>1716</v>
      </c>
      <c r="G144" s="439">
        <f>'Measurement sheet'!F260</f>
        <v>0</v>
      </c>
      <c r="H144" s="438">
        <f t="shared" ref="H144:H151" si="57">ROUND(G144,2)</f>
        <v>0</v>
      </c>
      <c r="I144" s="438">
        <f t="shared" ref="I144:I151" si="58">H144*E144</f>
        <v>0</v>
      </c>
      <c r="J144" s="438">
        <f t="shared" ref="J144:J151" si="59">G144-C144</f>
        <v>-1</v>
      </c>
      <c r="K144" s="438">
        <f t="shared" ref="K144:K151" si="60">I144-F144</f>
        <v>-1716</v>
      </c>
      <c r="L144" s="438">
        <f t="shared" ref="L144:L151" si="61">IF(F144&lt;I144,(I144-F144),0)</f>
        <v>0</v>
      </c>
      <c r="M144" s="438">
        <f t="shared" ref="M144:M151" si="62">IF(F144&gt;I144,(I144-F144),0)</f>
        <v>-1716</v>
      </c>
      <c r="N144" s="438">
        <f t="shared" ref="N144:N151" si="63">M144+L144</f>
        <v>-1716</v>
      </c>
      <c r="O144" s="368"/>
    </row>
    <row r="145" spans="1:15" s="57" customFormat="1" ht="52.8">
      <c r="A145" s="166" t="s">
        <v>44</v>
      </c>
      <c r="B145" s="133" t="s">
        <v>1287</v>
      </c>
      <c r="C145" s="394">
        <v>8</v>
      </c>
      <c r="D145" s="280" t="s">
        <v>27</v>
      </c>
      <c r="E145" s="440">
        <v>1222</v>
      </c>
      <c r="F145" s="109">
        <f t="shared" si="56"/>
        <v>9776</v>
      </c>
      <c r="G145" s="439">
        <f>'Measurement sheet'!F261</f>
        <v>6</v>
      </c>
      <c r="H145" s="438">
        <f t="shared" si="57"/>
        <v>6</v>
      </c>
      <c r="I145" s="438">
        <f t="shared" si="58"/>
        <v>7332</v>
      </c>
      <c r="J145" s="438">
        <f t="shared" si="59"/>
        <v>-2</v>
      </c>
      <c r="K145" s="438">
        <f t="shared" si="60"/>
        <v>-2444</v>
      </c>
      <c r="L145" s="438">
        <f t="shared" si="61"/>
        <v>0</v>
      </c>
      <c r="M145" s="438">
        <f t="shared" si="62"/>
        <v>-2444</v>
      </c>
      <c r="N145" s="438">
        <f t="shared" si="63"/>
        <v>-2444</v>
      </c>
      <c r="O145" s="368"/>
    </row>
    <row r="146" spans="1:15" s="57" customFormat="1" ht="92.4">
      <c r="A146" s="166" t="s">
        <v>46</v>
      </c>
      <c r="B146" s="133" t="s">
        <v>1288</v>
      </c>
      <c r="C146" s="394">
        <v>2</v>
      </c>
      <c r="D146" s="280" t="s">
        <v>27</v>
      </c>
      <c r="E146" s="440">
        <v>2008</v>
      </c>
      <c r="F146" s="109">
        <f t="shared" si="56"/>
        <v>4016</v>
      </c>
      <c r="G146" s="439">
        <f>'Measurement sheet'!F262</f>
        <v>2</v>
      </c>
      <c r="H146" s="438">
        <f t="shared" si="57"/>
        <v>2</v>
      </c>
      <c r="I146" s="438">
        <f t="shared" si="58"/>
        <v>4016</v>
      </c>
      <c r="J146" s="438">
        <f t="shared" si="59"/>
        <v>0</v>
      </c>
      <c r="K146" s="438">
        <f t="shared" si="60"/>
        <v>0</v>
      </c>
      <c r="L146" s="438">
        <f t="shared" si="61"/>
        <v>0</v>
      </c>
      <c r="M146" s="438">
        <f t="shared" si="62"/>
        <v>0</v>
      </c>
      <c r="N146" s="438">
        <f t="shared" si="63"/>
        <v>0</v>
      </c>
      <c r="O146" s="368"/>
    </row>
    <row r="147" spans="1:15" s="57" customFormat="1" ht="26.4">
      <c r="A147" s="166" t="s">
        <v>47</v>
      </c>
      <c r="B147" s="133" t="s">
        <v>1289</v>
      </c>
      <c r="C147" s="394">
        <v>6</v>
      </c>
      <c r="D147" s="280" t="s">
        <v>27</v>
      </c>
      <c r="E147" s="440">
        <v>1716</v>
      </c>
      <c r="F147" s="109">
        <f t="shared" si="56"/>
        <v>10296</v>
      </c>
      <c r="G147" s="439">
        <f>'Measurement sheet'!F263</f>
        <v>4</v>
      </c>
      <c r="H147" s="438">
        <f t="shared" si="57"/>
        <v>4</v>
      </c>
      <c r="I147" s="438">
        <f t="shared" si="58"/>
        <v>6864</v>
      </c>
      <c r="J147" s="438">
        <f t="shared" si="59"/>
        <v>-2</v>
      </c>
      <c r="K147" s="438">
        <f t="shared" si="60"/>
        <v>-3432</v>
      </c>
      <c r="L147" s="438">
        <f t="shared" si="61"/>
        <v>0</v>
      </c>
      <c r="M147" s="438">
        <f t="shared" si="62"/>
        <v>-3432</v>
      </c>
      <c r="N147" s="438">
        <f t="shared" si="63"/>
        <v>-3432</v>
      </c>
      <c r="O147" s="368"/>
    </row>
    <row r="148" spans="1:15" s="57" customFormat="1" ht="79.2">
      <c r="A148" s="166" t="s">
        <v>50</v>
      </c>
      <c r="B148" s="133" t="s">
        <v>1290</v>
      </c>
      <c r="C148" s="394">
        <v>4</v>
      </c>
      <c r="D148" s="280" t="s">
        <v>27</v>
      </c>
      <c r="E148" s="440">
        <v>2309</v>
      </c>
      <c r="F148" s="109">
        <f t="shared" si="56"/>
        <v>9236</v>
      </c>
      <c r="G148" s="439">
        <f>'Measurement sheet'!F264</f>
        <v>4</v>
      </c>
      <c r="H148" s="438">
        <f t="shared" si="57"/>
        <v>4</v>
      </c>
      <c r="I148" s="438">
        <f t="shared" si="58"/>
        <v>9236</v>
      </c>
      <c r="J148" s="438">
        <f t="shared" si="59"/>
        <v>0</v>
      </c>
      <c r="K148" s="438">
        <f t="shared" si="60"/>
        <v>0</v>
      </c>
      <c r="L148" s="438">
        <f t="shared" si="61"/>
        <v>0</v>
      </c>
      <c r="M148" s="438">
        <f t="shared" si="62"/>
        <v>0</v>
      </c>
      <c r="N148" s="438">
        <f t="shared" si="63"/>
        <v>0</v>
      </c>
      <c r="O148" s="368"/>
    </row>
    <row r="149" spans="1:15" s="57" customFormat="1" ht="79.2">
      <c r="A149" s="166" t="s">
        <v>52</v>
      </c>
      <c r="B149" s="133" t="s">
        <v>1291</v>
      </c>
      <c r="C149" s="394"/>
      <c r="D149" s="280" t="s">
        <v>27</v>
      </c>
      <c r="E149" s="440">
        <v>10000</v>
      </c>
      <c r="F149" s="109">
        <f t="shared" si="56"/>
        <v>0</v>
      </c>
      <c r="G149" s="436"/>
      <c r="H149" s="438">
        <f t="shared" si="57"/>
        <v>0</v>
      </c>
      <c r="I149" s="438">
        <f t="shared" si="58"/>
        <v>0</v>
      </c>
      <c r="J149" s="438">
        <f t="shared" si="59"/>
        <v>0</v>
      </c>
      <c r="K149" s="438">
        <f t="shared" si="60"/>
        <v>0</v>
      </c>
      <c r="L149" s="438">
        <f t="shared" si="61"/>
        <v>0</v>
      </c>
      <c r="M149" s="438">
        <f t="shared" si="62"/>
        <v>0</v>
      </c>
      <c r="N149" s="438">
        <f t="shared" si="63"/>
        <v>0</v>
      </c>
      <c r="O149" s="368"/>
    </row>
    <row r="150" spans="1:15" s="57" customFormat="1" ht="79.2">
      <c r="A150" s="166" t="s">
        <v>53</v>
      </c>
      <c r="B150" s="144" t="s">
        <v>1292</v>
      </c>
      <c r="C150" s="394">
        <v>8</v>
      </c>
      <c r="D150" s="280" t="s">
        <v>27</v>
      </c>
      <c r="E150" s="440">
        <v>228</v>
      </c>
      <c r="F150" s="109">
        <f t="shared" si="56"/>
        <v>1824</v>
      </c>
      <c r="G150" s="439">
        <f>'Measurement sheet'!F265</f>
        <v>0</v>
      </c>
      <c r="H150" s="438">
        <f t="shared" si="57"/>
        <v>0</v>
      </c>
      <c r="I150" s="438">
        <f t="shared" si="58"/>
        <v>0</v>
      </c>
      <c r="J150" s="438">
        <f t="shared" si="59"/>
        <v>-8</v>
      </c>
      <c r="K150" s="438">
        <f t="shared" si="60"/>
        <v>-1824</v>
      </c>
      <c r="L150" s="438">
        <f t="shared" si="61"/>
        <v>0</v>
      </c>
      <c r="M150" s="438">
        <f t="shared" si="62"/>
        <v>-1824</v>
      </c>
      <c r="N150" s="438">
        <f t="shared" si="63"/>
        <v>-1824</v>
      </c>
      <c r="O150" s="368"/>
    </row>
    <row r="151" spans="1:15" s="57" customFormat="1" ht="52.8">
      <c r="A151" s="166" t="s">
        <v>85</v>
      </c>
      <c r="B151" s="303" t="s">
        <v>1293</v>
      </c>
      <c r="C151" s="394">
        <v>2</v>
      </c>
      <c r="D151" s="280" t="s">
        <v>27</v>
      </c>
      <c r="E151" s="440">
        <v>1716</v>
      </c>
      <c r="F151" s="109">
        <f t="shared" si="56"/>
        <v>3432</v>
      </c>
      <c r="G151" s="439">
        <f>'Measurement sheet'!F266</f>
        <v>2</v>
      </c>
      <c r="H151" s="438">
        <f t="shared" si="57"/>
        <v>2</v>
      </c>
      <c r="I151" s="438">
        <f t="shared" si="58"/>
        <v>3432</v>
      </c>
      <c r="J151" s="438">
        <f t="shared" si="59"/>
        <v>0</v>
      </c>
      <c r="K151" s="438">
        <f t="shared" si="60"/>
        <v>0</v>
      </c>
      <c r="L151" s="438">
        <f t="shared" si="61"/>
        <v>0</v>
      </c>
      <c r="M151" s="438">
        <f t="shared" si="62"/>
        <v>0</v>
      </c>
      <c r="N151" s="438">
        <f t="shared" si="63"/>
        <v>0</v>
      </c>
      <c r="O151" s="368"/>
    </row>
    <row r="152" spans="1:15" s="57" customFormat="1">
      <c r="A152" s="272"/>
      <c r="B152" s="81"/>
      <c r="C152" s="400"/>
      <c r="D152" s="280"/>
      <c r="E152" s="400"/>
      <c r="F152" s="400"/>
      <c r="G152" s="400"/>
      <c r="H152" s="400"/>
      <c r="I152" s="400"/>
      <c r="J152" s="400"/>
      <c r="K152" s="368"/>
      <c r="L152" s="368"/>
      <c r="M152" s="368"/>
      <c r="N152" s="368"/>
      <c r="O152" s="368"/>
    </row>
    <row r="153" spans="1:15" s="57" customFormat="1">
      <c r="A153" s="62">
        <v>18</v>
      </c>
      <c r="B153" s="60" t="s">
        <v>104</v>
      </c>
      <c r="C153" s="393"/>
      <c r="D153" s="61"/>
      <c r="E153" s="393"/>
      <c r="F153" s="393"/>
      <c r="G153" s="61"/>
      <c r="H153" s="393"/>
      <c r="I153" s="393"/>
      <c r="J153" s="393"/>
      <c r="K153" s="393"/>
      <c r="L153" s="393"/>
      <c r="M153" s="393"/>
      <c r="N153" s="393"/>
      <c r="O153" s="393"/>
    </row>
    <row r="154" spans="1:15" s="57" customFormat="1" ht="26.4">
      <c r="A154" s="272" t="s">
        <v>14</v>
      </c>
      <c r="B154" s="81" t="s">
        <v>1294</v>
      </c>
      <c r="C154" s="394">
        <v>5</v>
      </c>
      <c r="D154" s="280" t="s">
        <v>27</v>
      </c>
      <c r="E154" s="440">
        <v>1207</v>
      </c>
      <c r="F154" s="109">
        <f>E154*C154</f>
        <v>6035</v>
      </c>
      <c r="G154" s="439">
        <f>'Measurement sheet'!F268</f>
        <v>4</v>
      </c>
      <c r="H154" s="438">
        <f>ROUND(G154,2)</f>
        <v>4</v>
      </c>
      <c r="I154" s="438">
        <f>H154*E154</f>
        <v>4828</v>
      </c>
      <c r="J154" s="438">
        <f>G154-C154</f>
        <v>-1</v>
      </c>
      <c r="K154" s="438">
        <f>I154-F154</f>
        <v>-1207</v>
      </c>
      <c r="L154" s="438">
        <f>IF(F154&lt;I154,(I154-F154),0)</f>
        <v>0</v>
      </c>
      <c r="M154" s="438">
        <f>IF(F154&gt;I154,(I154-F154),0)</f>
        <v>-1207</v>
      </c>
      <c r="N154" s="438">
        <f>M154+L154</f>
        <v>-1207</v>
      </c>
      <c r="O154" s="368"/>
    </row>
    <row r="155" spans="1:15" s="57" customFormat="1" ht="26.4">
      <c r="A155" s="272" t="s">
        <v>44</v>
      </c>
      <c r="B155" s="81" t="s">
        <v>1295</v>
      </c>
      <c r="C155" s="394">
        <v>5</v>
      </c>
      <c r="D155" s="280" t="s">
        <v>27</v>
      </c>
      <c r="E155" s="440">
        <v>762</v>
      </c>
      <c r="F155" s="109">
        <f>E155*C155</f>
        <v>3810</v>
      </c>
      <c r="G155" s="439">
        <f>'Measurement sheet'!F269</f>
        <v>2</v>
      </c>
      <c r="H155" s="438">
        <f>ROUND(G155,2)</f>
        <v>2</v>
      </c>
      <c r="I155" s="438">
        <f>H155*E155</f>
        <v>1524</v>
      </c>
      <c r="J155" s="438">
        <f>G155-C155</f>
        <v>-3</v>
      </c>
      <c r="K155" s="438">
        <f>I155-F155</f>
        <v>-2286</v>
      </c>
      <c r="L155" s="438">
        <f>IF(F155&lt;I155,(I155-F155),0)</f>
        <v>0</v>
      </c>
      <c r="M155" s="438">
        <f>IF(F155&gt;I155,(I155-F155),0)</f>
        <v>-2286</v>
      </c>
      <c r="N155" s="438">
        <f>M155+L155</f>
        <v>-2286</v>
      </c>
      <c r="O155" s="368"/>
    </row>
    <row r="156" spans="1:15" s="57" customFormat="1" ht="26.4">
      <c r="A156" s="272" t="s">
        <v>46</v>
      </c>
      <c r="B156" s="81" t="s">
        <v>1296</v>
      </c>
      <c r="C156" s="394">
        <v>3</v>
      </c>
      <c r="D156" s="280" t="s">
        <v>27</v>
      </c>
      <c r="E156" s="440">
        <v>495</v>
      </c>
      <c r="F156" s="109">
        <f>E156*C156</f>
        <v>1485</v>
      </c>
      <c r="G156" s="439">
        <f>'Measurement sheet'!F270</f>
        <v>2</v>
      </c>
      <c r="H156" s="438">
        <f>ROUND(G156,2)</f>
        <v>2</v>
      </c>
      <c r="I156" s="438">
        <f>H156*E156</f>
        <v>990</v>
      </c>
      <c r="J156" s="438">
        <f>G156-C156</f>
        <v>-1</v>
      </c>
      <c r="K156" s="438">
        <f>I156-F156</f>
        <v>-495</v>
      </c>
      <c r="L156" s="438">
        <f>IF(F156&lt;I156,(I156-F156),0)</f>
        <v>0</v>
      </c>
      <c r="M156" s="438">
        <f>IF(F156&gt;I156,(I156-F156),0)</f>
        <v>-495</v>
      </c>
      <c r="N156" s="438">
        <f>M156+L156</f>
        <v>-495</v>
      </c>
      <c r="O156" s="368"/>
    </row>
    <row r="157" spans="1:15" s="57" customFormat="1">
      <c r="A157" s="272" t="s">
        <v>47</v>
      </c>
      <c r="B157" s="81" t="s">
        <v>1297</v>
      </c>
      <c r="C157" s="394">
        <v>5</v>
      </c>
      <c r="D157" s="280" t="s">
        <v>27</v>
      </c>
      <c r="E157" s="440">
        <v>805</v>
      </c>
      <c r="F157" s="109">
        <f>E157*C157</f>
        <v>4025</v>
      </c>
      <c r="G157" s="439">
        <f>'Measurement sheet'!F271</f>
        <v>4</v>
      </c>
      <c r="H157" s="438">
        <f>ROUND(G157,2)</f>
        <v>4</v>
      </c>
      <c r="I157" s="438">
        <f>H157*E157</f>
        <v>3220</v>
      </c>
      <c r="J157" s="438">
        <f>G157-C157</f>
        <v>-1</v>
      </c>
      <c r="K157" s="438">
        <f>I157-F157</f>
        <v>-805</v>
      </c>
      <c r="L157" s="438">
        <f>IF(F157&lt;I157,(I157-F157),0)</f>
        <v>0</v>
      </c>
      <c r="M157" s="438">
        <f>IF(F157&gt;I157,(I157-F157),0)</f>
        <v>-805</v>
      </c>
      <c r="N157" s="438">
        <f>M157+L157</f>
        <v>-805</v>
      </c>
      <c r="O157" s="368"/>
    </row>
    <row r="158" spans="1:15" s="57" customFormat="1">
      <c r="A158" s="106"/>
      <c r="B158" s="65"/>
      <c r="C158" s="396"/>
      <c r="D158" s="103"/>
      <c r="E158" s="396"/>
      <c r="F158" s="396"/>
      <c r="G158" s="396"/>
      <c r="H158" s="396"/>
      <c r="I158" s="396"/>
      <c r="J158" s="396"/>
      <c r="K158" s="368"/>
      <c r="L158" s="368"/>
      <c r="M158" s="368"/>
      <c r="N158" s="368"/>
      <c r="O158" s="368"/>
    </row>
    <row r="159" spans="1:15" s="57" customFormat="1">
      <c r="A159" s="62">
        <v>19</v>
      </c>
      <c r="B159" s="60" t="s">
        <v>105</v>
      </c>
      <c r="C159" s="393"/>
      <c r="D159" s="61"/>
      <c r="E159" s="393"/>
      <c r="F159" s="393"/>
      <c r="G159" s="61"/>
      <c r="H159" s="393"/>
      <c r="I159" s="393"/>
      <c r="J159" s="393"/>
      <c r="K159" s="393"/>
      <c r="L159" s="393"/>
      <c r="M159" s="393"/>
      <c r="N159" s="393"/>
      <c r="O159" s="393"/>
    </row>
    <row r="160" spans="1:15" s="57" customFormat="1" ht="66">
      <c r="A160" s="272" t="s">
        <v>14</v>
      </c>
      <c r="B160" s="81" t="s">
        <v>106</v>
      </c>
      <c r="C160" s="401"/>
      <c r="D160" s="103"/>
      <c r="E160" s="396"/>
      <c r="F160" s="109"/>
      <c r="G160" s="109"/>
      <c r="H160" s="109"/>
      <c r="I160" s="109"/>
      <c r="J160" s="301"/>
      <c r="K160" s="368"/>
      <c r="L160" s="368"/>
      <c r="M160" s="368"/>
      <c r="N160" s="368"/>
      <c r="O160" s="368"/>
    </row>
    <row r="161" spans="1:15" s="57" customFormat="1">
      <c r="A161" s="272" t="s">
        <v>16</v>
      </c>
      <c r="B161" s="81" t="s">
        <v>107</v>
      </c>
      <c r="C161" s="394"/>
      <c r="D161" s="71" t="s">
        <v>74</v>
      </c>
      <c r="E161" s="437">
        <v>94</v>
      </c>
      <c r="F161" s="109">
        <f>E161*C161</f>
        <v>0</v>
      </c>
      <c r="G161" s="436"/>
      <c r="H161" s="438">
        <f>ROUND(G161,2)</f>
        <v>0</v>
      </c>
      <c r="I161" s="438">
        <f>H161*E161</f>
        <v>0</v>
      </c>
      <c r="J161" s="438">
        <f>G161-C161</f>
        <v>0</v>
      </c>
      <c r="K161" s="438">
        <f>I161-F161</f>
        <v>0</v>
      </c>
      <c r="L161" s="438">
        <f>IF(F161&lt;I161,(I161-F161),0)</f>
        <v>0</v>
      </c>
      <c r="M161" s="438">
        <f>IF(F161&gt;I161,(I161-F161),0)</f>
        <v>0</v>
      </c>
      <c r="N161" s="438">
        <f>M161+L161</f>
        <v>0</v>
      </c>
      <c r="O161" s="368"/>
    </row>
    <row r="162" spans="1:15" s="57" customFormat="1">
      <c r="A162" s="272" t="s">
        <v>19</v>
      </c>
      <c r="B162" s="81" t="s">
        <v>108</v>
      </c>
      <c r="C162" s="394"/>
      <c r="D162" s="71" t="s">
        <v>74</v>
      </c>
      <c r="E162" s="437">
        <v>106</v>
      </c>
      <c r="F162" s="109">
        <f>E162*C162</f>
        <v>0</v>
      </c>
      <c r="G162" s="436"/>
      <c r="H162" s="438">
        <f>ROUND(G162,2)</f>
        <v>0</v>
      </c>
      <c r="I162" s="438">
        <f>H162*E162</f>
        <v>0</v>
      </c>
      <c r="J162" s="438">
        <f>G162-C162</f>
        <v>0</v>
      </c>
      <c r="K162" s="438">
        <f>I162-F162</f>
        <v>0</v>
      </c>
      <c r="L162" s="438">
        <f>IF(F162&lt;I162,(I162-F162),0)</f>
        <v>0</v>
      </c>
      <c r="M162" s="438">
        <f>IF(F162&gt;I162,(I162-F162),0)</f>
        <v>0</v>
      </c>
      <c r="N162" s="438">
        <f>M162+L162</f>
        <v>0</v>
      </c>
      <c r="O162" s="368"/>
    </row>
    <row r="163" spans="1:15" s="57" customFormat="1">
      <c r="A163" s="272" t="s">
        <v>21</v>
      </c>
      <c r="B163" s="81" t="s">
        <v>109</v>
      </c>
      <c r="C163" s="394">
        <v>25</v>
      </c>
      <c r="D163" s="71" t="s">
        <v>74</v>
      </c>
      <c r="E163" s="437">
        <v>131</v>
      </c>
      <c r="F163" s="109">
        <f>E163*C163</f>
        <v>3275</v>
      </c>
      <c r="G163" s="439">
        <f>'Measurement sheet'!F274</f>
        <v>5</v>
      </c>
      <c r="H163" s="438">
        <f>ROUND(G163,2)</f>
        <v>5</v>
      </c>
      <c r="I163" s="438">
        <f>H163*E163</f>
        <v>655</v>
      </c>
      <c r="J163" s="438">
        <f>G163-C163</f>
        <v>-20</v>
      </c>
      <c r="K163" s="438">
        <f>I163-F163</f>
        <v>-2620</v>
      </c>
      <c r="L163" s="438">
        <f>IF(F163&lt;I163,(I163-F163),0)</f>
        <v>0</v>
      </c>
      <c r="M163" s="438">
        <f>IF(F163&gt;I163,(I163-F163),0)</f>
        <v>-2620</v>
      </c>
      <c r="N163" s="438">
        <f>M163+L163</f>
        <v>-2620</v>
      </c>
      <c r="O163" s="368"/>
    </row>
    <row r="164" spans="1:15" s="57" customFormat="1">
      <c r="A164" s="272" t="s">
        <v>23</v>
      </c>
      <c r="B164" s="81" t="s">
        <v>110</v>
      </c>
      <c r="C164" s="394"/>
      <c r="D164" s="71" t="s">
        <v>74</v>
      </c>
      <c r="E164" s="437">
        <v>150</v>
      </c>
      <c r="F164" s="109">
        <f>E164*C164</f>
        <v>0</v>
      </c>
      <c r="G164" s="436"/>
      <c r="H164" s="438">
        <f>ROUND(G164,2)</f>
        <v>0</v>
      </c>
      <c r="I164" s="438">
        <f>H164*E164</f>
        <v>0</v>
      </c>
      <c r="J164" s="438">
        <f>G164-C164</f>
        <v>0</v>
      </c>
      <c r="K164" s="438">
        <f>I164-F164</f>
        <v>0</v>
      </c>
      <c r="L164" s="438">
        <f>IF(F164&lt;I164,(I164-F164),0)</f>
        <v>0</v>
      </c>
      <c r="M164" s="438">
        <f>IF(F164&gt;I164,(I164-F164),0)</f>
        <v>0</v>
      </c>
      <c r="N164" s="438">
        <f>M164+L164</f>
        <v>0</v>
      </c>
      <c r="O164" s="368"/>
    </row>
    <row r="165" spans="1:15" s="57" customFormat="1" ht="79.2">
      <c r="A165" s="272" t="s">
        <v>44</v>
      </c>
      <c r="B165" s="81" t="s">
        <v>111</v>
      </c>
      <c r="C165" s="402"/>
      <c r="D165" s="280"/>
      <c r="E165" s="395"/>
      <c r="F165" s="109"/>
      <c r="G165" s="109"/>
      <c r="H165" s="109"/>
      <c r="I165" s="109"/>
      <c r="J165" s="301"/>
      <c r="K165" s="368"/>
      <c r="L165" s="368"/>
      <c r="M165" s="368"/>
      <c r="N165" s="368"/>
      <c r="O165" s="368"/>
    </row>
    <row r="166" spans="1:15" s="57" customFormat="1">
      <c r="A166" s="272" t="s">
        <v>16</v>
      </c>
      <c r="B166" s="81" t="s">
        <v>112</v>
      </c>
      <c r="C166" s="394"/>
      <c r="D166" s="71" t="s">
        <v>74</v>
      </c>
      <c r="E166" s="437">
        <v>93</v>
      </c>
      <c r="F166" s="109">
        <f>E166*C166</f>
        <v>0</v>
      </c>
      <c r="G166" s="436"/>
      <c r="H166" s="438">
        <f>ROUND(G166,2)</f>
        <v>0</v>
      </c>
      <c r="I166" s="438">
        <f>H166*E166</f>
        <v>0</v>
      </c>
      <c r="J166" s="438">
        <f>G166-C166</f>
        <v>0</v>
      </c>
      <c r="K166" s="438">
        <f>I166-F166</f>
        <v>0</v>
      </c>
      <c r="L166" s="438">
        <f>IF(F166&lt;I166,(I166-F166),0)</f>
        <v>0</v>
      </c>
      <c r="M166" s="438">
        <f>IF(F166&gt;I166,(I166-F166),0)</f>
        <v>0</v>
      </c>
      <c r="N166" s="438">
        <f>M166+L166</f>
        <v>0</v>
      </c>
      <c r="O166" s="368"/>
    </row>
    <row r="167" spans="1:15" s="57" customFormat="1" ht="28.8">
      <c r="A167" s="272" t="s">
        <v>19</v>
      </c>
      <c r="B167" s="81" t="s">
        <v>113</v>
      </c>
      <c r="C167" s="394">
        <v>25</v>
      </c>
      <c r="D167" s="71" t="s">
        <v>74</v>
      </c>
      <c r="E167" s="437">
        <v>156</v>
      </c>
      <c r="F167" s="109">
        <f>E167*C167</f>
        <v>3900</v>
      </c>
      <c r="G167" s="439">
        <f>'Measurement sheet'!F276</f>
        <v>30</v>
      </c>
      <c r="H167" s="438">
        <f>ROUND(G167,2)</f>
        <v>30</v>
      </c>
      <c r="I167" s="438">
        <f>H167*E167</f>
        <v>4680</v>
      </c>
      <c r="J167" s="438">
        <f>G167-C167</f>
        <v>5</v>
      </c>
      <c r="K167" s="438">
        <f>I167-F167</f>
        <v>780</v>
      </c>
      <c r="L167" s="438">
        <f>IF(F167&lt;I167,(I167-F167),0)</f>
        <v>780</v>
      </c>
      <c r="M167" s="438">
        <f>IF(F167&gt;I167,(I167-F167),0)</f>
        <v>0</v>
      </c>
      <c r="N167" s="438">
        <f>M167+L167</f>
        <v>780</v>
      </c>
      <c r="O167" s="478" t="s">
        <v>1610</v>
      </c>
    </row>
    <row r="168" spans="1:15" s="57" customFormat="1">
      <c r="A168" s="272" t="s">
        <v>21</v>
      </c>
      <c r="B168" s="81" t="s">
        <v>114</v>
      </c>
      <c r="C168" s="394"/>
      <c r="D168" s="71" t="s">
        <v>74</v>
      </c>
      <c r="E168" s="437">
        <v>159</v>
      </c>
      <c r="F168" s="109">
        <f>E168*C168</f>
        <v>0</v>
      </c>
      <c r="G168" s="436"/>
      <c r="H168" s="438">
        <f>ROUND(G168,2)</f>
        <v>0</v>
      </c>
      <c r="I168" s="438">
        <f>H168*E168</f>
        <v>0</v>
      </c>
      <c r="J168" s="438">
        <f>G168-C168</f>
        <v>0</v>
      </c>
      <c r="K168" s="438">
        <f>I168-F168</f>
        <v>0</v>
      </c>
      <c r="L168" s="438">
        <f>IF(F168&lt;I168,(I168-F168),0)</f>
        <v>0</v>
      </c>
      <c r="M168" s="438">
        <f>IF(F168&gt;I168,(I168-F168),0)</f>
        <v>0</v>
      </c>
      <c r="N168" s="438">
        <f>M168+L168</f>
        <v>0</v>
      </c>
      <c r="O168" s="368"/>
    </row>
    <row r="169" spans="1:15" s="57" customFormat="1" ht="118.8">
      <c r="A169" s="272" t="s">
        <v>46</v>
      </c>
      <c r="B169" s="81" t="s">
        <v>1298</v>
      </c>
      <c r="C169" s="402"/>
      <c r="D169" s="280"/>
      <c r="E169" s="395"/>
      <c r="F169" s="109"/>
      <c r="G169" s="109"/>
      <c r="H169" s="109"/>
      <c r="I169" s="109"/>
      <c r="J169" s="301"/>
      <c r="K169" s="368"/>
      <c r="L169" s="368"/>
      <c r="M169" s="368"/>
      <c r="N169" s="368"/>
      <c r="O169" s="368"/>
    </row>
    <row r="170" spans="1:15" s="57" customFormat="1">
      <c r="A170" s="272" t="s">
        <v>16</v>
      </c>
      <c r="B170" s="81" t="s">
        <v>115</v>
      </c>
      <c r="C170" s="394"/>
      <c r="D170" s="71" t="s">
        <v>74</v>
      </c>
      <c r="E170" s="437">
        <v>805</v>
      </c>
      <c r="F170" s="109">
        <f>E170*C170</f>
        <v>0</v>
      </c>
      <c r="G170" s="436"/>
      <c r="H170" s="438">
        <f>ROUND(G170,2)</f>
        <v>0</v>
      </c>
      <c r="I170" s="438">
        <f>H170*E170</f>
        <v>0</v>
      </c>
      <c r="J170" s="438">
        <f>G170-C170</f>
        <v>0</v>
      </c>
      <c r="K170" s="438">
        <f>I170-F170</f>
        <v>0</v>
      </c>
      <c r="L170" s="438">
        <f>IF(F170&lt;I170,(I170-F170),0)</f>
        <v>0</v>
      </c>
      <c r="M170" s="438">
        <f>IF(F170&gt;I170,(I170-F170),0)</f>
        <v>0</v>
      </c>
      <c r="N170" s="438">
        <f>M170+L170</f>
        <v>0</v>
      </c>
      <c r="O170" s="368"/>
    </row>
    <row r="171" spans="1:15" s="57" customFormat="1" ht="66">
      <c r="A171" s="272" t="s">
        <v>47</v>
      </c>
      <c r="B171" s="81" t="s">
        <v>116</v>
      </c>
      <c r="C171" s="402"/>
      <c r="D171" s="280"/>
      <c r="E171" s="395"/>
      <c r="F171" s="109"/>
      <c r="G171" s="109"/>
      <c r="H171" s="109"/>
      <c r="I171" s="109"/>
      <c r="J171" s="301"/>
      <c r="K171" s="368"/>
      <c r="L171" s="368"/>
      <c r="M171" s="368"/>
      <c r="N171" s="368"/>
      <c r="O171" s="368"/>
    </row>
    <row r="172" spans="1:15" s="57" customFormat="1">
      <c r="A172" s="272" t="s">
        <v>16</v>
      </c>
      <c r="B172" s="81" t="s">
        <v>115</v>
      </c>
      <c r="C172" s="394"/>
      <c r="D172" s="71" t="s">
        <v>74</v>
      </c>
      <c r="E172" s="437">
        <v>141</v>
      </c>
      <c r="F172" s="109">
        <f>E172*C172</f>
        <v>0</v>
      </c>
      <c r="G172" s="436"/>
      <c r="H172" s="438">
        <f>ROUND(G172,2)</f>
        <v>0</v>
      </c>
      <c r="I172" s="438">
        <f>H172*E172</f>
        <v>0</v>
      </c>
      <c r="J172" s="438">
        <f>G172-C172</f>
        <v>0</v>
      </c>
      <c r="K172" s="438">
        <f>I172-F172</f>
        <v>0</v>
      </c>
      <c r="L172" s="438">
        <f>IF(F172&lt;I172,(I172-F172),0)</f>
        <v>0</v>
      </c>
      <c r="M172" s="438">
        <f>IF(F172&gt;I172,(I172-F172),0)</f>
        <v>0</v>
      </c>
      <c r="N172" s="438">
        <f>M172+L172</f>
        <v>0</v>
      </c>
      <c r="O172" s="368"/>
    </row>
    <row r="173" spans="1:15" s="57" customFormat="1">
      <c r="A173" s="272" t="s">
        <v>19</v>
      </c>
      <c r="B173" s="81" t="s">
        <v>114</v>
      </c>
      <c r="C173" s="394"/>
      <c r="D173" s="71" t="s">
        <v>74</v>
      </c>
      <c r="E173" s="437">
        <v>152</v>
      </c>
      <c r="F173" s="109">
        <f>E173*C173</f>
        <v>0</v>
      </c>
      <c r="G173" s="436"/>
      <c r="H173" s="438">
        <f>ROUND(G173,2)</f>
        <v>0</v>
      </c>
      <c r="I173" s="438">
        <f>H173*E173</f>
        <v>0</v>
      </c>
      <c r="J173" s="438">
        <f>G173-C173</f>
        <v>0</v>
      </c>
      <c r="K173" s="438">
        <f>I173-F173</f>
        <v>0</v>
      </c>
      <c r="L173" s="438">
        <f>IF(F173&lt;I173,(I173-F173),0)</f>
        <v>0</v>
      </c>
      <c r="M173" s="438">
        <f>IF(F173&gt;I173,(I173-F173),0)</f>
        <v>0</v>
      </c>
      <c r="N173" s="438">
        <f>M173+L173</f>
        <v>0</v>
      </c>
      <c r="O173" s="368"/>
    </row>
    <row r="174" spans="1:15" s="57" customFormat="1" ht="66">
      <c r="A174" s="272" t="s">
        <v>50</v>
      </c>
      <c r="B174" s="81" t="s">
        <v>117</v>
      </c>
      <c r="C174" s="394"/>
      <c r="D174" s="280" t="s">
        <v>27</v>
      </c>
      <c r="E174" s="440">
        <v>2966</v>
      </c>
      <c r="F174" s="109">
        <f>E174*C174</f>
        <v>0</v>
      </c>
      <c r="G174" s="436"/>
      <c r="H174" s="438">
        <f>ROUND(G174,2)</f>
        <v>0</v>
      </c>
      <c r="I174" s="438">
        <f>H174*E174</f>
        <v>0</v>
      </c>
      <c r="J174" s="438">
        <f>G174-C174</f>
        <v>0</v>
      </c>
      <c r="K174" s="438">
        <f>I174-F174</f>
        <v>0</v>
      </c>
      <c r="L174" s="438">
        <f>IF(F174&lt;I174,(I174-F174),0)</f>
        <v>0</v>
      </c>
      <c r="M174" s="438">
        <f>IF(F174&gt;I174,(I174-F174),0)</f>
        <v>0</v>
      </c>
      <c r="N174" s="438">
        <f>M174+L174</f>
        <v>0</v>
      </c>
      <c r="O174" s="368"/>
    </row>
    <row r="175" spans="1:15" s="57" customFormat="1" ht="66">
      <c r="A175" s="272" t="s">
        <v>52</v>
      </c>
      <c r="B175" s="81" t="s">
        <v>118</v>
      </c>
      <c r="C175" s="394"/>
      <c r="D175" s="280" t="s">
        <v>27</v>
      </c>
      <c r="E175" s="440">
        <v>6356</v>
      </c>
      <c r="F175" s="109">
        <f>E175*C175</f>
        <v>0</v>
      </c>
      <c r="G175" s="436"/>
      <c r="H175" s="438">
        <f>ROUND(G175,2)</f>
        <v>0</v>
      </c>
      <c r="I175" s="438">
        <f>H175*E175</f>
        <v>0</v>
      </c>
      <c r="J175" s="438">
        <f>G175-C175</f>
        <v>0</v>
      </c>
      <c r="K175" s="438">
        <f>I175-F175</f>
        <v>0</v>
      </c>
      <c r="L175" s="438">
        <f>IF(F175&lt;I175,(I175-F175),0)</f>
        <v>0</v>
      </c>
      <c r="M175" s="438">
        <f>IF(F175&gt;I175,(I175-F175),0)</f>
        <v>0</v>
      </c>
      <c r="N175" s="438">
        <f>M175+L175</f>
        <v>0</v>
      </c>
      <c r="O175" s="368"/>
    </row>
    <row r="176" spans="1:15" s="57" customFormat="1">
      <c r="A176" s="106"/>
      <c r="B176" s="81"/>
      <c r="C176" s="395"/>
      <c r="D176" s="280"/>
      <c r="E176" s="395"/>
      <c r="F176" s="395"/>
      <c r="G176" s="395"/>
      <c r="H176" s="395"/>
      <c r="I176" s="395"/>
      <c r="J176" s="395"/>
      <c r="K176" s="368"/>
      <c r="L176" s="368"/>
      <c r="M176" s="368"/>
      <c r="N176" s="368"/>
      <c r="O176" s="368"/>
    </row>
    <row r="177" spans="1:15" s="57" customFormat="1">
      <c r="A177" s="62">
        <v>20</v>
      </c>
      <c r="B177" s="60" t="s">
        <v>119</v>
      </c>
      <c r="C177" s="393"/>
      <c r="D177" s="61"/>
      <c r="E177" s="393"/>
      <c r="F177" s="393"/>
      <c r="G177" s="61"/>
      <c r="H177" s="393"/>
      <c r="I177" s="393"/>
      <c r="J177" s="393"/>
      <c r="K177" s="393"/>
      <c r="L177" s="393"/>
      <c r="M177" s="393"/>
      <c r="N177" s="393"/>
      <c r="O177" s="393"/>
    </row>
    <row r="178" spans="1:15" s="57" customFormat="1" ht="105.6">
      <c r="A178" s="106" t="s">
        <v>14</v>
      </c>
      <c r="B178" s="81" t="s">
        <v>1299</v>
      </c>
      <c r="C178" s="394">
        <v>2540</v>
      </c>
      <c r="D178" s="71" t="s">
        <v>18</v>
      </c>
      <c r="E178" s="442">
        <v>18</v>
      </c>
      <c r="F178" s="109">
        <f>E178*C178</f>
        <v>45720</v>
      </c>
      <c r="G178" s="439">
        <f>'Measurement sheet'!F280</f>
        <v>2280</v>
      </c>
      <c r="H178" s="438">
        <f>ROUND(G178,2)</f>
        <v>2280</v>
      </c>
      <c r="I178" s="438">
        <f>H178*E178</f>
        <v>41040</v>
      </c>
      <c r="J178" s="438">
        <f>G178-C178</f>
        <v>-260</v>
      </c>
      <c r="K178" s="438">
        <f>I178-F178</f>
        <v>-4680</v>
      </c>
      <c r="L178" s="438">
        <f>IF(F178&lt;I178,(I178-F178),0)</f>
        <v>0</v>
      </c>
      <c r="M178" s="438">
        <f>IF(F178&gt;I178,(I178-F178),0)</f>
        <v>-4680</v>
      </c>
      <c r="N178" s="438">
        <f>M178+L178</f>
        <v>-4680</v>
      </c>
      <c r="O178" s="368"/>
    </row>
    <row r="179" spans="1:15" s="57" customFormat="1">
      <c r="A179" s="272"/>
      <c r="B179" s="81"/>
      <c r="C179" s="396"/>
      <c r="D179" s="103"/>
      <c r="E179" s="396"/>
      <c r="F179" s="396"/>
      <c r="G179" s="396"/>
      <c r="H179" s="396"/>
      <c r="I179" s="396"/>
      <c r="J179" s="396"/>
      <c r="K179" s="368"/>
      <c r="L179" s="368"/>
      <c r="M179" s="368"/>
      <c r="N179" s="368"/>
      <c r="O179" s="368"/>
    </row>
    <row r="180" spans="1:15" s="57" customFormat="1">
      <c r="A180" s="62">
        <v>21</v>
      </c>
      <c r="B180" s="60" t="s">
        <v>120</v>
      </c>
      <c r="C180" s="393"/>
      <c r="D180" s="61"/>
      <c r="E180" s="393"/>
      <c r="F180" s="393"/>
      <c r="G180" s="61"/>
      <c r="H180" s="393"/>
      <c r="I180" s="393"/>
      <c r="J180" s="393"/>
      <c r="K180" s="393"/>
      <c r="L180" s="393"/>
      <c r="M180" s="393"/>
      <c r="N180" s="393"/>
      <c r="O180" s="393"/>
    </row>
    <row r="181" spans="1:15" s="57" customFormat="1" ht="105.6">
      <c r="A181" s="272" t="s">
        <v>14</v>
      </c>
      <c r="B181" s="81" t="s">
        <v>1300</v>
      </c>
      <c r="C181" s="394">
        <v>30</v>
      </c>
      <c r="D181" s="71" t="s">
        <v>74</v>
      </c>
      <c r="E181" s="442">
        <v>72</v>
      </c>
      <c r="F181" s="109">
        <f t="shared" ref="F181:F198" si="64">E181*C181</f>
        <v>2160</v>
      </c>
      <c r="G181" s="439">
        <f>'Measurement sheet'!F282</f>
        <v>0</v>
      </c>
      <c r="H181" s="438">
        <f t="shared" ref="H181:H198" si="65">ROUND(G181,2)</f>
        <v>0</v>
      </c>
      <c r="I181" s="438">
        <f t="shared" ref="I181:I198" si="66">H181*E181</f>
        <v>0</v>
      </c>
      <c r="J181" s="438">
        <f t="shared" ref="J181:J198" si="67">G181-C181</f>
        <v>-30</v>
      </c>
      <c r="K181" s="438">
        <f t="shared" ref="K181:K198" si="68">I181-F181</f>
        <v>-2160</v>
      </c>
      <c r="L181" s="438">
        <f t="shared" ref="L181:L198" si="69">IF(F181&lt;I181,(I181-F181),0)</f>
        <v>0</v>
      </c>
      <c r="M181" s="438">
        <f t="shared" ref="M181:M198" si="70">IF(F181&gt;I181,(I181-F181),0)</f>
        <v>-2160</v>
      </c>
      <c r="N181" s="438">
        <f t="shared" ref="N181:N198" si="71">M181+L181</f>
        <v>-2160</v>
      </c>
      <c r="O181" s="368"/>
    </row>
    <row r="182" spans="1:15" s="57" customFormat="1" ht="92.4">
      <c r="A182" s="272" t="s">
        <v>44</v>
      </c>
      <c r="B182" s="81" t="s">
        <v>1301</v>
      </c>
      <c r="C182" s="394">
        <v>100</v>
      </c>
      <c r="D182" s="71" t="s">
        <v>74</v>
      </c>
      <c r="E182" s="442">
        <v>132</v>
      </c>
      <c r="F182" s="109">
        <f t="shared" si="64"/>
        <v>13200</v>
      </c>
      <c r="G182" s="439">
        <f>'Measurement sheet'!F284</f>
        <v>190</v>
      </c>
      <c r="H182" s="438">
        <f t="shared" si="65"/>
        <v>190</v>
      </c>
      <c r="I182" s="438">
        <f t="shared" si="66"/>
        <v>25080</v>
      </c>
      <c r="J182" s="438">
        <f t="shared" si="67"/>
        <v>90</v>
      </c>
      <c r="K182" s="438">
        <f t="shared" si="68"/>
        <v>11880</v>
      </c>
      <c r="L182" s="438">
        <f t="shared" si="69"/>
        <v>11880</v>
      </c>
      <c r="M182" s="438">
        <f t="shared" si="70"/>
        <v>0</v>
      </c>
      <c r="N182" s="438">
        <f t="shared" si="71"/>
        <v>11880</v>
      </c>
      <c r="O182" s="478" t="s">
        <v>1610</v>
      </c>
    </row>
    <row r="183" spans="1:15" s="57" customFormat="1" ht="39.6">
      <c r="A183" s="272" t="s">
        <v>46</v>
      </c>
      <c r="B183" s="81" t="s">
        <v>121</v>
      </c>
      <c r="C183" s="394">
        <v>5</v>
      </c>
      <c r="D183" s="280" t="s">
        <v>27</v>
      </c>
      <c r="E183" s="442">
        <v>320</v>
      </c>
      <c r="F183" s="109">
        <f t="shared" si="64"/>
        <v>1600</v>
      </c>
      <c r="G183" s="439">
        <f>'Measurement sheet'!F285</f>
        <v>1</v>
      </c>
      <c r="H183" s="438">
        <f t="shared" si="65"/>
        <v>1</v>
      </c>
      <c r="I183" s="438">
        <f t="shared" si="66"/>
        <v>320</v>
      </c>
      <c r="J183" s="438">
        <f t="shared" si="67"/>
        <v>-4</v>
      </c>
      <c r="K183" s="438">
        <f t="shared" si="68"/>
        <v>-1280</v>
      </c>
      <c r="L183" s="438">
        <f t="shared" si="69"/>
        <v>0</v>
      </c>
      <c r="M183" s="438">
        <f t="shared" si="70"/>
        <v>-1280</v>
      </c>
      <c r="N183" s="438">
        <f t="shared" si="71"/>
        <v>-1280</v>
      </c>
      <c r="O183" s="368"/>
    </row>
    <row r="184" spans="1:15" s="57" customFormat="1" ht="39.6">
      <c r="A184" s="272" t="s">
        <v>47</v>
      </c>
      <c r="B184" s="81" t="s">
        <v>122</v>
      </c>
      <c r="C184" s="394"/>
      <c r="D184" s="103" t="s">
        <v>123</v>
      </c>
      <c r="E184" s="442">
        <v>5525</v>
      </c>
      <c r="F184" s="109">
        <f t="shared" si="64"/>
        <v>0</v>
      </c>
      <c r="G184" s="436"/>
      <c r="H184" s="438">
        <f t="shared" si="65"/>
        <v>0</v>
      </c>
      <c r="I184" s="438">
        <f t="shared" si="66"/>
        <v>0</v>
      </c>
      <c r="J184" s="438">
        <f t="shared" si="67"/>
        <v>0</v>
      </c>
      <c r="K184" s="438">
        <f t="shared" si="68"/>
        <v>0</v>
      </c>
      <c r="L184" s="438">
        <f t="shared" si="69"/>
        <v>0</v>
      </c>
      <c r="M184" s="438">
        <f t="shared" si="70"/>
        <v>0</v>
      </c>
      <c r="N184" s="438">
        <f t="shared" si="71"/>
        <v>0</v>
      </c>
      <c r="O184" s="368"/>
    </row>
    <row r="185" spans="1:15" s="57" customFormat="1" ht="26.4">
      <c r="A185" s="272" t="s">
        <v>50</v>
      </c>
      <c r="B185" s="81" t="s">
        <v>124</v>
      </c>
      <c r="C185" s="394">
        <v>1</v>
      </c>
      <c r="D185" s="280" t="s">
        <v>101</v>
      </c>
      <c r="E185" s="442">
        <v>17161</v>
      </c>
      <c r="F185" s="109">
        <f t="shared" si="64"/>
        <v>17161</v>
      </c>
      <c r="G185" s="439">
        <f>'Measurement sheet'!F286</f>
        <v>0</v>
      </c>
      <c r="H185" s="438">
        <f t="shared" si="65"/>
        <v>0</v>
      </c>
      <c r="I185" s="438">
        <f t="shared" si="66"/>
        <v>0</v>
      </c>
      <c r="J185" s="438">
        <f t="shared" si="67"/>
        <v>-1</v>
      </c>
      <c r="K185" s="438">
        <f t="shared" si="68"/>
        <v>-17161</v>
      </c>
      <c r="L185" s="438">
        <f t="shared" si="69"/>
        <v>0</v>
      </c>
      <c r="M185" s="438">
        <f t="shared" si="70"/>
        <v>-17161</v>
      </c>
      <c r="N185" s="438">
        <f t="shared" si="71"/>
        <v>-17161</v>
      </c>
      <c r="O185" s="368"/>
    </row>
    <row r="186" spans="1:15" s="57" customFormat="1" ht="52.8">
      <c r="A186" s="272" t="s">
        <v>52</v>
      </c>
      <c r="B186" s="81" t="s">
        <v>125</v>
      </c>
      <c r="C186" s="394">
        <v>1</v>
      </c>
      <c r="D186" s="103" t="s">
        <v>126</v>
      </c>
      <c r="E186" s="442">
        <v>19068</v>
      </c>
      <c r="F186" s="109">
        <f t="shared" si="64"/>
        <v>19068</v>
      </c>
      <c r="G186" s="439">
        <f>'Measurement sheet'!F287</f>
        <v>0</v>
      </c>
      <c r="H186" s="438">
        <f t="shared" si="65"/>
        <v>0</v>
      </c>
      <c r="I186" s="438">
        <f t="shared" si="66"/>
        <v>0</v>
      </c>
      <c r="J186" s="438">
        <f t="shared" si="67"/>
        <v>-1</v>
      </c>
      <c r="K186" s="438">
        <f t="shared" si="68"/>
        <v>-19068</v>
      </c>
      <c r="L186" s="438">
        <f t="shared" si="69"/>
        <v>0</v>
      </c>
      <c r="M186" s="438">
        <f t="shared" si="70"/>
        <v>-19068</v>
      </c>
      <c r="N186" s="438">
        <f t="shared" si="71"/>
        <v>-19068</v>
      </c>
      <c r="O186" s="368"/>
    </row>
    <row r="187" spans="1:15" s="57" customFormat="1" ht="105.6">
      <c r="A187" s="272" t="s">
        <v>53</v>
      </c>
      <c r="B187" s="75" t="s">
        <v>127</v>
      </c>
      <c r="C187" s="394">
        <v>40</v>
      </c>
      <c r="D187" s="71" t="s">
        <v>18</v>
      </c>
      <c r="E187" s="442">
        <v>823</v>
      </c>
      <c r="F187" s="109">
        <f t="shared" si="64"/>
        <v>32920</v>
      </c>
      <c r="G187" s="439">
        <f>'Measurement sheet'!F290</f>
        <v>34.5</v>
      </c>
      <c r="H187" s="438">
        <f t="shared" si="65"/>
        <v>34.5</v>
      </c>
      <c r="I187" s="438">
        <f t="shared" si="66"/>
        <v>28393.5</v>
      </c>
      <c r="J187" s="438">
        <f t="shared" si="67"/>
        <v>-5.5</v>
      </c>
      <c r="K187" s="438">
        <f t="shared" si="68"/>
        <v>-4526.5</v>
      </c>
      <c r="L187" s="438">
        <f t="shared" si="69"/>
        <v>0</v>
      </c>
      <c r="M187" s="438">
        <f t="shared" si="70"/>
        <v>-4526.5</v>
      </c>
      <c r="N187" s="438">
        <f t="shared" si="71"/>
        <v>-4526.5</v>
      </c>
      <c r="O187" s="368"/>
    </row>
    <row r="188" spans="1:15" s="57" customFormat="1" ht="118.8">
      <c r="A188" s="272" t="s">
        <v>85</v>
      </c>
      <c r="B188" s="75" t="s">
        <v>128</v>
      </c>
      <c r="C188" s="402">
        <v>0</v>
      </c>
      <c r="D188" s="280" t="s">
        <v>27</v>
      </c>
      <c r="E188" s="442">
        <v>104</v>
      </c>
      <c r="F188" s="109">
        <f t="shared" si="64"/>
        <v>0</v>
      </c>
      <c r="G188" s="445"/>
      <c r="H188" s="438">
        <f t="shared" si="65"/>
        <v>0</v>
      </c>
      <c r="I188" s="438">
        <f t="shared" si="66"/>
        <v>0</v>
      </c>
      <c r="J188" s="438">
        <f t="shared" si="67"/>
        <v>0</v>
      </c>
      <c r="K188" s="438">
        <f t="shared" si="68"/>
        <v>0</v>
      </c>
      <c r="L188" s="438">
        <f t="shared" si="69"/>
        <v>0</v>
      </c>
      <c r="M188" s="438">
        <f t="shared" si="70"/>
        <v>0</v>
      </c>
      <c r="N188" s="438">
        <f t="shared" si="71"/>
        <v>0</v>
      </c>
      <c r="O188" s="368"/>
    </row>
    <row r="189" spans="1:15" s="57" customFormat="1">
      <c r="A189" s="272" t="s">
        <v>16</v>
      </c>
      <c r="B189" s="75" t="s">
        <v>129</v>
      </c>
      <c r="C189" s="394">
        <v>2</v>
      </c>
      <c r="D189" s="280" t="s">
        <v>27</v>
      </c>
      <c r="E189" s="442">
        <v>1695</v>
      </c>
      <c r="F189" s="109">
        <f t="shared" si="64"/>
        <v>3390</v>
      </c>
      <c r="G189" s="439">
        <f>'Measurement sheet'!F292</f>
        <v>0</v>
      </c>
      <c r="H189" s="438">
        <f t="shared" si="65"/>
        <v>0</v>
      </c>
      <c r="I189" s="438">
        <f t="shared" si="66"/>
        <v>0</v>
      </c>
      <c r="J189" s="438">
        <f t="shared" si="67"/>
        <v>-2</v>
      </c>
      <c r="K189" s="438">
        <f t="shared" si="68"/>
        <v>-3390</v>
      </c>
      <c r="L189" s="438">
        <f t="shared" si="69"/>
        <v>0</v>
      </c>
      <c r="M189" s="438">
        <f t="shared" si="70"/>
        <v>-3390</v>
      </c>
      <c r="N189" s="438">
        <f t="shared" si="71"/>
        <v>-3390</v>
      </c>
      <c r="O189" s="368"/>
    </row>
    <row r="190" spans="1:15" s="57" customFormat="1">
      <c r="A190" s="272" t="s">
        <v>19</v>
      </c>
      <c r="B190" s="75" t="s">
        <v>130</v>
      </c>
      <c r="C190" s="394">
        <v>2</v>
      </c>
      <c r="D190" s="280" t="s">
        <v>27</v>
      </c>
      <c r="E190" s="442">
        <v>2067</v>
      </c>
      <c r="F190" s="109">
        <f t="shared" si="64"/>
        <v>4134</v>
      </c>
      <c r="G190" s="439">
        <f>'Measurement sheet'!F293</f>
        <v>0</v>
      </c>
      <c r="H190" s="438">
        <f t="shared" si="65"/>
        <v>0</v>
      </c>
      <c r="I190" s="438">
        <f t="shared" si="66"/>
        <v>0</v>
      </c>
      <c r="J190" s="438">
        <f t="shared" si="67"/>
        <v>-2</v>
      </c>
      <c r="K190" s="438">
        <f t="shared" si="68"/>
        <v>-4134</v>
      </c>
      <c r="L190" s="438">
        <f t="shared" si="69"/>
        <v>0</v>
      </c>
      <c r="M190" s="438">
        <f t="shared" si="70"/>
        <v>-4134</v>
      </c>
      <c r="N190" s="438">
        <f t="shared" si="71"/>
        <v>-4134</v>
      </c>
      <c r="O190" s="368"/>
    </row>
    <row r="191" spans="1:15" s="57" customFormat="1">
      <c r="A191" s="272" t="s">
        <v>21</v>
      </c>
      <c r="B191" s="75" t="s">
        <v>131</v>
      </c>
      <c r="C191" s="394">
        <v>2</v>
      </c>
      <c r="D191" s="280" t="s">
        <v>27</v>
      </c>
      <c r="E191" s="442">
        <v>2584</v>
      </c>
      <c r="F191" s="109">
        <f t="shared" si="64"/>
        <v>5168</v>
      </c>
      <c r="G191" s="439">
        <f>'Measurement sheet'!F294</f>
        <v>1</v>
      </c>
      <c r="H191" s="438">
        <f t="shared" si="65"/>
        <v>1</v>
      </c>
      <c r="I191" s="438">
        <f t="shared" si="66"/>
        <v>2584</v>
      </c>
      <c r="J191" s="438">
        <f t="shared" si="67"/>
        <v>-1</v>
      </c>
      <c r="K191" s="438">
        <f t="shared" si="68"/>
        <v>-2584</v>
      </c>
      <c r="L191" s="438">
        <f t="shared" si="69"/>
        <v>0</v>
      </c>
      <c r="M191" s="438">
        <f t="shared" si="70"/>
        <v>-2584</v>
      </c>
      <c r="N191" s="438">
        <f t="shared" si="71"/>
        <v>-2584</v>
      </c>
      <c r="O191" s="368"/>
    </row>
    <row r="192" spans="1:15" s="57" customFormat="1" ht="57.6">
      <c r="A192" s="272" t="s">
        <v>16</v>
      </c>
      <c r="B192" s="81" t="s">
        <v>132</v>
      </c>
      <c r="C192" s="401">
        <v>100</v>
      </c>
      <c r="D192" s="71" t="s">
        <v>18</v>
      </c>
      <c r="E192" s="442">
        <v>76</v>
      </c>
      <c r="F192" s="109">
        <f t="shared" si="64"/>
        <v>7600</v>
      </c>
      <c r="G192" s="446">
        <f>'Measurement sheet'!F296</f>
        <v>350</v>
      </c>
      <c r="H192" s="438">
        <f t="shared" si="65"/>
        <v>350</v>
      </c>
      <c r="I192" s="438">
        <f t="shared" si="66"/>
        <v>26600</v>
      </c>
      <c r="J192" s="438">
        <f t="shared" si="67"/>
        <v>250</v>
      </c>
      <c r="K192" s="438">
        <f t="shared" si="68"/>
        <v>19000</v>
      </c>
      <c r="L192" s="438">
        <f t="shared" si="69"/>
        <v>19000</v>
      </c>
      <c r="M192" s="438">
        <f t="shared" si="70"/>
        <v>0</v>
      </c>
      <c r="N192" s="438">
        <f t="shared" si="71"/>
        <v>19000</v>
      </c>
      <c r="O192" s="477" t="s">
        <v>1612</v>
      </c>
    </row>
    <row r="193" spans="1:15" s="57" customFormat="1" ht="66">
      <c r="A193" s="272" t="s">
        <v>55</v>
      </c>
      <c r="B193" s="81" t="s">
        <v>133</v>
      </c>
      <c r="C193" s="401"/>
      <c r="D193" s="280" t="s">
        <v>27</v>
      </c>
      <c r="E193" s="442">
        <v>15255</v>
      </c>
      <c r="F193" s="109">
        <f t="shared" si="64"/>
        <v>0</v>
      </c>
      <c r="G193" s="444"/>
      <c r="H193" s="438">
        <f t="shared" si="65"/>
        <v>0</v>
      </c>
      <c r="I193" s="438">
        <f t="shared" si="66"/>
        <v>0</v>
      </c>
      <c r="J193" s="438">
        <f t="shared" si="67"/>
        <v>0</v>
      </c>
      <c r="K193" s="438">
        <f t="shared" si="68"/>
        <v>0</v>
      </c>
      <c r="L193" s="438">
        <f t="shared" si="69"/>
        <v>0</v>
      </c>
      <c r="M193" s="438">
        <f t="shared" si="70"/>
        <v>0</v>
      </c>
      <c r="N193" s="438">
        <f t="shared" si="71"/>
        <v>0</v>
      </c>
      <c r="O193" s="368"/>
    </row>
    <row r="194" spans="1:15" s="57" customFormat="1" ht="92.4">
      <c r="A194" s="272" t="s">
        <v>57</v>
      </c>
      <c r="B194" s="81" t="s">
        <v>134</v>
      </c>
      <c r="C194" s="401">
        <v>1</v>
      </c>
      <c r="D194" s="280" t="s">
        <v>101</v>
      </c>
      <c r="E194" s="442">
        <v>15560</v>
      </c>
      <c r="F194" s="109">
        <f t="shared" si="64"/>
        <v>15560</v>
      </c>
      <c r="G194" s="446">
        <f>'Measurement sheet'!F297</f>
        <v>1</v>
      </c>
      <c r="H194" s="438">
        <f t="shared" si="65"/>
        <v>1</v>
      </c>
      <c r="I194" s="438">
        <f t="shared" si="66"/>
        <v>15560</v>
      </c>
      <c r="J194" s="438">
        <f t="shared" si="67"/>
        <v>0</v>
      </c>
      <c r="K194" s="438">
        <f t="shared" si="68"/>
        <v>0</v>
      </c>
      <c r="L194" s="438">
        <f t="shared" si="69"/>
        <v>0</v>
      </c>
      <c r="M194" s="438">
        <f t="shared" si="70"/>
        <v>0</v>
      </c>
      <c r="N194" s="438">
        <f t="shared" si="71"/>
        <v>0</v>
      </c>
      <c r="O194" s="487" t="s">
        <v>1613</v>
      </c>
    </row>
    <row r="195" spans="1:15" s="57" customFormat="1" ht="57.6">
      <c r="A195" s="272" t="s">
        <v>60</v>
      </c>
      <c r="B195" s="81" t="s">
        <v>1302</v>
      </c>
      <c r="C195" s="401">
        <v>1</v>
      </c>
      <c r="D195" s="280" t="s">
        <v>59</v>
      </c>
      <c r="E195" s="442">
        <v>10212</v>
      </c>
      <c r="F195" s="109">
        <f t="shared" si="64"/>
        <v>10212</v>
      </c>
      <c r="G195" s="446">
        <f>'Measurement sheet'!F298</f>
        <v>1</v>
      </c>
      <c r="H195" s="438">
        <f t="shared" si="65"/>
        <v>1</v>
      </c>
      <c r="I195" s="438">
        <f t="shared" si="66"/>
        <v>10212</v>
      </c>
      <c r="J195" s="438">
        <f t="shared" si="67"/>
        <v>0</v>
      </c>
      <c r="K195" s="438">
        <f t="shared" si="68"/>
        <v>0</v>
      </c>
      <c r="L195" s="438">
        <f t="shared" si="69"/>
        <v>0</v>
      </c>
      <c r="M195" s="438">
        <f t="shared" si="70"/>
        <v>0</v>
      </c>
      <c r="N195" s="438">
        <f t="shared" si="71"/>
        <v>0</v>
      </c>
      <c r="O195" s="487" t="s">
        <v>1613</v>
      </c>
    </row>
    <row r="196" spans="1:15" s="57" customFormat="1" ht="39.6">
      <c r="A196" s="272" t="s">
        <v>135</v>
      </c>
      <c r="B196" s="81" t="s">
        <v>1303</v>
      </c>
      <c r="C196" s="401">
        <v>3</v>
      </c>
      <c r="D196" s="280" t="s">
        <v>27</v>
      </c>
      <c r="E196" s="442">
        <v>11441</v>
      </c>
      <c r="F196" s="109">
        <f t="shared" si="64"/>
        <v>34323</v>
      </c>
      <c r="G196" s="446">
        <f>'Measurement sheet'!F299</f>
        <v>3</v>
      </c>
      <c r="H196" s="438">
        <f t="shared" si="65"/>
        <v>3</v>
      </c>
      <c r="I196" s="438">
        <f t="shared" si="66"/>
        <v>34323</v>
      </c>
      <c r="J196" s="438">
        <f t="shared" si="67"/>
        <v>0</v>
      </c>
      <c r="K196" s="438">
        <f t="shared" si="68"/>
        <v>0</v>
      </c>
      <c r="L196" s="438">
        <f t="shared" si="69"/>
        <v>0</v>
      </c>
      <c r="M196" s="438">
        <f t="shared" si="70"/>
        <v>0</v>
      </c>
      <c r="N196" s="438">
        <f t="shared" si="71"/>
        <v>0</v>
      </c>
      <c r="O196" s="368"/>
    </row>
    <row r="197" spans="1:15" s="57" customFormat="1" ht="79.2">
      <c r="A197" s="272" t="s">
        <v>136</v>
      </c>
      <c r="B197" s="144" t="s">
        <v>137</v>
      </c>
      <c r="C197" s="401">
        <v>30</v>
      </c>
      <c r="D197" s="280" t="s">
        <v>27</v>
      </c>
      <c r="E197" s="442">
        <v>1296</v>
      </c>
      <c r="F197" s="109">
        <f t="shared" si="64"/>
        <v>38880</v>
      </c>
      <c r="G197" s="446">
        <f>'Measurement sheet'!F300</f>
        <v>30</v>
      </c>
      <c r="H197" s="438">
        <f t="shared" si="65"/>
        <v>30</v>
      </c>
      <c r="I197" s="438">
        <f t="shared" si="66"/>
        <v>38880</v>
      </c>
      <c r="J197" s="438">
        <f t="shared" si="67"/>
        <v>0</v>
      </c>
      <c r="K197" s="438">
        <f t="shared" si="68"/>
        <v>0</v>
      </c>
      <c r="L197" s="438">
        <f t="shared" si="69"/>
        <v>0</v>
      </c>
      <c r="M197" s="438">
        <f t="shared" si="70"/>
        <v>0</v>
      </c>
      <c r="N197" s="438">
        <f t="shared" si="71"/>
        <v>0</v>
      </c>
      <c r="O197" s="368"/>
    </row>
    <row r="198" spans="1:15" s="57" customFormat="1" ht="79.2">
      <c r="A198" s="164" t="s">
        <v>16</v>
      </c>
      <c r="B198" s="144" t="s">
        <v>138</v>
      </c>
      <c r="C198" s="401">
        <v>550</v>
      </c>
      <c r="D198" s="280" t="s">
        <v>139</v>
      </c>
      <c r="E198" s="442">
        <v>211</v>
      </c>
      <c r="F198" s="109">
        <f t="shared" si="64"/>
        <v>116050</v>
      </c>
      <c r="G198" s="446">
        <f>'Measurement sheet'!F308</f>
        <v>461.58760000000001</v>
      </c>
      <c r="H198" s="438">
        <f t="shared" si="65"/>
        <v>461.59</v>
      </c>
      <c r="I198" s="438">
        <f t="shared" si="66"/>
        <v>97395.489999999991</v>
      </c>
      <c r="J198" s="438">
        <f t="shared" si="67"/>
        <v>-88.412399999999991</v>
      </c>
      <c r="K198" s="438">
        <f t="shared" si="68"/>
        <v>-18654.510000000009</v>
      </c>
      <c r="L198" s="438">
        <f t="shared" si="69"/>
        <v>0</v>
      </c>
      <c r="M198" s="438">
        <f t="shared" si="70"/>
        <v>-18654.510000000009</v>
      </c>
      <c r="N198" s="438">
        <f t="shared" si="71"/>
        <v>-18654.510000000009</v>
      </c>
      <c r="O198" s="368"/>
    </row>
    <row r="199" spans="1:15" s="57" customFormat="1">
      <c r="A199" s="272"/>
      <c r="B199" s="75"/>
      <c r="C199" s="396"/>
      <c r="D199" s="280"/>
      <c r="E199" s="396"/>
      <c r="F199" s="396"/>
      <c r="G199" s="396"/>
      <c r="H199" s="396"/>
      <c r="I199" s="396"/>
      <c r="J199" s="396"/>
      <c r="K199" s="368"/>
      <c r="L199" s="368"/>
      <c r="M199" s="368"/>
      <c r="N199" s="368"/>
      <c r="O199" s="368"/>
    </row>
    <row r="200" spans="1:15" s="57" customFormat="1">
      <c r="A200" s="358"/>
      <c r="B200" s="359" t="s">
        <v>140</v>
      </c>
      <c r="C200" s="403"/>
      <c r="D200" s="360"/>
      <c r="E200" s="403"/>
      <c r="F200" s="407">
        <f>SUM(F6:F198)</f>
        <v>1504620</v>
      </c>
      <c r="G200" s="403"/>
      <c r="H200" s="407"/>
      <c r="I200" s="407">
        <f>SUM(I6:I198)</f>
        <v>1444213.22</v>
      </c>
      <c r="J200" s="407"/>
      <c r="K200" s="407">
        <f>SUM(K6:K198)</f>
        <v>-60406.780000000035</v>
      </c>
      <c r="L200" s="407">
        <f>SUM(L6:L198)</f>
        <v>102419.15</v>
      </c>
      <c r="M200" s="407">
        <f>SUM(M6:M198)</f>
        <v>-162825.93000000002</v>
      </c>
      <c r="N200" s="407">
        <f>SUM(N6:N198)</f>
        <v>-60406.780000000035</v>
      </c>
      <c r="O200" s="403"/>
    </row>
    <row r="201" spans="1:15" s="57" customFormat="1">
      <c r="A201" s="106"/>
      <c r="B201" s="312"/>
      <c r="C201" s="404"/>
      <c r="D201" s="313"/>
      <c r="E201" s="404"/>
      <c r="F201" s="404"/>
      <c r="G201" s="404"/>
      <c r="H201" s="404"/>
      <c r="I201" s="404"/>
      <c r="J201" s="404"/>
      <c r="K201" s="368"/>
      <c r="L201" s="368"/>
      <c r="M201" s="368"/>
      <c r="N201" s="368"/>
      <c r="O201" s="368"/>
    </row>
    <row r="202" spans="1:15" s="57" customFormat="1">
      <c r="A202" s="83" t="s">
        <v>3</v>
      </c>
      <c r="B202" s="58" t="s">
        <v>141</v>
      </c>
      <c r="C202" s="392"/>
      <c r="D202" s="59"/>
      <c r="E202" s="392"/>
      <c r="F202" s="392"/>
      <c r="G202" s="59"/>
      <c r="H202" s="392"/>
      <c r="I202" s="392"/>
      <c r="J202" s="392"/>
      <c r="K202" s="392"/>
      <c r="L202" s="392"/>
      <c r="M202" s="392"/>
      <c r="N202" s="392"/>
      <c r="O202" s="392"/>
    </row>
    <row r="203" spans="1:15" s="57" customFormat="1">
      <c r="A203" s="85"/>
      <c r="B203" s="65"/>
      <c r="C203" s="395"/>
      <c r="D203" s="280"/>
      <c r="E203" s="395"/>
      <c r="F203" s="395"/>
      <c r="G203" s="395"/>
      <c r="H203" s="395"/>
      <c r="I203" s="395"/>
      <c r="J203" s="395"/>
      <c r="K203" s="368"/>
      <c r="L203" s="368"/>
      <c r="M203" s="368"/>
      <c r="N203" s="368"/>
      <c r="O203" s="368"/>
    </row>
    <row r="204" spans="1:15" s="57" customFormat="1">
      <c r="A204" s="62">
        <v>1</v>
      </c>
      <c r="B204" s="60" t="s">
        <v>142</v>
      </c>
      <c r="C204" s="393"/>
      <c r="D204" s="61"/>
      <c r="E204" s="393"/>
      <c r="F204" s="393"/>
      <c r="G204" s="61"/>
      <c r="H204" s="393"/>
      <c r="I204" s="393"/>
      <c r="J204" s="393"/>
      <c r="K204" s="393"/>
      <c r="L204" s="393"/>
      <c r="M204" s="393"/>
      <c r="N204" s="393"/>
      <c r="O204" s="393"/>
    </row>
    <row r="205" spans="1:15" s="57" customFormat="1" ht="92.4">
      <c r="A205" s="74" t="s">
        <v>14</v>
      </c>
      <c r="B205" s="75" t="s">
        <v>1304</v>
      </c>
      <c r="C205" s="394">
        <v>1050</v>
      </c>
      <c r="D205" s="280" t="s">
        <v>18</v>
      </c>
      <c r="E205" s="440">
        <v>28</v>
      </c>
      <c r="F205" s="109">
        <f>E205*C205</f>
        <v>29400</v>
      </c>
      <c r="G205" s="439">
        <f>'Measurement sheet'!F324</f>
        <v>1047.1893</v>
      </c>
      <c r="H205" s="438">
        <f>ROUND(G205,2)</f>
        <v>1047.19</v>
      </c>
      <c r="I205" s="438">
        <f>H205*E205</f>
        <v>29321.32</v>
      </c>
      <c r="J205" s="438">
        <f>G205-C205</f>
        <v>-2.8106999999999971</v>
      </c>
      <c r="K205" s="438">
        <f>I205-F205</f>
        <v>-78.680000000000291</v>
      </c>
      <c r="L205" s="438">
        <f>IF(F205&lt;I205,(I205-F205),0)</f>
        <v>0</v>
      </c>
      <c r="M205" s="438">
        <f>IF(F205&gt;I205,(I205-F205),0)</f>
        <v>-78.680000000000291</v>
      </c>
      <c r="N205" s="438">
        <f>M205+L205</f>
        <v>-78.680000000000291</v>
      </c>
      <c r="O205" s="368"/>
    </row>
    <row r="206" spans="1:15" s="57" customFormat="1">
      <c r="A206" s="280"/>
      <c r="B206" s="75"/>
      <c r="C206" s="405"/>
      <c r="D206" s="314"/>
      <c r="E206" s="405"/>
      <c r="F206" s="405"/>
      <c r="G206" s="405"/>
      <c r="H206" s="405"/>
      <c r="I206" s="405"/>
      <c r="J206" s="405"/>
      <c r="K206" s="368"/>
      <c r="L206" s="368"/>
      <c r="M206" s="368"/>
      <c r="N206" s="368"/>
      <c r="O206" s="368"/>
    </row>
    <row r="207" spans="1:15" s="57" customFormat="1">
      <c r="A207" s="62">
        <v>2</v>
      </c>
      <c r="B207" s="60" t="s">
        <v>143</v>
      </c>
      <c r="C207" s="393"/>
      <c r="D207" s="61"/>
      <c r="E207" s="393"/>
      <c r="F207" s="393"/>
      <c r="G207" s="61"/>
      <c r="H207" s="393"/>
      <c r="I207" s="393"/>
      <c r="J207" s="393"/>
      <c r="K207" s="393"/>
      <c r="L207" s="393"/>
      <c r="M207" s="393"/>
      <c r="N207" s="393"/>
      <c r="O207" s="393"/>
    </row>
    <row r="208" spans="1:15" s="57" customFormat="1" ht="184.8">
      <c r="A208" s="74" t="s">
        <v>14</v>
      </c>
      <c r="B208" s="187" t="s">
        <v>1305</v>
      </c>
      <c r="C208" s="394">
        <v>300</v>
      </c>
      <c r="D208" s="280" t="s">
        <v>18</v>
      </c>
      <c r="E208" s="440">
        <v>76</v>
      </c>
      <c r="F208" s="109">
        <f>E208*C208</f>
        <v>22800</v>
      </c>
      <c r="G208" s="439">
        <f>'Measurement sheet'!F339</f>
        <v>528.89000000000033</v>
      </c>
      <c r="H208" s="438">
        <f>ROUND(G208,2)</f>
        <v>528.89</v>
      </c>
      <c r="I208" s="438">
        <f>H208*E208</f>
        <v>40195.64</v>
      </c>
      <c r="J208" s="438">
        <f>G208-C208</f>
        <v>228.89000000000033</v>
      </c>
      <c r="K208" s="438">
        <f>I208-F208</f>
        <v>17395.64</v>
      </c>
      <c r="L208" s="438">
        <f>IF(F208&lt;I208,(I208-F208),0)</f>
        <v>17395.64</v>
      </c>
      <c r="M208" s="438">
        <f>IF(F208&gt;I208,(I208-F208),0)</f>
        <v>0</v>
      </c>
      <c r="N208" s="438">
        <f>M208+L208</f>
        <v>17395.64</v>
      </c>
      <c r="O208" s="478" t="s">
        <v>1610</v>
      </c>
    </row>
    <row r="209" spans="1:15" s="66" customFormat="1" ht="237.6">
      <c r="A209" s="74" t="s">
        <v>44</v>
      </c>
      <c r="B209" s="73" t="s">
        <v>1306</v>
      </c>
      <c r="C209" s="394">
        <v>2360</v>
      </c>
      <c r="D209" s="280" t="s">
        <v>18</v>
      </c>
      <c r="E209" s="440">
        <v>114</v>
      </c>
      <c r="F209" s="109">
        <f>E209*C209</f>
        <v>269040</v>
      </c>
      <c r="G209" s="439">
        <f>'Measurement sheet'!F357</f>
        <v>1917.9424999999997</v>
      </c>
      <c r="H209" s="438">
        <f>ROUND(G209,2)</f>
        <v>1917.94</v>
      </c>
      <c r="I209" s="438">
        <f>H209*E209</f>
        <v>218645.16</v>
      </c>
      <c r="J209" s="438">
        <f>G209-C209</f>
        <v>-442.05750000000035</v>
      </c>
      <c r="K209" s="438">
        <f>I209-F209</f>
        <v>-50394.84</v>
      </c>
      <c r="L209" s="438">
        <f>IF(F209&lt;I209,(I209-F209),0)</f>
        <v>0</v>
      </c>
      <c r="M209" s="438">
        <f>IF(F209&gt;I209,(I209-F209),0)</f>
        <v>-50394.84</v>
      </c>
      <c r="N209" s="438">
        <f>M209+L209</f>
        <v>-50394.84</v>
      </c>
      <c r="O209" s="447"/>
    </row>
    <row r="210" spans="1:15" s="57" customFormat="1" ht="79.2">
      <c r="A210" s="74" t="s">
        <v>46</v>
      </c>
      <c r="B210" s="174" t="s">
        <v>1307</v>
      </c>
      <c r="C210" s="394">
        <v>30</v>
      </c>
      <c r="D210" s="280" t="s">
        <v>74</v>
      </c>
      <c r="E210" s="440">
        <v>96</v>
      </c>
      <c r="F210" s="109">
        <f>E210*C210</f>
        <v>2880</v>
      </c>
      <c r="G210" s="439">
        <f>'Measurement sheet'!F359</f>
        <v>72</v>
      </c>
      <c r="H210" s="438">
        <f>ROUND(G210,2)</f>
        <v>72</v>
      </c>
      <c r="I210" s="438">
        <f>H210*E210</f>
        <v>6912</v>
      </c>
      <c r="J210" s="438">
        <f>G210-C210</f>
        <v>42</v>
      </c>
      <c r="K210" s="438">
        <f>I210-F210</f>
        <v>4032</v>
      </c>
      <c r="L210" s="438">
        <f>IF(F210&lt;I210,(I210-F210),0)</f>
        <v>4032</v>
      </c>
      <c r="M210" s="438">
        <f>IF(F210&gt;I210,(I210-F210),0)</f>
        <v>0</v>
      </c>
      <c r="N210" s="438">
        <f>M210+L210</f>
        <v>4032</v>
      </c>
      <c r="O210" s="478" t="s">
        <v>1610</v>
      </c>
    </row>
    <row r="211" spans="1:15" s="57" customFormat="1">
      <c r="A211" s="74"/>
      <c r="B211" s="75"/>
      <c r="C211" s="395"/>
      <c r="D211" s="280"/>
      <c r="E211" s="395"/>
      <c r="F211" s="395"/>
      <c r="G211" s="395"/>
      <c r="H211" s="395"/>
      <c r="I211" s="395"/>
      <c r="J211" s="395"/>
      <c r="K211" s="368"/>
      <c r="L211" s="368"/>
      <c r="M211" s="368"/>
      <c r="N211" s="368"/>
      <c r="O211" s="368"/>
    </row>
    <row r="212" spans="1:15" s="57" customFormat="1">
      <c r="A212" s="62">
        <v>3</v>
      </c>
      <c r="B212" s="60" t="s">
        <v>144</v>
      </c>
      <c r="C212" s="393"/>
      <c r="D212" s="61"/>
      <c r="E212" s="393"/>
      <c r="F212" s="393"/>
      <c r="G212" s="61"/>
      <c r="H212" s="393"/>
      <c r="I212" s="393"/>
      <c r="J212" s="393"/>
      <c r="K212" s="393"/>
      <c r="L212" s="393"/>
      <c r="M212" s="393"/>
      <c r="N212" s="393"/>
      <c r="O212" s="393"/>
    </row>
    <row r="213" spans="1:15" s="57" customFormat="1" ht="224.4">
      <c r="A213" s="69" t="s">
        <v>14</v>
      </c>
      <c r="B213" s="187" t="s">
        <v>1308</v>
      </c>
      <c r="C213" s="394"/>
      <c r="D213" s="280" t="s">
        <v>18</v>
      </c>
      <c r="E213" s="440">
        <v>398</v>
      </c>
      <c r="F213" s="109">
        <f>E213*C213</f>
        <v>0</v>
      </c>
      <c r="G213" s="436"/>
      <c r="H213" s="438">
        <f>ROUND(G213,2)</f>
        <v>0</v>
      </c>
      <c r="I213" s="438">
        <f>H213*E213</f>
        <v>0</v>
      </c>
      <c r="J213" s="438">
        <f>G213-C213</f>
        <v>0</v>
      </c>
      <c r="K213" s="438">
        <f>I213-F213</f>
        <v>0</v>
      </c>
      <c r="L213" s="438">
        <f>IF(F213&lt;I213,(I213-F213),0)</f>
        <v>0</v>
      </c>
      <c r="M213" s="438">
        <f>IF(F213&gt;I213,(I213-F213),0)</f>
        <v>0</v>
      </c>
      <c r="N213" s="438">
        <f>M213+L213</f>
        <v>0</v>
      </c>
      <c r="O213" s="368"/>
    </row>
    <row r="214" spans="1:15" s="57" customFormat="1">
      <c r="A214" s="313" t="s">
        <v>44</v>
      </c>
      <c r="B214" s="75" t="s">
        <v>145</v>
      </c>
      <c r="C214" s="394"/>
      <c r="D214" s="280" t="s">
        <v>18</v>
      </c>
      <c r="E214" s="440">
        <v>411</v>
      </c>
      <c r="F214" s="109">
        <f>E214*C214</f>
        <v>0</v>
      </c>
      <c r="G214" s="436"/>
      <c r="H214" s="438">
        <f>ROUND(G214,2)</f>
        <v>0</v>
      </c>
      <c r="I214" s="438">
        <f>H214*E214</f>
        <v>0</v>
      </c>
      <c r="J214" s="438">
        <f>G214-C214</f>
        <v>0</v>
      </c>
      <c r="K214" s="438">
        <f>I214-F214</f>
        <v>0</v>
      </c>
      <c r="L214" s="438">
        <f>IF(F214&lt;I214,(I214-F214),0)</f>
        <v>0</v>
      </c>
      <c r="M214" s="438">
        <f>IF(F214&gt;I214,(I214-F214),0)</f>
        <v>0</v>
      </c>
      <c r="N214" s="438">
        <f>M214+L214</f>
        <v>0</v>
      </c>
      <c r="O214" s="368"/>
    </row>
    <row r="215" spans="1:15" s="57" customFormat="1" ht="26.4">
      <c r="A215" s="313" t="s">
        <v>46</v>
      </c>
      <c r="B215" s="75" t="s">
        <v>146</v>
      </c>
      <c r="C215" s="394"/>
      <c r="D215" s="280" t="s">
        <v>27</v>
      </c>
      <c r="E215" s="440">
        <v>6780</v>
      </c>
      <c r="F215" s="109">
        <f>E215*C215</f>
        <v>0</v>
      </c>
      <c r="G215" s="436"/>
      <c r="H215" s="438">
        <f>ROUND(G215,2)</f>
        <v>0</v>
      </c>
      <c r="I215" s="438">
        <f>H215*E215</f>
        <v>0</v>
      </c>
      <c r="J215" s="438">
        <f>G215-C215</f>
        <v>0</v>
      </c>
      <c r="K215" s="438">
        <f>I215-F215</f>
        <v>0</v>
      </c>
      <c r="L215" s="438">
        <f>IF(F215&lt;I215,(I215-F215),0)</f>
        <v>0</v>
      </c>
      <c r="M215" s="438">
        <f>IF(F215&gt;I215,(I215-F215),0)</f>
        <v>0</v>
      </c>
      <c r="N215" s="438">
        <f>M215+L215</f>
        <v>0</v>
      </c>
      <c r="O215" s="368"/>
    </row>
    <row r="216" spans="1:15" s="57" customFormat="1">
      <c r="A216" s="313"/>
      <c r="B216" s="75"/>
      <c r="C216" s="406"/>
      <c r="D216" s="315"/>
      <c r="E216" s="406"/>
      <c r="F216" s="406"/>
      <c r="G216" s="406"/>
      <c r="H216" s="406"/>
      <c r="I216" s="406"/>
      <c r="J216" s="406"/>
      <c r="K216" s="368"/>
      <c r="L216" s="368"/>
      <c r="M216" s="368"/>
      <c r="N216" s="368"/>
      <c r="O216" s="368"/>
    </row>
    <row r="217" spans="1:15" s="57" customFormat="1">
      <c r="A217" s="358"/>
      <c r="B217" s="359" t="s">
        <v>147</v>
      </c>
      <c r="C217" s="407"/>
      <c r="D217" s="361"/>
      <c r="E217" s="407"/>
      <c r="F217" s="407">
        <f>SUM(F205:F215)</f>
        <v>324120</v>
      </c>
      <c r="G217" s="403"/>
      <c r="H217" s="407"/>
      <c r="I217" s="407">
        <f>SUM(I205:I215)</f>
        <v>295074.12</v>
      </c>
      <c r="J217" s="407"/>
      <c r="K217" s="407">
        <f>SUM(K205:K215)</f>
        <v>-29045.879999999997</v>
      </c>
      <c r="L217" s="407">
        <f>SUM(L205:L215)</f>
        <v>21427.64</v>
      </c>
      <c r="M217" s="407">
        <f>SUM(M205:M215)</f>
        <v>-50473.52</v>
      </c>
      <c r="N217" s="407">
        <f>SUM(N205:N215)</f>
        <v>-29045.879999999997</v>
      </c>
      <c r="O217" s="403"/>
    </row>
    <row r="218" spans="1:15" s="57" customFormat="1">
      <c r="A218" s="300"/>
      <c r="B218" s="300"/>
      <c r="C218" s="408"/>
      <c r="D218" s="316"/>
      <c r="E218" s="408"/>
      <c r="F218" s="408"/>
      <c r="G218" s="408"/>
      <c r="H218" s="408"/>
      <c r="I218" s="408"/>
      <c r="J218" s="408"/>
      <c r="K218" s="368"/>
      <c r="L218" s="368"/>
      <c r="M218" s="368"/>
      <c r="N218" s="368"/>
      <c r="O218" s="368"/>
    </row>
    <row r="219" spans="1:15" s="57" customFormat="1">
      <c r="A219" s="83" t="s">
        <v>4</v>
      </c>
      <c r="B219" s="58" t="s">
        <v>148</v>
      </c>
      <c r="C219" s="409"/>
      <c r="D219" s="84"/>
      <c r="E219" s="409"/>
      <c r="F219" s="409"/>
      <c r="G219" s="59"/>
      <c r="H219" s="392"/>
      <c r="I219" s="392"/>
      <c r="J219" s="392"/>
      <c r="K219" s="392"/>
      <c r="L219" s="392"/>
      <c r="M219" s="392"/>
      <c r="N219" s="392"/>
      <c r="O219" s="392"/>
    </row>
    <row r="220" spans="1:15" s="66" customFormat="1">
      <c r="A220" s="85"/>
      <c r="B220" s="75"/>
      <c r="C220" s="395"/>
      <c r="D220" s="280"/>
      <c r="E220" s="395"/>
      <c r="F220" s="395"/>
      <c r="G220" s="395"/>
      <c r="H220" s="395"/>
      <c r="I220" s="395"/>
      <c r="J220" s="395"/>
      <c r="K220" s="447"/>
      <c r="L220" s="447"/>
      <c r="M220" s="447"/>
      <c r="N220" s="447"/>
      <c r="O220" s="447"/>
    </row>
    <row r="221" spans="1:15" s="66" customFormat="1">
      <c r="A221" s="62">
        <v>1</v>
      </c>
      <c r="B221" s="67" t="s">
        <v>149</v>
      </c>
      <c r="C221" s="410"/>
      <c r="D221" s="68"/>
      <c r="E221" s="410"/>
      <c r="F221" s="410"/>
      <c r="G221" s="61"/>
      <c r="H221" s="393"/>
      <c r="I221" s="393"/>
      <c r="J221" s="393"/>
      <c r="K221" s="393"/>
      <c r="L221" s="393"/>
      <c r="M221" s="393"/>
      <c r="N221" s="393"/>
      <c r="O221" s="393"/>
    </row>
    <row r="222" spans="1:15" s="66" customFormat="1">
      <c r="A222" s="77" t="s">
        <v>14</v>
      </c>
      <c r="B222" s="78" t="s">
        <v>150</v>
      </c>
      <c r="C222" s="411"/>
      <c r="D222" s="79"/>
      <c r="E222" s="411"/>
      <c r="F222" s="411"/>
      <c r="G222" s="411"/>
      <c r="H222" s="411"/>
      <c r="I222" s="411"/>
      <c r="J222" s="411"/>
      <c r="K222" s="411"/>
      <c r="L222" s="411"/>
      <c r="M222" s="411"/>
      <c r="N222" s="411"/>
      <c r="O222" s="411"/>
    </row>
    <row r="223" spans="1:15" s="66" customFormat="1" ht="171.6">
      <c r="A223" s="313" t="s">
        <v>16</v>
      </c>
      <c r="B223" s="187" t="s">
        <v>1309</v>
      </c>
      <c r="C223" s="394">
        <v>120</v>
      </c>
      <c r="D223" s="71" t="s">
        <v>18</v>
      </c>
      <c r="E223" s="437">
        <v>462</v>
      </c>
      <c r="F223" s="109">
        <f>E223*C223</f>
        <v>55440</v>
      </c>
      <c r="G223" s="439">
        <f>'Measurement sheet'!F380</f>
        <v>325.35619999999994</v>
      </c>
      <c r="H223" s="438">
        <f>ROUND(G223,2)</f>
        <v>325.36</v>
      </c>
      <c r="I223" s="438">
        <f>H223*E223</f>
        <v>150316.32</v>
      </c>
      <c r="J223" s="438">
        <f>G223-C223</f>
        <v>205.35619999999994</v>
      </c>
      <c r="K223" s="438">
        <f>I223-F223</f>
        <v>94876.32</v>
      </c>
      <c r="L223" s="438">
        <f>IF(F223&lt;I223,(I223-F223),0)</f>
        <v>94876.32</v>
      </c>
      <c r="M223" s="438">
        <f>IF(F223&gt;I223,(I223-F223),0)</f>
        <v>0</v>
      </c>
      <c r="N223" s="438">
        <f>M223+L223</f>
        <v>94876.32</v>
      </c>
      <c r="O223" s="478" t="s">
        <v>1610</v>
      </c>
    </row>
    <row r="224" spans="1:15" s="57" customFormat="1" ht="92.4">
      <c r="A224" s="313" t="s">
        <v>19</v>
      </c>
      <c r="B224" s="187" t="s">
        <v>1310</v>
      </c>
      <c r="C224" s="394">
        <v>80</v>
      </c>
      <c r="D224" s="71" t="s">
        <v>18</v>
      </c>
      <c r="E224" s="437">
        <v>131</v>
      </c>
      <c r="F224" s="109">
        <f>E224*C224</f>
        <v>10480</v>
      </c>
      <c r="G224" s="436"/>
      <c r="H224" s="438">
        <f>ROUND(G224,2)</f>
        <v>0</v>
      </c>
      <c r="I224" s="438">
        <f>H224*E224</f>
        <v>0</v>
      </c>
      <c r="J224" s="438">
        <f>G224-C224</f>
        <v>-80</v>
      </c>
      <c r="K224" s="438">
        <f>I224-F224</f>
        <v>-10480</v>
      </c>
      <c r="L224" s="438">
        <f>IF(F224&lt;I224,(I224-F224),0)</f>
        <v>0</v>
      </c>
      <c r="M224" s="438">
        <f>IF(F224&gt;I224,(I224-F224),0)</f>
        <v>-10480</v>
      </c>
      <c r="N224" s="438">
        <f>M224+L224</f>
        <v>-10480</v>
      </c>
      <c r="O224" s="368"/>
    </row>
    <row r="225" spans="1:15" s="57" customFormat="1" ht="171.6">
      <c r="A225" s="313" t="s">
        <v>21</v>
      </c>
      <c r="B225" s="187" t="s">
        <v>1311</v>
      </c>
      <c r="C225" s="394"/>
      <c r="D225" s="71" t="s">
        <v>18</v>
      </c>
      <c r="E225" s="437">
        <v>380</v>
      </c>
      <c r="F225" s="109">
        <f>E225*C225</f>
        <v>0</v>
      </c>
      <c r="G225" s="436"/>
      <c r="H225" s="438">
        <f>ROUND(G225,2)</f>
        <v>0</v>
      </c>
      <c r="I225" s="438">
        <f>H225*E225</f>
        <v>0</v>
      </c>
      <c r="J225" s="438">
        <f>G225-C225</f>
        <v>0</v>
      </c>
      <c r="K225" s="438">
        <f>I225-F225</f>
        <v>0</v>
      </c>
      <c r="L225" s="438">
        <f>IF(F225&lt;I225,(I225-F225),0)</f>
        <v>0</v>
      </c>
      <c r="M225" s="438">
        <f>IF(F225&gt;I225,(I225-F225),0)</f>
        <v>0</v>
      </c>
      <c r="N225" s="438">
        <f>M225+L225</f>
        <v>0</v>
      </c>
      <c r="O225" s="368"/>
    </row>
    <row r="226" spans="1:15" s="66" customFormat="1" ht="92.4">
      <c r="A226" s="313" t="s">
        <v>23</v>
      </c>
      <c r="B226" s="187" t="s">
        <v>1312</v>
      </c>
      <c r="C226" s="394"/>
      <c r="D226" s="71" t="s">
        <v>18</v>
      </c>
      <c r="E226" s="437">
        <v>340</v>
      </c>
      <c r="F226" s="109">
        <f>E226*C226</f>
        <v>0</v>
      </c>
      <c r="G226" s="436"/>
      <c r="H226" s="438">
        <f>ROUND(G226,2)</f>
        <v>0</v>
      </c>
      <c r="I226" s="438">
        <f>H226*E226</f>
        <v>0</v>
      </c>
      <c r="J226" s="438">
        <f>G226-C226</f>
        <v>0</v>
      </c>
      <c r="K226" s="438">
        <f>I226-F226</f>
        <v>0</v>
      </c>
      <c r="L226" s="438">
        <f>IF(F226&lt;I226,(I226-F226),0)</f>
        <v>0</v>
      </c>
      <c r="M226" s="438">
        <f>IF(F226&gt;I226,(I226-F226),0)</f>
        <v>0</v>
      </c>
      <c r="N226" s="438">
        <f>M226+L226</f>
        <v>0</v>
      </c>
      <c r="O226" s="447"/>
    </row>
    <row r="227" spans="1:15" s="66" customFormat="1" ht="158.4">
      <c r="A227" s="313" t="s">
        <v>25</v>
      </c>
      <c r="B227" s="174" t="s">
        <v>1313</v>
      </c>
      <c r="C227" s="394"/>
      <c r="D227" s="71" t="s">
        <v>18</v>
      </c>
      <c r="E227" s="437">
        <v>543</v>
      </c>
      <c r="F227" s="109">
        <f>E227*C227</f>
        <v>0</v>
      </c>
      <c r="G227" s="436"/>
      <c r="H227" s="438">
        <f>ROUND(G227,2)</f>
        <v>0</v>
      </c>
      <c r="I227" s="438">
        <f>H227*E227</f>
        <v>0</v>
      </c>
      <c r="J227" s="438">
        <f>G227-C227</f>
        <v>0</v>
      </c>
      <c r="K227" s="438">
        <f>I227-F227</f>
        <v>0</v>
      </c>
      <c r="L227" s="438">
        <f>IF(F227&lt;I227,(I227-F227),0)</f>
        <v>0</v>
      </c>
      <c r="M227" s="438">
        <f>IF(F227&gt;I227,(I227-F227),0)</f>
        <v>0</v>
      </c>
      <c r="N227" s="438">
        <f>M227+L227</f>
        <v>0</v>
      </c>
      <c r="O227" s="447"/>
    </row>
    <row r="228" spans="1:15" s="57" customFormat="1">
      <c r="A228" s="74"/>
      <c r="B228" s="75"/>
      <c r="C228" s="109"/>
      <c r="D228" s="71"/>
      <c r="E228" s="109"/>
      <c r="F228" s="109"/>
      <c r="G228" s="109"/>
      <c r="H228" s="109"/>
      <c r="I228" s="109"/>
      <c r="J228" s="109"/>
      <c r="K228" s="368"/>
      <c r="L228" s="368"/>
      <c r="M228" s="368"/>
      <c r="N228" s="368"/>
      <c r="O228" s="368"/>
    </row>
    <row r="229" spans="1:15" s="57" customFormat="1">
      <c r="A229" s="77" t="s">
        <v>44</v>
      </c>
      <c r="B229" s="78" t="s">
        <v>151</v>
      </c>
      <c r="C229" s="411"/>
      <c r="D229" s="79"/>
      <c r="E229" s="411"/>
      <c r="F229" s="411"/>
      <c r="G229" s="411"/>
      <c r="H229" s="411"/>
      <c r="I229" s="411"/>
      <c r="J229" s="411"/>
      <c r="K229" s="411"/>
      <c r="L229" s="411"/>
      <c r="M229" s="411"/>
      <c r="N229" s="411"/>
      <c r="O229" s="411"/>
    </row>
    <row r="230" spans="1:15" s="66" customFormat="1" ht="184.8">
      <c r="A230" s="69" t="s">
        <v>16</v>
      </c>
      <c r="B230" s="70" t="s">
        <v>1314</v>
      </c>
      <c r="C230" s="394">
        <v>680</v>
      </c>
      <c r="D230" s="71" t="s">
        <v>18</v>
      </c>
      <c r="E230" s="437">
        <v>434</v>
      </c>
      <c r="F230" s="109">
        <f>E230*C230</f>
        <v>295120</v>
      </c>
      <c r="G230" s="439">
        <f>'Measurement sheet'!F392</f>
        <v>517.42219999999998</v>
      </c>
      <c r="H230" s="438">
        <f>ROUND(G230,2)</f>
        <v>517.41999999999996</v>
      </c>
      <c r="I230" s="438">
        <f>H230*E230</f>
        <v>224560.27999999997</v>
      </c>
      <c r="J230" s="438">
        <f>G230-C230</f>
        <v>-162.57780000000002</v>
      </c>
      <c r="K230" s="438">
        <f>I230-F230</f>
        <v>-70559.72000000003</v>
      </c>
      <c r="L230" s="438">
        <f>IF(F230&lt;I230,(I230-F230),0)</f>
        <v>0</v>
      </c>
      <c r="M230" s="438">
        <f>IF(F230&gt;I230,(I230-F230),0)</f>
        <v>-70559.72000000003</v>
      </c>
      <c r="N230" s="438">
        <f>M230+L230</f>
        <v>-70559.72000000003</v>
      </c>
      <c r="O230" s="447"/>
    </row>
    <row r="231" spans="1:15" s="57" customFormat="1" ht="290.39999999999998">
      <c r="A231" s="69" t="s">
        <v>19</v>
      </c>
      <c r="B231" s="70" t="s">
        <v>1315</v>
      </c>
      <c r="C231" s="394"/>
      <c r="D231" s="71" t="s">
        <v>18</v>
      </c>
      <c r="E231" s="437">
        <v>442</v>
      </c>
      <c r="F231" s="109">
        <f>E231*C231</f>
        <v>0</v>
      </c>
      <c r="G231" s="436"/>
      <c r="H231" s="438">
        <f>ROUND(G231,2)</f>
        <v>0</v>
      </c>
      <c r="I231" s="438">
        <f>H231*E231</f>
        <v>0</v>
      </c>
      <c r="J231" s="438">
        <f>G231-C231</f>
        <v>0</v>
      </c>
      <c r="K231" s="438">
        <f>I231-F231</f>
        <v>0</v>
      </c>
      <c r="L231" s="438">
        <f>IF(F231&lt;I231,(I231-F231),0)</f>
        <v>0</v>
      </c>
      <c r="M231" s="438">
        <f>IF(F231&gt;I231,(I231-F231),0)</f>
        <v>0</v>
      </c>
      <c r="N231" s="438">
        <f>M231+L231</f>
        <v>0</v>
      </c>
      <c r="O231" s="368"/>
    </row>
    <row r="232" spans="1:15" s="57" customFormat="1">
      <c r="A232" s="74"/>
      <c r="B232" s="75"/>
      <c r="C232" s="109"/>
      <c r="D232" s="71"/>
      <c r="E232" s="109"/>
      <c r="F232" s="109"/>
      <c r="G232" s="109"/>
      <c r="H232" s="109"/>
      <c r="I232" s="109"/>
      <c r="J232" s="109"/>
      <c r="K232" s="368"/>
      <c r="L232" s="368"/>
      <c r="M232" s="368"/>
      <c r="N232" s="368"/>
      <c r="O232" s="368"/>
    </row>
    <row r="233" spans="1:15" s="57" customFormat="1">
      <c r="A233" s="77" t="s">
        <v>46</v>
      </c>
      <c r="B233" s="78" t="s">
        <v>152</v>
      </c>
      <c r="C233" s="411"/>
      <c r="D233" s="79"/>
      <c r="E233" s="411"/>
      <c r="F233" s="411"/>
      <c r="G233" s="411"/>
      <c r="H233" s="411"/>
      <c r="I233" s="411"/>
      <c r="J233" s="411"/>
      <c r="K233" s="411"/>
      <c r="L233" s="411"/>
      <c r="M233" s="411"/>
      <c r="N233" s="411"/>
      <c r="O233" s="411"/>
    </row>
    <row r="234" spans="1:15" s="66" customFormat="1" ht="132">
      <c r="A234" s="69" t="s">
        <v>16</v>
      </c>
      <c r="B234" s="70" t="s">
        <v>1316</v>
      </c>
      <c r="C234" s="394"/>
      <c r="D234" s="71" t="s">
        <v>18</v>
      </c>
      <c r="E234" s="437">
        <v>408</v>
      </c>
      <c r="F234" s="109">
        <f>E234*C234</f>
        <v>0</v>
      </c>
      <c r="G234" s="436"/>
      <c r="H234" s="438">
        <f>ROUND(G234,2)</f>
        <v>0</v>
      </c>
      <c r="I234" s="438">
        <f>H234*E234</f>
        <v>0</v>
      </c>
      <c r="J234" s="438">
        <f>G234-C234</f>
        <v>0</v>
      </c>
      <c r="K234" s="438">
        <f>I234-F234</f>
        <v>0</v>
      </c>
      <c r="L234" s="438">
        <f>IF(F234&lt;I234,(I234-F234),0)</f>
        <v>0</v>
      </c>
      <c r="M234" s="438">
        <f>IF(F234&gt;I234,(I234-F234),0)</f>
        <v>0</v>
      </c>
      <c r="N234" s="438">
        <f>M234+L234</f>
        <v>0</v>
      </c>
      <c r="O234" s="447"/>
    </row>
    <row r="235" spans="1:15" s="57" customFormat="1" ht="92.4">
      <c r="A235" s="72" t="s">
        <v>19</v>
      </c>
      <c r="B235" s="73" t="s">
        <v>153</v>
      </c>
      <c r="C235" s="394"/>
      <c r="D235" s="71" t="s">
        <v>18</v>
      </c>
      <c r="E235" s="437">
        <v>434</v>
      </c>
      <c r="F235" s="109">
        <f>E235*C235</f>
        <v>0</v>
      </c>
      <c r="G235" s="436"/>
      <c r="H235" s="438">
        <f>ROUND(G235,2)</f>
        <v>0</v>
      </c>
      <c r="I235" s="438">
        <f>H235*E235</f>
        <v>0</v>
      </c>
      <c r="J235" s="438">
        <f>G235-C235</f>
        <v>0</v>
      </c>
      <c r="K235" s="438">
        <f>I235-F235</f>
        <v>0</v>
      </c>
      <c r="L235" s="438">
        <f>IF(F235&lt;I235,(I235-F235),0)</f>
        <v>0</v>
      </c>
      <c r="M235" s="438">
        <f>IF(F235&gt;I235,(I235-F235),0)</f>
        <v>0</v>
      </c>
      <c r="N235" s="438">
        <f>M235+L235</f>
        <v>0</v>
      </c>
      <c r="O235" s="368"/>
    </row>
    <row r="236" spans="1:15" s="57" customFormat="1">
      <c r="A236" s="74"/>
      <c r="B236" s="75"/>
      <c r="C236" s="412"/>
      <c r="D236" s="76"/>
      <c r="E236" s="412"/>
      <c r="F236" s="412"/>
      <c r="G236" s="412"/>
      <c r="H236" s="412"/>
      <c r="I236" s="412"/>
      <c r="J236" s="412"/>
      <c r="K236" s="368"/>
      <c r="L236" s="368"/>
      <c r="M236" s="368"/>
      <c r="N236" s="368"/>
      <c r="O236" s="368"/>
    </row>
    <row r="237" spans="1:15" s="57" customFormat="1">
      <c r="A237" s="77" t="s">
        <v>47</v>
      </c>
      <c r="B237" s="78" t="s">
        <v>154</v>
      </c>
      <c r="C237" s="411"/>
      <c r="D237" s="79"/>
      <c r="E237" s="411"/>
      <c r="F237" s="411"/>
      <c r="G237" s="411"/>
      <c r="H237" s="411"/>
      <c r="I237" s="411"/>
      <c r="J237" s="411"/>
      <c r="K237" s="411"/>
      <c r="L237" s="411"/>
      <c r="M237" s="411"/>
      <c r="N237" s="411"/>
      <c r="O237" s="411"/>
    </row>
    <row r="238" spans="1:15" s="66" customFormat="1" ht="66">
      <c r="A238" s="69" t="s">
        <v>16</v>
      </c>
      <c r="B238" s="70" t="s">
        <v>1317</v>
      </c>
      <c r="C238" s="394"/>
      <c r="D238" s="71" t="s">
        <v>18</v>
      </c>
      <c r="E238" s="437">
        <v>427</v>
      </c>
      <c r="F238" s="109">
        <f>E238*C238</f>
        <v>0</v>
      </c>
      <c r="G238" s="436"/>
      <c r="H238" s="438">
        <f>ROUND(G238,2)</f>
        <v>0</v>
      </c>
      <c r="I238" s="438">
        <f>H238*E238</f>
        <v>0</v>
      </c>
      <c r="J238" s="438">
        <f>G238-C238</f>
        <v>0</v>
      </c>
      <c r="K238" s="438">
        <f>I238-F238</f>
        <v>0</v>
      </c>
      <c r="L238" s="438">
        <f>IF(F238&lt;I238,(I238-F238),0)</f>
        <v>0</v>
      </c>
      <c r="M238" s="438">
        <f>IF(F238&gt;I238,(I238-F238),0)</f>
        <v>0</v>
      </c>
      <c r="N238" s="438">
        <f>M238+L238</f>
        <v>0</v>
      </c>
      <c r="O238" s="447"/>
    </row>
    <row r="239" spans="1:15" s="66" customFormat="1">
      <c r="A239" s="74"/>
      <c r="B239" s="75"/>
      <c r="C239" s="412"/>
      <c r="D239" s="76"/>
      <c r="E239" s="412"/>
      <c r="F239" s="412"/>
      <c r="G239" s="412"/>
      <c r="H239" s="412"/>
      <c r="I239" s="412"/>
      <c r="J239" s="412"/>
      <c r="K239" s="447"/>
      <c r="L239" s="447"/>
      <c r="M239" s="447"/>
      <c r="N239" s="447"/>
      <c r="O239" s="447"/>
    </row>
    <row r="240" spans="1:15" s="66" customFormat="1">
      <c r="A240" s="62">
        <v>2</v>
      </c>
      <c r="B240" s="60" t="s">
        <v>155</v>
      </c>
      <c r="C240" s="410"/>
      <c r="D240" s="68"/>
      <c r="E240" s="410"/>
      <c r="F240" s="410"/>
      <c r="G240" s="61"/>
      <c r="H240" s="393"/>
      <c r="I240" s="393"/>
      <c r="J240" s="393"/>
      <c r="K240" s="393"/>
      <c r="L240" s="393"/>
      <c r="M240" s="393"/>
      <c r="N240" s="393"/>
      <c r="O240" s="393"/>
    </row>
    <row r="241" spans="1:15" s="57" customFormat="1">
      <c r="A241" s="77" t="s">
        <v>14</v>
      </c>
      <c r="B241" s="78" t="s">
        <v>156</v>
      </c>
      <c r="C241" s="411"/>
      <c r="D241" s="79"/>
      <c r="E241" s="411"/>
      <c r="F241" s="411"/>
      <c r="G241" s="411"/>
      <c r="H241" s="411"/>
      <c r="I241" s="411"/>
      <c r="J241" s="411"/>
      <c r="K241" s="411"/>
      <c r="L241" s="411"/>
      <c r="M241" s="411"/>
      <c r="N241" s="411"/>
      <c r="O241" s="411"/>
    </row>
    <row r="242" spans="1:15" s="57" customFormat="1" ht="118.8">
      <c r="A242" s="69" t="s">
        <v>16</v>
      </c>
      <c r="B242" s="70" t="s">
        <v>1318</v>
      </c>
      <c r="C242" s="394"/>
      <c r="D242" s="71" t="s">
        <v>18</v>
      </c>
      <c r="E242" s="437">
        <v>275</v>
      </c>
      <c r="F242" s="109">
        <f t="shared" ref="F242:F249" si="72">E242*C242</f>
        <v>0</v>
      </c>
      <c r="G242" s="436"/>
      <c r="H242" s="438">
        <f t="shared" ref="H242:H249" si="73">ROUND(G242,2)</f>
        <v>0</v>
      </c>
      <c r="I242" s="438">
        <f t="shared" ref="I242:I249" si="74">H242*E242</f>
        <v>0</v>
      </c>
      <c r="J242" s="438">
        <f t="shared" ref="J242:J249" si="75">G242-C242</f>
        <v>0</v>
      </c>
      <c r="K242" s="438">
        <f t="shared" ref="K242:K249" si="76">I242-F242</f>
        <v>0</v>
      </c>
      <c r="L242" s="438">
        <f t="shared" ref="L242:L249" si="77">IF(F242&lt;I242,(I242-F242),0)</f>
        <v>0</v>
      </c>
      <c r="M242" s="438">
        <f t="shared" ref="M242:M249" si="78">IF(F242&gt;I242,(I242-F242),0)</f>
        <v>0</v>
      </c>
      <c r="N242" s="438">
        <f t="shared" ref="N242:N249" si="79">M242+L242</f>
        <v>0</v>
      </c>
      <c r="O242" s="368"/>
    </row>
    <row r="243" spans="1:15" s="66" customFormat="1" ht="118.8">
      <c r="A243" s="69" t="s">
        <v>19</v>
      </c>
      <c r="B243" s="70" t="s">
        <v>1319</v>
      </c>
      <c r="C243" s="394">
        <v>800</v>
      </c>
      <c r="D243" s="71" t="s">
        <v>18</v>
      </c>
      <c r="E243" s="437">
        <v>351</v>
      </c>
      <c r="F243" s="109">
        <f t="shared" si="72"/>
        <v>280800</v>
      </c>
      <c r="G243" s="439">
        <f>'Measurement sheet'!F419</f>
        <v>989.02920000000017</v>
      </c>
      <c r="H243" s="438">
        <f t="shared" si="73"/>
        <v>989.03</v>
      </c>
      <c r="I243" s="438">
        <f t="shared" si="74"/>
        <v>347149.52999999997</v>
      </c>
      <c r="J243" s="438">
        <f t="shared" si="75"/>
        <v>189.02920000000017</v>
      </c>
      <c r="K243" s="438">
        <f t="shared" si="76"/>
        <v>66349.52999999997</v>
      </c>
      <c r="L243" s="438">
        <f t="shared" si="77"/>
        <v>66349.52999999997</v>
      </c>
      <c r="M243" s="438">
        <f t="shared" si="78"/>
        <v>0</v>
      </c>
      <c r="N243" s="438">
        <f t="shared" si="79"/>
        <v>66349.52999999997</v>
      </c>
      <c r="O243" s="478" t="s">
        <v>1610</v>
      </c>
    </row>
    <row r="244" spans="1:15" s="66" customFormat="1" ht="79.2">
      <c r="A244" s="69" t="s">
        <v>21</v>
      </c>
      <c r="B244" s="70" t="s">
        <v>1320</v>
      </c>
      <c r="C244" s="394"/>
      <c r="D244" s="71" t="s">
        <v>18</v>
      </c>
      <c r="E244" s="437">
        <v>177</v>
      </c>
      <c r="F244" s="109">
        <f t="shared" si="72"/>
        <v>0</v>
      </c>
      <c r="G244" s="436"/>
      <c r="H244" s="438">
        <f t="shared" si="73"/>
        <v>0</v>
      </c>
      <c r="I244" s="438">
        <f t="shared" si="74"/>
        <v>0</v>
      </c>
      <c r="J244" s="438">
        <f t="shared" si="75"/>
        <v>0</v>
      </c>
      <c r="K244" s="438">
        <f t="shared" si="76"/>
        <v>0</v>
      </c>
      <c r="L244" s="438">
        <f t="shared" si="77"/>
        <v>0</v>
      </c>
      <c r="M244" s="438">
        <f t="shared" si="78"/>
        <v>0</v>
      </c>
      <c r="N244" s="438">
        <f t="shared" si="79"/>
        <v>0</v>
      </c>
      <c r="O244" s="447"/>
    </row>
    <row r="245" spans="1:15" s="66" customFormat="1" ht="26.4">
      <c r="A245" s="74" t="s">
        <v>23</v>
      </c>
      <c r="B245" s="75" t="s">
        <v>1321</v>
      </c>
      <c r="C245" s="394"/>
      <c r="D245" s="71" t="s">
        <v>18</v>
      </c>
      <c r="E245" s="437">
        <v>211</v>
      </c>
      <c r="F245" s="109">
        <f t="shared" si="72"/>
        <v>0</v>
      </c>
      <c r="G245" s="436"/>
      <c r="H245" s="438">
        <f t="shared" si="73"/>
        <v>0</v>
      </c>
      <c r="I245" s="438">
        <f t="shared" si="74"/>
        <v>0</v>
      </c>
      <c r="J245" s="438">
        <f t="shared" si="75"/>
        <v>0</v>
      </c>
      <c r="K245" s="438">
        <f t="shared" si="76"/>
        <v>0</v>
      </c>
      <c r="L245" s="438">
        <f t="shared" si="77"/>
        <v>0</v>
      </c>
      <c r="M245" s="438">
        <f t="shared" si="78"/>
        <v>0</v>
      </c>
      <c r="N245" s="438">
        <f t="shared" si="79"/>
        <v>0</v>
      </c>
      <c r="O245" s="447"/>
    </row>
    <row r="246" spans="1:15" s="57" customFormat="1" ht="26.4">
      <c r="A246" s="74" t="s">
        <v>25</v>
      </c>
      <c r="B246" s="75" t="s">
        <v>1322</v>
      </c>
      <c r="C246" s="394"/>
      <c r="D246" s="71" t="s">
        <v>18</v>
      </c>
      <c r="E246" s="437">
        <v>275</v>
      </c>
      <c r="F246" s="109">
        <f t="shared" si="72"/>
        <v>0</v>
      </c>
      <c r="G246" s="436"/>
      <c r="H246" s="438">
        <f t="shared" si="73"/>
        <v>0</v>
      </c>
      <c r="I246" s="438">
        <f t="shared" si="74"/>
        <v>0</v>
      </c>
      <c r="J246" s="438">
        <f t="shared" si="75"/>
        <v>0</v>
      </c>
      <c r="K246" s="438">
        <f t="shared" si="76"/>
        <v>0</v>
      </c>
      <c r="L246" s="438">
        <f t="shared" si="77"/>
        <v>0</v>
      </c>
      <c r="M246" s="438">
        <f t="shared" si="78"/>
        <v>0</v>
      </c>
      <c r="N246" s="438">
        <f t="shared" si="79"/>
        <v>0</v>
      </c>
      <c r="O246" s="368"/>
    </row>
    <row r="247" spans="1:15" s="57" customFormat="1" ht="52.8">
      <c r="A247" s="69" t="s">
        <v>28</v>
      </c>
      <c r="B247" s="70" t="s">
        <v>1323</v>
      </c>
      <c r="C247" s="394"/>
      <c r="D247" s="71" t="s">
        <v>18</v>
      </c>
      <c r="E247" s="437">
        <v>182</v>
      </c>
      <c r="F247" s="109">
        <f t="shared" si="72"/>
        <v>0</v>
      </c>
      <c r="G247" s="436"/>
      <c r="H247" s="438">
        <f t="shared" si="73"/>
        <v>0</v>
      </c>
      <c r="I247" s="438">
        <f t="shared" si="74"/>
        <v>0</v>
      </c>
      <c r="J247" s="438">
        <f t="shared" si="75"/>
        <v>0</v>
      </c>
      <c r="K247" s="438">
        <f t="shared" si="76"/>
        <v>0</v>
      </c>
      <c r="L247" s="438">
        <f t="shared" si="77"/>
        <v>0</v>
      </c>
      <c r="M247" s="438">
        <f t="shared" si="78"/>
        <v>0</v>
      </c>
      <c r="N247" s="438">
        <f t="shared" si="79"/>
        <v>0</v>
      </c>
      <c r="O247" s="368"/>
    </row>
    <row r="248" spans="1:15" s="66" customFormat="1" ht="52.8">
      <c r="A248" s="69" t="s">
        <v>30</v>
      </c>
      <c r="B248" s="70" t="s">
        <v>1324</v>
      </c>
      <c r="C248" s="394"/>
      <c r="D248" s="71" t="s">
        <v>18</v>
      </c>
      <c r="E248" s="437">
        <v>261</v>
      </c>
      <c r="F248" s="109">
        <f t="shared" si="72"/>
        <v>0</v>
      </c>
      <c r="G248" s="436"/>
      <c r="H248" s="438">
        <f t="shared" si="73"/>
        <v>0</v>
      </c>
      <c r="I248" s="438">
        <f t="shared" si="74"/>
        <v>0</v>
      </c>
      <c r="J248" s="438">
        <f t="shared" si="75"/>
        <v>0</v>
      </c>
      <c r="K248" s="438">
        <f t="shared" si="76"/>
        <v>0</v>
      </c>
      <c r="L248" s="438">
        <f t="shared" si="77"/>
        <v>0</v>
      </c>
      <c r="M248" s="438">
        <f t="shared" si="78"/>
        <v>0</v>
      </c>
      <c r="N248" s="438">
        <f t="shared" si="79"/>
        <v>0</v>
      </c>
      <c r="O248" s="447"/>
    </row>
    <row r="249" spans="1:15" s="66" customFormat="1" ht="105.6">
      <c r="A249" s="69" t="s">
        <v>32</v>
      </c>
      <c r="B249" s="317" t="s">
        <v>1325</v>
      </c>
      <c r="C249" s="394">
        <v>480</v>
      </c>
      <c r="D249" s="71" t="s">
        <v>18</v>
      </c>
      <c r="E249" s="437">
        <v>442</v>
      </c>
      <c r="F249" s="109">
        <f t="shared" si="72"/>
        <v>212160</v>
      </c>
      <c r="G249" s="439">
        <f>'Measurement sheet'!F436</f>
        <v>513.06400000000008</v>
      </c>
      <c r="H249" s="438">
        <f t="shared" si="73"/>
        <v>513.05999999999995</v>
      </c>
      <c r="I249" s="438">
        <f t="shared" si="74"/>
        <v>226772.52</v>
      </c>
      <c r="J249" s="438">
        <f t="shared" si="75"/>
        <v>33.064000000000078</v>
      </c>
      <c r="K249" s="438">
        <f t="shared" si="76"/>
        <v>14612.51999999999</v>
      </c>
      <c r="L249" s="438">
        <f t="shared" si="77"/>
        <v>14612.51999999999</v>
      </c>
      <c r="M249" s="438">
        <f t="shared" si="78"/>
        <v>0</v>
      </c>
      <c r="N249" s="438">
        <f t="shared" si="79"/>
        <v>14612.51999999999</v>
      </c>
      <c r="O249" s="478" t="s">
        <v>1610</v>
      </c>
    </row>
    <row r="250" spans="1:15" s="66" customFormat="1">
      <c r="A250" s="74"/>
      <c r="B250" s="75"/>
      <c r="C250" s="109"/>
      <c r="D250" s="71"/>
      <c r="E250" s="109"/>
      <c r="F250" s="109"/>
      <c r="G250" s="109"/>
      <c r="H250" s="109"/>
      <c r="I250" s="109"/>
      <c r="J250" s="109"/>
      <c r="K250" s="447"/>
      <c r="L250" s="447"/>
      <c r="M250" s="447"/>
      <c r="N250" s="447"/>
      <c r="O250" s="447"/>
    </row>
    <row r="251" spans="1:15" s="57" customFormat="1">
      <c r="A251" s="62">
        <v>3</v>
      </c>
      <c r="B251" s="60" t="s">
        <v>157</v>
      </c>
      <c r="C251" s="410"/>
      <c r="D251" s="68"/>
      <c r="E251" s="410"/>
      <c r="F251" s="410"/>
      <c r="G251" s="61"/>
      <c r="H251" s="393"/>
      <c r="I251" s="393"/>
      <c r="J251" s="393"/>
      <c r="K251" s="393"/>
      <c r="L251" s="393"/>
      <c r="M251" s="393"/>
      <c r="N251" s="393"/>
      <c r="O251" s="393"/>
    </row>
    <row r="252" spans="1:15" s="57" customFormat="1" ht="158.4">
      <c r="A252" s="69" t="s">
        <v>14</v>
      </c>
      <c r="B252" s="70" t="s">
        <v>158</v>
      </c>
      <c r="C252" s="394"/>
      <c r="D252" s="71" t="s">
        <v>18</v>
      </c>
      <c r="E252" s="437">
        <v>288</v>
      </c>
      <c r="F252" s="109">
        <f>E252*C252</f>
        <v>0</v>
      </c>
      <c r="G252" s="436"/>
      <c r="H252" s="438">
        <f>ROUND(G252,2)</f>
        <v>0</v>
      </c>
      <c r="I252" s="438">
        <f>H252*E252</f>
        <v>0</v>
      </c>
      <c r="J252" s="438">
        <f>G252-C252</f>
        <v>0</v>
      </c>
      <c r="K252" s="438">
        <f>I252-F252</f>
        <v>0</v>
      </c>
      <c r="L252" s="438">
        <f>IF(F252&lt;I252,(I252-F252),0)</f>
        <v>0</v>
      </c>
      <c r="M252" s="438">
        <f>IF(F252&gt;I252,(I252-F252),0)</f>
        <v>0</v>
      </c>
      <c r="N252" s="438">
        <f>M252+L252</f>
        <v>0</v>
      </c>
      <c r="O252" s="368"/>
    </row>
    <row r="253" spans="1:15" s="57" customFormat="1" ht="118.8">
      <c r="A253" s="69" t="s">
        <v>44</v>
      </c>
      <c r="B253" s="70" t="s">
        <v>1326</v>
      </c>
      <c r="C253" s="394"/>
      <c r="D253" s="71" t="s">
        <v>18</v>
      </c>
      <c r="E253" s="437">
        <v>244</v>
      </c>
      <c r="F253" s="109">
        <f>E253*C253</f>
        <v>0</v>
      </c>
      <c r="G253" s="436"/>
      <c r="H253" s="438">
        <f>ROUND(G253,2)</f>
        <v>0</v>
      </c>
      <c r="I253" s="438">
        <f>H253*E253</f>
        <v>0</v>
      </c>
      <c r="J253" s="438">
        <f>G253-C253</f>
        <v>0</v>
      </c>
      <c r="K253" s="438">
        <f>I253-F253</f>
        <v>0</v>
      </c>
      <c r="L253" s="438">
        <f>IF(F253&lt;I253,(I253-F253),0)</f>
        <v>0</v>
      </c>
      <c r="M253" s="438">
        <f>IF(F253&gt;I253,(I253-F253),0)</f>
        <v>0</v>
      </c>
      <c r="N253" s="438">
        <f>M253+L253</f>
        <v>0</v>
      </c>
      <c r="O253" s="368"/>
    </row>
    <row r="254" spans="1:15" s="57" customFormat="1" ht="145.19999999999999">
      <c r="A254" s="69" t="s">
        <v>46</v>
      </c>
      <c r="B254" s="70" t="s">
        <v>1327</v>
      </c>
      <c r="C254" s="394"/>
      <c r="D254" s="71" t="s">
        <v>18</v>
      </c>
      <c r="E254" s="437">
        <v>244</v>
      </c>
      <c r="F254" s="109">
        <f>E254*C254</f>
        <v>0</v>
      </c>
      <c r="G254" s="436"/>
      <c r="H254" s="438">
        <f>ROUND(G254,2)</f>
        <v>0</v>
      </c>
      <c r="I254" s="438">
        <f>H254*E254</f>
        <v>0</v>
      </c>
      <c r="J254" s="438">
        <f>G254-C254</f>
        <v>0</v>
      </c>
      <c r="K254" s="438">
        <f>I254-F254</f>
        <v>0</v>
      </c>
      <c r="L254" s="438">
        <f>IF(F254&lt;I254,(I254-F254),0)</f>
        <v>0</v>
      </c>
      <c r="M254" s="438">
        <f>IF(F254&gt;I254,(I254-F254),0)</f>
        <v>0</v>
      </c>
      <c r="N254" s="438">
        <f>M254+L254</f>
        <v>0</v>
      </c>
      <c r="O254" s="368"/>
    </row>
    <row r="255" spans="1:15" s="57" customFormat="1">
      <c r="A255" s="74"/>
      <c r="B255" s="75"/>
      <c r="C255" s="412"/>
      <c r="D255" s="76"/>
      <c r="E255" s="412"/>
      <c r="F255" s="412"/>
      <c r="G255" s="412"/>
      <c r="H255" s="412"/>
      <c r="I255" s="412"/>
      <c r="J255" s="412"/>
      <c r="K255" s="368"/>
      <c r="L255" s="368"/>
      <c r="M255" s="368"/>
      <c r="N255" s="368"/>
      <c r="O255" s="368"/>
    </row>
    <row r="256" spans="1:15" s="57" customFormat="1">
      <c r="A256" s="62">
        <v>4</v>
      </c>
      <c r="B256" s="60" t="s">
        <v>159</v>
      </c>
      <c r="C256" s="410"/>
      <c r="D256" s="68"/>
      <c r="E256" s="410"/>
      <c r="F256" s="410"/>
      <c r="G256" s="61"/>
      <c r="H256" s="393"/>
      <c r="I256" s="393"/>
      <c r="J256" s="393"/>
      <c r="K256" s="393"/>
      <c r="L256" s="393"/>
      <c r="M256" s="393"/>
      <c r="N256" s="393"/>
      <c r="O256" s="393"/>
    </row>
    <row r="257" spans="1:15" s="57" customFormat="1">
      <c r="A257" s="77" t="s">
        <v>14</v>
      </c>
      <c r="B257" s="78" t="s">
        <v>160</v>
      </c>
      <c r="C257" s="411"/>
      <c r="D257" s="79"/>
      <c r="E257" s="411"/>
      <c r="F257" s="411"/>
      <c r="G257" s="411"/>
      <c r="H257" s="411"/>
      <c r="I257" s="411"/>
      <c r="J257" s="411"/>
      <c r="K257" s="411"/>
      <c r="L257" s="411"/>
      <c r="M257" s="411"/>
      <c r="N257" s="411"/>
      <c r="O257" s="411"/>
    </row>
    <row r="258" spans="1:15" s="57" customFormat="1" ht="79.2">
      <c r="A258" s="280" t="s">
        <v>16</v>
      </c>
      <c r="B258" s="75" t="s">
        <v>161</v>
      </c>
      <c r="C258" s="394"/>
      <c r="D258" s="280" t="s">
        <v>27</v>
      </c>
      <c r="E258" s="440">
        <v>22035</v>
      </c>
      <c r="F258" s="109">
        <f>E258*C258</f>
        <v>0</v>
      </c>
      <c r="G258" s="436"/>
      <c r="H258" s="438">
        <f>ROUND(G258,2)</f>
        <v>0</v>
      </c>
      <c r="I258" s="438">
        <f>H258*E258</f>
        <v>0</v>
      </c>
      <c r="J258" s="438">
        <f>G258-C258</f>
        <v>0</v>
      </c>
      <c r="K258" s="438">
        <f>I258-F258</f>
        <v>0</v>
      </c>
      <c r="L258" s="438">
        <f>IF(F258&lt;I258,(I258-F258),0)</f>
        <v>0</v>
      </c>
      <c r="M258" s="438">
        <f>IF(F258&gt;I258,(I258-F258),0)</f>
        <v>0</v>
      </c>
      <c r="N258" s="438">
        <f>M258+L258</f>
        <v>0</v>
      </c>
      <c r="O258" s="368"/>
    </row>
    <row r="259" spans="1:15" s="57" customFormat="1" ht="79.2">
      <c r="A259" s="74" t="s">
        <v>19</v>
      </c>
      <c r="B259" s="75" t="s">
        <v>162</v>
      </c>
      <c r="C259" s="394">
        <v>2</v>
      </c>
      <c r="D259" s="280" t="s">
        <v>27</v>
      </c>
      <c r="E259" s="440">
        <v>24789</v>
      </c>
      <c r="F259" s="109">
        <f>E259*C259</f>
        <v>49578</v>
      </c>
      <c r="G259" s="439">
        <f>'Measurement sheet'!F441</f>
        <v>2</v>
      </c>
      <c r="H259" s="438">
        <f>ROUND(G259,2)</f>
        <v>2</v>
      </c>
      <c r="I259" s="438">
        <f>H259*E259</f>
        <v>49578</v>
      </c>
      <c r="J259" s="438">
        <f>G259-C259</f>
        <v>0</v>
      </c>
      <c r="K259" s="438">
        <f>I259-F259</f>
        <v>0</v>
      </c>
      <c r="L259" s="438">
        <f>IF(F259&lt;I259,(I259-F259),0)</f>
        <v>0</v>
      </c>
      <c r="M259" s="438">
        <f>IF(F259&gt;I259,(I259-F259),0)</f>
        <v>0</v>
      </c>
      <c r="N259" s="438">
        <f>M259+L259</f>
        <v>0</v>
      </c>
      <c r="O259" s="368"/>
    </row>
    <row r="260" spans="1:15" s="57" customFormat="1" ht="26.4">
      <c r="A260" s="74" t="s">
        <v>21</v>
      </c>
      <c r="B260" s="75" t="s">
        <v>163</v>
      </c>
      <c r="C260" s="394"/>
      <c r="D260" s="280" t="s">
        <v>27</v>
      </c>
      <c r="E260" s="440">
        <v>6568</v>
      </c>
      <c r="F260" s="109">
        <f>E260*C260</f>
        <v>0</v>
      </c>
      <c r="G260" s="436"/>
      <c r="H260" s="438">
        <f>ROUND(G260,2)</f>
        <v>0</v>
      </c>
      <c r="I260" s="438">
        <f>H260*E260</f>
        <v>0</v>
      </c>
      <c r="J260" s="438">
        <f>G260-C260</f>
        <v>0</v>
      </c>
      <c r="K260" s="438">
        <f>I260-F260</f>
        <v>0</v>
      </c>
      <c r="L260" s="438">
        <f>IF(F260&lt;I260,(I260-F260),0)</f>
        <v>0</v>
      </c>
      <c r="M260" s="438">
        <f>IF(F260&gt;I260,(I260-F260),0)</f>
        <v>0</v>
      </c>
      <c r="N260" s="438">
        <f>M260+L260</f>
        <v>0</v>
      </c>
      <c r="O260" s="368"/>
    </row>
    <row r="261" spans="1:15" s="57" customFormat="1">
      <c r="A261" s="74"/>
      <c r="B261" s="75"/>
      <c r="C261" s="395"/>
      <c r="D261" s="280"/>
      <c r="E261" s="395"/>
      <c r="F261" s="395"/>
      <c r="G261" s="395"/>
      <c r="H261" s="395"/>
      <c r="I261" s="395"/>
      <c r="J261" s="395"/>
      <c r="K261" s="368"/>
      <c r="L261" s="368"/>
      <c r="M261" s="368"/>
      <c r="N261" s="368"/>
      <c r="O261" s="368"/>
    </row>
    <row r="262" spans="1:15" s="57" customFormat="1">
      <c r="A262" s="77" t="s">
        <v>44</v>
      </c>
      <c r="B262" s="78" t="s">
        <v>164</v>
      </c>
      <c r="C262" s="411"/>
      <c r="D262" s="79"/>
      <c r="E262" s="411"/>
      <c r="F262" s="411"/>
      <c r="G262" s="411"/>
      <c r="H262" s="411"/>
      <c r="I262" s="411"/>
      <c r="J262" s="411"/>
      <c r="K262" s="411"/>
      <c r="L262" s="411"/>
      <c r="M262" s="411"/>
      <c r="N262" s="411"/>
      <c r="O262" s="411"/>
    </row>
    <row r="263" spans="1:15" s="66" customFormat="1" ht="43.2">
      <c r="A263" s="74" t="s">
        <v>16</v>
      </c>
      <c r="B263" s="483" t="s">
        <v>1328</v>
      </c>
      <c r="C263" s="394"/>
      <c r="D263" s="280" t="s">
        <v>27</v>
      </c>
      <c r="E263" s="440">
        <v>20975</v>
      </c>
      <c r="F263" s="109">
        <f>E263*C263</f>
        <v>0</v>
      </c>
      <c r="G263" s="439">
        <f>'Measurement sheet'!F446</f>
        <v>2</v>
      </c>
      <c r="H263" s="438">
        <f>ROUND(G263,2)</f>
        <v>2</v>
      </c>
      <c r="I263" s="438">
        <f>H263*E263</f>
        <v>41950</v>
      </c>
      <c r="J263" s="438">
        <f>G263-C263</f>
        <v>2</v>
      </c>
      <c r="K263" s="438">
        <f>I263-F263</f>
        <v>41950</v>
      </c>
      <c r="L263" s="438">
        <f>IF(F263&lt;I263,(I263-F263),0)</f>
        <v>41950</v>
      </c>
      <c r="M263" s="438">
        <f>IF(F263&gt;I263,(I263-F263),0)</f>
        <v>0</v>
      </c>
      <c r="N263" s="438">
        <f>M263+L263</f>
        <v>41950</v>
      </c>
      <c r="O263" s="479" t="s">
        <v>1611</v>
      </c>
    </row>
    <row r="264" spans="1:15" s="57" customFormat="1" ht="26.4">
      <c r="A264" s="74" t="s">
        <v>19</v>
      </c>
      <c r="B264" s="75" t="s">
        <v>1329</v>
      </c>
      <c r="C264" s="394">
        <v>2</v>
      </c>
      <c r="D264" s="280" t="s">
        <v>27</v>
      </c>
      <c r="E264" s="440">
        <v>21505</v>
      </c>
      <c r="F264" s="109">
        <f>E264*C264</f>
        <v>43010</v>
      </c>
      <c r="G264" s="436"/>
      <c r="H264" s="438">
        <f>ROUND(G264,2)</f>
        <v>0</v>
      </c>
      <c r="I264" s="438">
        <f>H264*E264</f>
        <v>0</v>
      </c>
      <c r="J264" s="438">
        <f>G264-C264</f>
        <v>-2</v>
      </c>
      <c r="K264" s="438">
        <f>I264-F264</f>
        <v>-43010</v>
      </c>
      <c r="L264" s="438">
        <f>IF(F264&lt;I264,(I264-F264),0)</f>
        <v>0</v>
      </c>
      <c r="M264" s="438">
        <f>IF(F264&gt;I264,(I264-F264),0)</f>
        <v>-43010</v>
      </c>
      <c r="N264" s="438">
        <f>M264+L264</f>
        <v>-43010</v>
      </c>
      <c r="O264" s="368"/>
    </row>
    <row r="265" spans="1:15" s="57" customFormat="1">
      <c r="A265" s="74"/>
      <c r="B265" s="75"/>
      <c r="C265" s="395"/>
      <c r="D265" s="280"/>
      <c r="E265" s="395"/>
      <c r="F265" s="395"/>
      <c r="G265" s="395"/>
      <c r="H265" s="395"/>
      <c r="I265" s="395"/>
      <c r="J265" s="395"/>
      <c r="K265" s="368"/>
      <c r="L265" s="368"/>
      <c r="M265" s="368"/>
      <c r="N265" s="368"/>
      <c r="O265" s="368"/>
    </row>
    <row r="266" spans="1:15" s="57" customFormat="1">
      <c r="A266" s="77" t="s">
        <v>46</v>
      </c>
      <c r="B266" s="78" t="s">
        <v>165</v>
      </c>
      <c r="C266" s="411"/>
      <c r="D266" s="79"/>
      <c r="E266" s="411"/>
      <c r="F266" s="411"/>
      <c r="G266" s="411"/>
      <c r="H266" s="411"/>
      <c r="I266" s="411"/>
      <c r="J266" s="411"/>
      <c r="K266" s="411"/>
      <c r="L266" s="411"/>
      <c r="M266" s="411"/>
      <c r="N266" s="411"/>
      <c r="O266" s="411"/>
    </row>
    <row r="267" spans="1:15" s="57" customFormat="1" ht="118.8">
      <c r="A267" s="69" t="s">
        <v>16</v>
      </c>
      <c r="B267" s="70" t="s">
        <v>1330</v>
      </c>
      <c r="C267" s="413"/>
      <c r="D267" s="318"/>
      <c r="E267" s="413"/>
      <c r="F267" s="413"/>
      <c r="G267" s="413"/>
      <c r="H267" s="413"/>
      <c r="I267" s="413"/>
      <c r="J267" s="413"/>
      <c r="K267" s="368"/>
      <c r="L267" s="368"/>
      <c r="M267" s="368"/>
      <c r="N267" s="368"/>
      <c r="O267" s="368"/>
    </row>
    <row r="268" spans="1:15" s="57" customFormat="1">
      <c r="A268" s="74" t="s">
        <v>14</v>
      </c>
      <c r="B268" s="75" t="s">
        <v>166</v>
      </c>
      <c r="C268" s="394"/>
      <c r="D268" s="280" t="s">
        <v>27</v>
      </c>
      <c r="E268" s="440">
        <v>14259</v>
      </c>
      <c r="F268" s="109">
        <f t="shared" ref="F268:F275" si="80">E268*C268</f>
        <v>0</v>
      </c>
      <c r="G268" s="436"/>
      <c r="H268" s="438">
        <f t="shared" ref="H268:H275" si="81">ROUND(G268,2)</f>
        <v>0</v>
      </c>
      <c r="I268" s="438">
        <f t="shared" ref="I268:I275" si="82">H268*E268</f>
        <v>0</v>
      </c>
      <c r="J268" s="438">
        <f t="shared" ref="J268:J275" si="83">G268-C268</f>
        <v>0</v>
      </c>
      <c r="K268" s="438">
        <f t="shared" ref="K268:K275" si="84">I268-F268</f>
        <v>0</v>
      </c>
      <c r="L268" s="438">
        <f t="shared" ref="L268:L275" si="85">IF(F268&lt;I268,(I268-F268),0)</f>
        <v>0</v>
      </c>
      <c r="M268" s="438">
        <f t="shared" ref="M268:M275" si="86">IF(F268&gt;I268,(I268-F268),0)</f>
        <v>0</v>
      </c>
      <c r="N268" s="438">
        <f t="shared" ref="N268:N275" si="87">M268+L268</f>
        <v>0</v>
      </c>
      <c r="O268" s="368"/>
    </row>
    <row r="269" spans="1:15" s="57" customFormat="1">
      <c r="A269" s="74" t="s">
        <v>44</v>
      </c>
      <c r="B269" s="75" t="s">
        <v>167</v>
      </c>
      <c r="C269" s="394"/>
      <c r="D269" s="280" t="s">
        <v>27</v>
      </c>
      <c r="E269" s="440">
        <v>15664</v>
      </c>
      <c r="F269" s="109">
        <f t="shared" si="80"/>
        <v>0</v>
      </c>
      <c r="G269" s="436"/>
      <c r="H269" s="438">
        <f t="shared" si="81"/>
        <v>0</v>
      </c>
      <c r="I269" s="438">
        <f t="shared" si="82"/>
        <v>0</v>
      </c>
      <c r="J269" s="438">
        <f t="shared" si="83"/>
        <v>0</v>
      </c>
      <c r="K269" s="438">
        <f t="shared" si="84"/>
        <v>0</v>
      </c>
      <c r="L269" s="438">
        <f t="shared" si="85"/>
        <v>0</v>
      </c>
      <c r="M269" s="438">
        <f t="shared" si="86"/>
        <v>0</v>
      </c>
      <c r="N269" s="438">
        <f t="shared" si="87"/>
        <v>0</v>
      </c>
      <c r="O269" s="368"/>
    </row>
    <row r="270" spans="1:15" s="57" customFormat="1">
      <c r="A270" s="74" t="s">
        <v>46</v>
      </c>
      <c r="B270" s="75" t="s">
        <v>168</v>
      </c>
      <c r="C270" s="394"/>
      <c r="D270" s="280" t="s">
        <v>27</v>
      </c>
      <c r="E270" s="440">
        <v>13884</v>
      </c>
      <c r="F270" s="109">
        <f t="shared" si="80"/>
        <v>0</v>
      </c>
      <c r="G270" s="436"/>
      <c r="H270" s="438">
        <f t="shared" si="81"/>
        <v>0</v>
      </c>
      <c r="I270" s="438">
        <f t="shared" si="82"/>
        <v>0</v>
      </c>
      <c r="J270" s="438">
        <f t="shared" si="83"/>
        <v>0</v>
      </c>
      <c r="K270" s="438">
        <f t="shared" si="84"/>
        <v>0</v>
      </c>
      <c r="L270" s="438">
        <f t="shared" si="85"/>
        <v>0</v>
      </c>
      <c r="M270" s="438">
        <f t="shared" si="86"/>
        <v>0</v>
      </c>
      <c r="N270" s="438">
        <f t="shared" si="87"/>
        <v>0</v>
      </c>
      <c r="O270" s="368"/>
    </row>
    <row r="271" spans="1:15" s="57" customFormat="1">
      <c r="A271" s="74" t="s">
        <v>47</v>
      </c>
      <c r="B271" s="75" t="s">
        <v>169</v>
      </c>
      <c r="C271" s="394"/>
      <c r="D271" s="280" t="s">
        <v>27</v>
      </c>
      <c r="E271" s="440">
        <v>15664</v>
      </c>
      <c r="F271" s="109">
        <f t="shared" si="80"/>
        <v>0</v>
      </c>
      <c r="G271" s="436"/>
      <c r="H271" s="438">
        <f t="shared" si="81"/>
        <v>0</v>
      </c>
      <c r="I271" s="438">
        <f t="shared" si="82"/>
        <v>0</v>
      </c>
      <c r="J271" s="438">
        <f t="shared" si="83"/>
        <v>0</v>
      </c>
      <c r="K271" s="438">
        <f t="shared" si="84"/>
        <v>0</v>
      </c>
      <c r="L271" s="438">
        <f t="shared" si="85"/>
        <v>0</v>
      </c>
      <c r="M271" s="438">
        <f t="shared" si="86"/>
        <v>0</v>
      </c>
      <c r="N271" s="438">
        <f t="shared" si="87"/>
        <v>0</v>
      </c>
      <c r="O271" s="368"/>
    </row>
    <row r="272" spans="1:15" s="57" customFormat="1" ht="43.2">
      <c r="A272" s="74" t="s">
        <v>50</v>
      </c>
      <c r="B272" s="483" t="s">
        <v>170</v>
      </c>
      <c r="C272" s="394"/>
      <c r="D272" s="280" t="s">
        <v>27</v>
      </c>
      <c r="E272" s="440">
        <v>13136</v>
      </c>
      <c r="F272" s="109">
        <f t="shared" si="80"/>
        <v>0</v>
      </c>
      <c r="G272" s="439">
        <f>'Measurement sheet'!F449</f>
        <v>3</v>
      </c>
      <c r="H272" s="438">
        <f t="shared" si="81"/>
        <v>3</v>
      </c>
      <c r="I272" s="438">
        <f t="shared" si="82"/>
        <v>39408</v>
      </c>
      <c r="J272" s="438">
        <f t="shared" si="83"/>
        <v>3</v>
      </c>
      <c r="K272" s="438">
        <f t="shared" si="84"/>
        <v>39408</v>
      </c>
      <c r="L272" s="438">
        <f t="shared" si="85"/>
        <v>39408</v>
      </c>
      <c r="M272" s="438">
        <f t="shared" si="86"/>
        <v>0</v>
      </c>
      <c r="N272" s="438">
        <f t="shared" si="87"/>
        <v>39408</v>
      </c>
      <c r="O272" s="479" t="s">
        <v>1611</v>
      </c>
    </row>
    <row r="273" spans="1:15" s="57" customFormat="1">
      <c r="A273" s="74" t="s">
        <v>52</v>
      </c>
      <c r="B273" s="75" t="s">
        <v>171</v>
      </c>
      <c r="C273" s="394">
        <v>3</v>
      </c>
      <c r="D273" s="280" t="s">
        <v>27</v>
      </c>
      <c r="E273" s="440">
        <v>15255</v>
      </c>
      <c r="F273" s="109">
        <f t="shared" si="80"/>
        <v>45765</v>
      </c>
      <c r="G273" s="436"/>
      <c r="H273" s="438">
        <f t="shared" si="81"/>
        <v>0</v>
      </c>
      <c r="I273" s="438">
        <f t="shared" si="82"/>
        <v>0</v>
      </c>
      <c r="J273" s="438">
        <f t="shared" si="83"/>
        <v>-3</v>
      </c>
      <c r="K273" s="438">
        <f t="shared" si="84"/>
        <v>-45765</v>
      </c>
      <c r="L273" s="438">
        <f t="shared" si="85"/>
        <v>0</v>
      </c>
      <c r="M273" s="438">
        <f t="shared" si="86"/>
        <v>-45765</v>
      </c>
      <c r="N273" s="438">
        <f t="shared" si="87"/>
        <v>-45765</v>
      </c>
      <c r="O273" s="368"/>
    </row>
    <row r="274" spans="1:15" s="66" customFormat="1" ht="26.4">
      <c r="A274" s="74" t="s">
        <v>19</v>
      </c>
      <c r="B274" s="75" t="s">
        <v>1331</v>
      </c>
      <c r="C274" s="394">
        <v>2</v>
      </c>
      <c r="D274" s="280" t="s">
        <v>27</v>
      </c>
      <c r="E274" s="440">
        <v>12994</v>
      </c>
      <c r="F274" s="109">
        <f t="shared" si="80"/>
        <v>25988</v>
      </c>
      <c r="G274" s="439">
        <f>'Measurement sheet'!F450</f>
        <v>2</v>
      </c>
      <c r="H274" s="438">
        <f t="shared" si="81"/>
        <v>2</v>
      </c>
      <c r="I274" s="438">
        <f t="shared" si="82"/>
        <v>25988</v>
      </c>
      <c r="J274" s="438">
        <f t="shared" si="83"/>
        <v>0</v>
      </c>
      <c r="K274" s="438">
        <f t="shared" si="84"/>
        <v>0</v>
      </c>
      <c r="L274" s="438">
        <f t="shared" si="85"/>
        <v>0</v>
      </c>
      <c r="M274" s="438">
        <f t="shared" si="86"/>
        <v>0</v>
      </c>
      <c r="N274" s="438">
        <f t="shared" si="87"/>
        <v>0</v>
      </c>
      <c r="O274" s="447"/>
    </row>
    <row r="275" spans="1:15" s="57" customFormat="1" ht="39.6">
      <c r="A275" s="74" t="s">
        <v>21</v>
      </c>
      <c r="B275" s="75" t="s">
        <v>172</v>
      </c>
      <c r="C275" s="394"/>
      <c r="D275" s="280" t="s">
        <v>27</v>
      </c>
      <c r="E275" s="440">
        <v>5169</v>
      </c>
      <c r="F275" s="109">
        <f t="shared" si="80"/>
        <v>0</v>
      </c>
      <c r="G275" s="436"/>
      <c r="H275" s="438">
        <f t="shared" si="81"/>
        <v>0</v>
      </c>
      <c r="I275" s="438">
        <f t="shared" si="82"/>
        <v>0</v>
      </c>
      <c r="J275" s="438">
        <f t="shared" si="83"/>
        <v>0</v>
      </c>
      <c r="K275" s="438">
        <f t="shared" si="84"/>
        <v>0</v>
      </c>
      <c r="L275" s="438">
        <f t="shared" si="85"/>
        <v>0</v>
      </c>
      <c r="M275" s="438">
        <f t="shared" si="86"/>
        <v>0</v>
      </c>
      <c r="N275" s="438">
        <f t="shared" si="87"/>
        <v>0</v>
      </c>
      <c r="O275" s="368"/>
    </row>
    <row r="276" spans="1:15" s="57" customFormat="1">
      <c r="A276" s="74"/>
      <c r="B276" s="75"/>
      <c r="C276" s="395"/>
      <c r="D276" s="280"/>
      <c r="E276" s="395"/>
      <c r="F276" s="395"/>
      <c r="G276" s="395"/>
      <c r="H276" s="395"/>
      <c r="I276" s="395"/>
      <c r="J276" s="395"/>
      <c r="K276" s="368"/>
      <c r="L276" s="368"/>
      <c r="M276" s="368"/>
      <c r="N276" s="368"/>
      <c r="O276" s="368"/>
    </row>
    <row r="277" spans="1:15" s="57" customFormat="1">
      <c r="A277" s="77" t="s">
        <v>47</v>
      </c>
      <c r="B277" s="78" t="s">
        <v>173</v>
      </c>
      <c r="C277" s="411"/>
      <c r="D277" s="79"/>
      <c r="E277" s="411"/>
      <c r="F277" s="411"/>
      <c r="G277" s="411"/>
      <c r="H277" s="411"/>
      <c r="I277" s="411"/>
      <c r="J277" s="411"/>
      <c r="K277" s="411"/>
      <c r="L277" s="411"/>
      <c r="M277" s="411"/>
      <c r="N277" s="411"/>
      <c r="O277" s="411"/>
    </row>
    <row r="278" spans="1:15" s="57" customFormat="1" ht="132">
      <c r="A278" s="69" t="s">
        <v>16</v>
      </c>
      <c r="B278" s="70" t="s">
        <v>1332</v>
      </c>
      <c r="C278" s="413"/>
      <c r="D278" s="318"/>
      <c r="E278" s="413"/>
      <c r="F278" s="413"/>
      <c r="G278" s="413"/>
      <c r="H278" s="413"/>
      <c r="I278" s="413"/>
      <c r="J278" s="413"/>
      <c r="K278" s="368"/>
      <c r="L278" s="368"/>
      <c r="M278" s="368"/>
      <c r="N278" s="368"/>
      <c r="O278" s="368"/>
    </row>
    <row r="279" spans="1:15" s="57" customFormat="1" ht="26.4">
      <c r="A279" s="74" t="s">
        <v>16</v>
      </c>
      <c r="B279" s="75" t="s">
        <v>1333</v>
      </c>
      <c r="C279" s="394">
        <v>1</v>
      </c>
      <c r="D279" s="280" t="s">
        <v>27</v>
      </c>
      <c r="E279" s="440">
        <v>3432</v>
      </c>
      <c r="F279" s="109">
        <f t="shared" ref="F279:F284" si="88">E279*C279</f>
        <v>3432</v>
      </c>
      <c r="G279" s="439">
        <f>'Measurement sheet'!F453</f>
        <v>1</v>
      </c>
      <c r="H279" s="438">
        <f t="shared" ref="H279:H284" si="89">ROUND(G279,2)</f>
        <v>1</v>
      </c>
      <c r="I279" s="438">
        <f t="shared" ref="I279:I284" si="90">H279*E279</f>
        <v>3432</v>
      </c>
      <c r="J279" s="438">
        <f t="shared" ref="J279:J284" si="91">G279-C279</f>
        <v>0</v>
      </c>
      <c r="K279" s="438">
        <f t="shared" ref="K279:K284" si="92">I279-F279</f>
        <v>0</v>
      </c>
      <c r="L279" s="438">
        <f t="shared" ref="L279:L284" si="93">IF(F279&lt;I279,(I279-F279),0)</f>
        <v>0</v>
      </c>
      <c r="M279" s="438">
        <f t="shared" ref="M279:M284" si="94">IF(F279&gt;I279,(I279-F279),0)</f>
        <v>0</v>
      </c>
      <c r="N279" s="438">
        <f t="shared" ref="N279:N284" si="95">M279+L279</f>
        <v>0</v>
      </c>
      <c r="O279" s="368"/>
    </row>
    <row r="280" spans="1:15" s="57" customFormat="1" ht="26.4">
      <c r="A280" s="74" t="s">
        <v>44</v>
      </c>
      <c r="B280" s="75" t="s">
        <v>1334</v>
      </c>
      <c r="C280" s="394"/>
      <c r="D280" s="280" t="s">
        <v>27</v>
      </c>
      <c r="E280" s="440">
        <v>3432</v>
      </c>
      <c r="F280" s="109">
        <f t="shared" si="88"/>
        <v>0</v>
      </c>
      <c r="G280" s="436"/>
      <c r="H280" s="438">
        <f t="shared" si="89"/>
        <v>0</v>
      </c>
      <c r="I280" s="438">
        <f t="shared" si="90"/>
        <v>0</v>
      </c>
      <c r="J280" s="438">
        <f t="shared" si="91"/>
        <v>0</v>
      </c>
      <c r="K280" s="438">
        <f t="shared" si="92"/>
        <v>0</v>
      </c>
      <c r="L280" s="438">
        <f t="shared" si="93"/>
        <v>0</v>
      </c>
      <c r="M280" s="438">
        <f t="shared" si="94"/>
        <v>0</v>
      </c>
      <c r="N280" s="438">
        <f t="shared" si="95"/>
        <v>0</v>
      </c>
      <c r="O280" s="368"/>
    </row>
    <row r="281" spans="1:15" s="57" customFormat="1" ht="26.4">
      <c r="A281" s="74" t="s">
        <v>46</v>
      </c>
      <c r="B281" s="75" t="s">
        <v>1335</v>
      </c>
      <c r="C281" s="394"/>
      <c r="D281" s="280" t="s">
        <v>27</v>
      </c>
      <c r="E281" s="440">
        <v>3432</v>
      </c>
      <c r="F281" s="109">
        <f t="shared" si="88"/>
        <v>0</v>
      </c>
      <c r="G281" s="436"/>
      <c r="H281" s="438">
        <f t="shared" si="89"/>
        <v>0</v>
      </c>
      <c r="I281" s="438">
        <f t="shared" si="90"/>
        <v>0</v>
      </c>
      <c r="J281" s="438">
        <f t="shared" si="91"/>
        <v>0</v>
      </c>
      <c r="K281" s="438">
        <f t="shared" si="92"/>
        <v>0</v>
      </c>
      <c r="L281" s="438">
        <f t="shared" si="93"/>
        <v>0</v>
      </c>
      <c r="M281" s="438">
        <f t="shared" si="94"/>
        <v>0</v>
      </c>
      <c r="N281" s="438">
        <f t="shared" si="95"/>
        <v>0</v>
      </c>
      <c r="O281" s="368"/>
    </row>
    <row r="282" spans="1:15" s="57" customFormat="1" ht="26.4">
      <c r="A282" s="74" t="s">
        <v>47</v>
      </c>
      <c r="B282" s="75" t="s">
        <v>1336</v>
      </c>
      <c r="C282" s="394"/>
      <c r="D282" s="280" t="s">
        <v>27</v>
      </c>
      <c r="E282" s="440">
        <v>3432</v>
      </c>
      <c r="F282" s="109">
        <f t="shared" si="88"/>
        <v>0</v>
      </c>
      <c r="G282" s="436"/>
      <c r="H282" s="438">
        <f t="shared" si="89"/>
        <v>0</v>
      </c>
      <c r="I282" s="438">
        <f t="shared" si="90"/>
        <v>0</v>
      </c>
      <c r="J282" s="438">
        <f t="shared" si="91"/>
        <v>0</v>
      </c>
      <c r="K282" s="438">
        <f t="shared" si="92"/>
        <v>0</v>
      </c>
      <c r="L282" s="438">
        <f t="shared" si="93"/>
        <v>0</v>
      </c>
      <c r="M282" s="438">
        <f t="shared" si="94"/>
        <v>0</v>
      </c>
      <c r="N282" s="438">
        <f t="shared" si="95"/>
        <v>0</v>
      </c>
      <c r="O282" s="368"/>
    </row>
    <row r="283" spans="1:15" s="57" customFormat="1" ht="26.4">
      <c r="A283" s="74" t="s">
        <v>50</v>
      </c>
      <c r="B283" s="75" t="s">
        <v>1337</v>
      </c>
      <c r="C283" s="394"/>
      <c r="D283" s="280" t="s">
        <v>27</v>
      </c>
      <c r="E283" s="440">
        <v>3432</v>
      </c>
      <c r="F283" s="109">
        <f t="shared" si="88"/>
        <v>0</v>
      </c>
      <c r="G283" s="436"/>
      <c r="H283" s="438">
        <f t="shared" si="89"/>
        <v>0</v>
      </c>
      <c r="I283" s="438">
        <f t="shared" si="90"/>
        <v>0</v>
      </c>
      <c r="J283" s="438">
        <f t="shared" si="91"/>
        <v>0</v>
      </c>
      <c r="K283" s="438">
        <f t="shared" si="92"/>
        <v>0</v>
      </c>
      <c r="L283" s="438">
        <f t="shared" si="93"/>
        <v>0</v>
      </c>
      <c r="M283" s="438">
        <f t="shared" si="94"/>
        <v>0</v>
      </c>
      <c r="N283" s="438">
        <f t="shared" si="95"/>
        <v>0</v>
      </c>
      <c r="O283" s="368"/>
    </row>
    <row r="284" spans="1:15" s="57" customFormat="1" ht="26.4">
      <c r="A284" s="74" t="s">
        <v>52</v>
      </c>
      <c r="B284" s="75" t="s">
        <v>1338</v>
      </c>
      <c r="C284" s="394"/>
      <c r="D284" s="280" t="s">
        <v>27</v>
      </c>
      <c r="E284" s="440">
        <v>3432</v>
      </c>
      <c r="F284" s="109">
        <f t="shared" si="88"/>
        <v>0</v>
      </c>
      <c r="G284" s="436"/>
      <c r="H284" s="438">
        <f t="shared" si="89"/>
        <v>0</v>
      </c>
      <c r="I284" s="438">
        <f t="shared" si="90"/>
        <v>0</v>
      </c>
      <c r="J284" s="438">
        <f t="shared" si="91"/>
        <v>0</v>
      </c>
      <c r="K284" s="438">
        <f t="shared" si="92"/>
        <v>0</v>
      </c>
      <c r="L284" s="438">
        <f t="shared" si="93"/>
        <v>0</v>
      </c>
      <c r="M284" s="438">
        <f t="shared" si="94"/>
        <v>0</v>
      </c>
      <c r="N284" s="438">
        <f t="shared" si="95"/>
        <v>0</v>
      </c>
      <c r="O284" s="368"/>
    </row>
    <row r="285" spans="1:15" s="66" customFormat="1">
      <c r="A285" s="77" t="s">
        <v>50</v>
      </c>
      <c r="B285" s="78" t="s">
        <v>174</v>
      </c>
      <c r="C285" s="411"/>
      <c r="D285" s="79"/>
      <c r="E285" s="411"/>
      <c r="F285" s="411"/>
      <c r="G285" s="411"/>
      <c r="H285" s="411"/>
      <c r="I285" s="411"/>
      <c r="J285" s="411"/>
      <c r="K285" s="411"/>
      <c r="L285" s="411"/>
      <c r="M285" s="411"/>
      <c r="N285" s="411"/>
      <c r="O285" s="411"/>
    </row>
    <row r="286" spans="1:15" s="66" customFormat="1" ht="322.5" customHeight="1">
      <c r="A286" s="74" t="s">
        <v>16</v>
      </c>
      <c r="B286" s="319" t="s">
        <v>175</v>
      </c>
      <c r="C286" s="394">
        <v>1</v>
      </c>
      <c r="D286" s="280" t="s">
        <v>27</v>
      </c>
      <c r="E286" s="448">
        <v>47602</v>
      </c>
      <c r="F286" s="109">
        <f>E286*C286</f>
        <v>47602</v>
      </c>
      <c r="G286" s="439">
        <f>'Measurement sheet'!F455</f>
        <v>1</v>
      </c>
      <c r="H286" s="438">
        <f>ROUND(G286,2)</f>
        <v>1</v>
      </c>
      <c r="I286" s="438">
        <f>H286*E286</f>
        <v>47602</v>
      </c>
      <c r="J286" s="438">
        <f>G286-C286</f>
        <v>0</v>
      </c>
      <c r="K286" s="438">
        <f>I286-F286</f>
        <v>0</v>
      </c>
      <c r="L286" s="438">
        <f>IF(F286&lt;I286,(I286-F286),0)</f>
        <v>0</v>
      </c>
      <c r="M286" s="438">
        <f>IF(F286&gt;I286,(I286-F286),0)</f>
        <v>0</v>
      </c>
      <c r="N286" s="438">
        <f>M286+L286</f>
        <v>0</v>
      </c>
      <c r="O286" s="447"/>
    </row>
    <row r="287" spans="1:15" s="57" customFormat="1">
      <c r="A287" s="62">
        <v>5</v>
      </c>
      <c r="B287" s="60" t="s">
        <v>176</v>
      </c>
      <c r="C287" s="410"/>
      <c r="D287" s="68"/>
      <c r="E287" s="410"/>
      <c r="F287" s="410"/>
      <c r="G287" s="61"/>
      <c r="H287" s="393"/>
      <c r="I287" s="393"/>
      <c r="J287" s="393"/>
      <c r="K287" s="393"/>
      <c r="L287" s="393"/>
      <c r="M287" s="393"/>
      <c r="N287" s="393"/>
      <c r="O287" s="393"/>
    </row>
    <row r="288" spans="1:15" s="57" customFormat="1" ht="118.8">
      <c r="A288" s="76"/>
      <c r="B288" s="179" t="s">
        <v>1339</v>
      </c>
      <c r="C288" s="412"/>
      <c r="D288" s="76"/>
      <c r="E288" s="412"/>
      <c r="F288" s="412"/>
      <c r="G288" s="412"/>
      <c r="H288" s="412"/>
      <c r="I288" s="412"/>
      <c r="J288" s="412"/>
      <c r="K288" s="368"/>
      <c r="L288" s="368"/>
      <c r="M288" s="368"/>
      <c r="N288" s="368"/>
      <c r="O288" s="368"/>
    </row>
    <row r="289" spans="1:15" s="57" customFormat="1">
      <c r="A289" s="77" t="s">
        <v>14</v>
      </c>
      <c r="B289" s="78" t="s">
        <v>177</v>
      </c>
      <c r="C289" s="411"/>
      <c r="D289" s="79"/>
      <c r="E289" s="411"/>
      <c r="F289" s="411"/>
      <c r="G289" s="411"/>
      <c r="H289" s="411"/>
      <c r="I289" s="411"/>
      <c r="J289" s="411"/>
      <c r="K289" s="411"/>
      <c r="L289" s="411"/>
      <c r="M289" s="411"/>
      <c r="N289" s="411"/>
      <c r="O289" s="411"/>
    </row>
    <row r="290" spans="1:15" s="66" customFormat="1" ht="277.2">
      <c r="A290" s="69" t="s">
        <v>16</v>
      </c>
      <c r="B290" s="70" t="s">
        <v>1340</v>
      </c>
      <c r="C290" s="394">
        <v>1</v>
      </c>
      <c r="D290" s="280" t="s">
        <v>27</v>
      </c>
      <c r="E290" s="440">
        <v>28249</v>
      </c>
      <c r="F290" s="109">
        <f>E290*C290</f>
        <v>28249</v>
      </c>
      <c r="G290" s="439">
        <f>'Measurement sheet'!F459</f>
        <v>1</v>
      </c>
      <c r="H290" s="438">
        <f>ROUND(G290,2)</f>
        <v>1</v>
      </c>
      <c r="I290" s="438">
        <f>H290*E290</f>
        <v>28249</v>
      </c>
      <c r="J290" s="438">
        <f>G290-C290</f>
        <v>0</v>
      </c>
      <c r="K290" s="438">
        <f>I290-F290</f>
        <v>0</v>
      </c>
      <c r="L290" s="438">
        <f>IF(F290&lt;I290,(I290-F290),0)</f>
        <v>0</v>
      </c>
      <c r="M290" s="438">
        <f>IF(F290&gt;I290,(I290-F290),0)</f>
        <v>0</v>
      </c>
      <c r="N290" s="438">
        <f>M290+L290</f>
        <v>0</v>
      </c>
      <c r="O290" s="447"/>
    </row>
    <row r="291" spans="1:15" s="57" customFormat="1" ht="26.4">
      <c r="A291" s="74" t="s">
        <v>19</v>
      </c>
      <c r="B291" s="75" t="s">
        <v>178</v>
      </c>
      <c r="C291" s="394"/>
      <c r="D291" s="280" t="s">
        <v>27</v>
      </c>
      <c r="E291" s="440">
        <v>25340</v>
      </c>
      <c r="F291" s="109">
        <f>E291*C291</f>
        <v>0</v>
      </c>
      <c r="G291" s="436"/>
      <c r="H291" s="438">
        <f>ROUND(G291,2)</f>
        <v>0</v>
      </c>
      <c r="I291" s="438">
        <f>H291*E291</f>
        <v>0</v>
      </c>
      <c r="J291" s="438">
        <f>G291-C291</f>
        <v>0</v>
      </c>
      <c r="K291" s="438">
        <f>I291-F291</f>
        <v>0</v>
      </c>
      <c r="L291" s="438">
        <f>IF(F291&lt;I291,(I291-F291),0)</f>
        <v>0</v>
      </c>
      <c r="M291" s="438">
        <f>IF(F291&gt;I291,(I291-F291),0)</f>
        <v>0</v>
      </c>
      <c r="N291" s="438">
        <f>M291+L291</f>
        <v>0</v>
      </c>
      <c r="O291" s="368"/>
    </row>
    <row r="292" spans="1:15" s="57" customFormat="1">
      <c r="A292" s="74"/>
      <c r="B292" s="75"/>
      <c r="C292" s="395"/>
      <c r="D292" s="280"/>
      <c r="E292" s="395"/>
      <c r="F292" s="395"/>
      <c r="G292" s="395"/>
      <c r="H292" s="395"/>
      <c r="I292" s="395"/>
      <c r="J292" s="395"/>
      <c r="K292" s="368"/>
      <c r="L292" s="368"/>
      <c r="M292" s="368"/>
      <c r="N292" s="368"/>
      <c r="O292" s="368"/>
    </row>
    <row r="293" spans="1:15" s="57" customFormat="1">
      <c r="A293" s="77" t="s">
        <v>44</v>
      </c>
      <c r="B293" s="78" t="s">
        <v>179</v>
      </c>
      <c r="C293" s="411"/>
      <c r="D293" s="79"/>
      <c r="E293" s="411"/>
      <c r="F293" s="411"/>
      <c r="G293" s="411"/>
      <c r="H293" s="411"/>
      <c r="I293" s="411"/>
      <c r="J293" s="411"/>
      <c r="K293" s="411"/>
      <c r="L293" s="411"/>
      <c r="M293" s="411"/>
      <c r="N293" s="411"/>
      <c r="O293" s="411"/>
    </row>
    <row r="294" spans="1:15" s="57" customFormat="1" ht="250.8">
      <c r="A294" s="69" t="s">
        <v>16</v>
      </c>
      <c r="B294" s="70" t="s">
        <v>1341</v>
      </c>
      <c r="C294" s="394"/>
      <c r="D294" s="280" t="s">
        <v>27</v>
      </c>
      <c r="E294" s="449">
        <v>25213</v>
      </c>
      <c r="F294" s="109">
        <f>E294*C294</f>
        <v>0</v>
      </c>
      <c r="G294" s="436"/>
      <c r="H294" s="438">
        <f>ROUND(G294,2)</f>
        <v>0</v>
      </c>
      <c r="I294" s="438">
        <f>H294*E294</f>
        <v>0</v>
      </c>
      <c r="J294" s="438">
        <f>G294-C294</f>
        <v>0</v>
      </c>
      <c r="K294" s="438">
        <f>I294-F294</f>
        <v>0</v>
      </c>
      <c r="L294" s="438">
        <f>IF(F294&lt;I294,(I294-F294),0)</f>
        <v>0</v>
      </c>
      <c r="M294" s="438">
        <f>IF(F294&gt;I294,(I294-F294),0)</f>
        <v>0</v>
      </c>
      <c r="N294" s="438">
        <f>M294+L294</f>
        <v>0</v>
      </c>
      <c r="O294" s="368"/>
    </row>
    <row r="295" spans="1:15" s="66" customFormat="1" ht="39.6">
      <c r="A295" s="74" t="s">
        <v>19</v>
      </c>
      <c r="B295" s="75" t="s">
        <v>180</v>
      </c>
      <c r="C295" s="394"/>
      <c r="D295" s="280" t="s">
        <v>27</v>
      </c>
      <c r="E295" s="449">
        <v>20128</v>
      </c>
      <c r="F295" s="109">
        <f>E295*C295</f>
        <v>0</v>
      </c>
      <c r="G295" s="436"/>
      <c r="H295" s="438">
        <f>ROUND(G295,2)</f>
        <v>0</v>
      </c>
      <c r="I295" s="438">
        <f>H295*E295</f>
        <v>0</v>
      </c>
      <c r="J295" s="438">
        <f>G295-C295</f>
        <v>0</v>
      </c>
      <c r="K295" s="438">
        <f>I295-F295</f>
        <v>0</v>
      </c>
      <c r="L295" s="438">
        <f>IF(F295&lt;I295,(I295-F295),0)</f>
        <v>0</v>
      </c>
      <c r="M295" s="438">
        <f>IF(F295&gt;I295,(I295-F295),0)</f>
        <v>0</v>
      </c>
      <c r="N295" s="438">
        <f>M295+L295</f>
        <v>0</v>
      </c>
      <c r="O295" s="447"/>
    </row>
    <row r="296" spans="1:15" s="57" customFormat="1" ht="26.4">
      <c r="A296" s="74" t="s">
        <v>21</v>
      </c>
      <c r="B296" s="75" t="s">
        <v>181</v>
      </c>
      <c r="C296" s="394"/>
      <c r="D296" s="280" t="s">
        <v>27</v>
      </c>
      <c r="E296" s="449">
        <v>20488</v>
      </c>
      <c r="F296" s="109">
        <f>E296*C296</f>
        <v>0</v>
      </c>
      <c r="G296" s="436"/>
      <c r="H296" s="438">
        <f>ROUND(G296,2)</f>
        <v>0</v>
      </c>
      <c r="I296" s="438">
        <f>H296*E296</f>
        <v>0</v>
      </c>
      <c r="J296" s="438">
        <f>G296-C296</f>
        <v>0</v>
      </c>
      <c r="K296" s="438">
        <f>I296-F296</f>
        <v>0</v>
      </c>
      <c r="L296" s="438">
        <f>IF(F296&lt;I296,(I296-F296),0)</f>
        <v>0</v>
      </c>
      <c r="M296" s="438">
        <f>IF(F296&gt;I296,(I296-F296),0)</f>
        <v>0</v>
      </c>
      <c r="N296" s="438">
        <f>M296+L296</f>
        <v>0</v>
      </c>
      <c r="O296" s="368"/>
    </row>
    <row r="297" spans="1:15" s="57" customFormat="1">
      <c r="A297" s="74"/>
      <c r="B297" s="75"/>
      <c r="C297" s="412"/>
      <c r="D297" s="76"/>
      <c r="E297" s="412"/>
      <c r="F297" s="412"/>
      <c r="G297" s="412"/>
      <c r="H297" s="412"/>
      <c r="I297" s="412"/>
      <c r="J297" s="412"/>
      <c r="K297" s="368"/>
      <c r="L297" s="368"/>
      <c r="M297" s="368"/>
      <c r="N297" s="368"/>
      <c r="O297" s="368"/>
    </row>
    <row r="298" spans="1:15" s="57" customFormat="1">
      <c r="A298" s="77" t="s">
        <v>46</v>
      </c>
      <c r="B298" s="78" t="s">
        <v>182</v>
      </c>
      <c r="C298" s="411"/>
      <c r="D298" s="79"/>
      <c r="E298" s="411"/>
      <c r="F298" s="411"/>
      <c r="G298" s="411"/>
      <c r="H298" s="411"/>
      <c r="I298" s="411"/>
      <c r="J298" s="411"/>
      <c r="K298" s="411"/>
      <c r="L298" s="411"/>
      <c r="M298" s="411"/>
      <c r="N298" s="411"/>
      <c r="O298" s="411"/>
    </row>
    <row r="299" spans="1:15" s="66" customFormat="1" ht="198">
      <c r="A299" s="69" t="s">
        <v>16</v>
      </c>
      <c r="B299" s="70" t="s">
        <v>183</v>
      </c>
      <c r="C299" s="394"/>
      <c r="D299" s="280" t="s">
        <v>27</v>
      </c>
      <c r="E299" s="449">
        <v>22458</v>
      </c>
      <c r="F299" s="109">
        <f>E299*C299</f>
        <v>0</v>
      </c>
      <c r="G299" s="436"/>
      <c r="H299" s="438">
        <f>ROUND(G299,2)</f>
        <v>0</v>
      </c>
      <c r="I299" s="438">
        <f>H299*E299</f>
        <v>0</v>
      </c>
      <c r="J299" s="438">
        <f>G299-C299</f>
        <v>0</v>
      </c>
      <c r="K299" s="438">
        <f>I299-F299</f>
        <v>0</v>
      </c>
      <c r="L299" s="438">
        <f>IF(F299&lt;I299,(I299-F299),0)</f>
        <v>0</v>
      </c>
      <c r="M299" s="438">
        <f>IF(F299&gt;I299,(I299-F299),0)</f>
        <v>0</v>
      </c>
      <c r="N299" s="438">
        <f>M299+L299</f>
        <v>0</v>
      </c>
      <c r="O299" s="447"/>
    </row>
    <row r="300" spans="1:15" s="57" customFormat="1">
      <c r="A300" s="74" t="s">
        <v>19</v>
      </c>
      <c r="B300" s="75" t="s">
        <v>1342</v>
      </c>
      <c r="C300" s="394"/>
      <c r="D300" s="280" t="s">
        <v>27</v>
      </c>
      <c r="E300" s="449">
        <v>20340</v>
      </c>
      <c r="F300" s="109">
        <f>E300*C300</f>
        <v>0</v>
      </c>
      <c r="G300" s="436"/>
      <c r="H300" s="438">
        <f>ROUND(G300,2)</f>
        <v>0</v>
      </c>
      <c r="I300" s="438">
        <f>H300*E300</f>
        <v>0</v>
      </c>
      <c r="J300" s="438">
        <f>G300-C300</f>
        <v>0</v>
      </c>
      <c r="K300" s="438">
        <f>I300-F300</f>
        <v>0</v>
      </c>
      <c r="L300" s="438">
        <f>IF(F300&lt;I300,(I300-F300),0)</f>
        <v>0</v>
      </c>
      <c r="M300" s="438">
        <f>IF(F300&gt;I300,(I300-F300),0)</f>
        <v>0</v>
      </c>
      <c r="N300" s="438">
        <f>M300+L300</f>
        <v>0</v>
      </c>
      <c r="O300" s="368"/>
    </row>
    <row r="301" spans="1:15" s="66" customFormat="1">
      <c r="A301" s="74"/>
      <c r="B301" s="75"/>
      <c r="C301" s="395"/>
      <c r="D301" s="280"/>
      <c r="E301" s="395"/>
      <c r="F301" s="395"/>
      <c r="G301" s="395"/>
      <c r="H301" s="395"/>
      <c r="I301" s="395"/>
      <c r="J301" s="395"/>
      <c r="K301" s="447"/>
      <c r="L301" s="447"/>
      <c r="M301" s="447"/>
      <c r="N301" s="447"/>
      <c r="O301" s="447"/>
    </row>
    <row r="302" spans="1:15" s="57" customFormat="1" ht="26.4">
      <c r="A302" s="77" t="s">
        <v>47</v>
      </c>
      <c r="B302" s="78" t="s">
        <v>184</v>
      </c>
      <c r="C302" s="411"/>
      <c r="D302" s="79"/>
      <c r="E302" s="411"/>
      <c r="F302" s="411"/>
      <c r="G302" s="411"/>
      <c r="H302" s="411"/>
      <c r="I302" s="411"/>
      <c r="J302" s="411"/>
      <c r="K302" s="411"/>
      <c r="L302" s="411"/>
      <c r="M302" s="411"/>
      <c r="N302" s="411"/>
      <c r="O302" s="411"/>
    </row>
    <row r="303" spans="1:15" s="57" customFormat="1" ht="184.8">
      <c r="A303" s="69" t="s">
        <v>16</v>
      </c>
      <c r="B303" s="70" t="s">
        <v>185</v>
      </c>
      <c r="C303" s="394">
        <v>19</v>
      </c>
      <c r="D303" s="280" t="s">
        <v>27</v>
      </c>
      <c r="E303" s="449">
        <v>16568</v>
      </c>
      <c r="F303" s="109">
        <f>E303*C303</f>
        <v>314792</v>
      </c>
      <c r="G303" s="439">
        <f>'Measurement sheet'!F461</f>
        <v>21</v>
      </c>
      <c r="H303" s="438">
        <f>ROUND(G303,2)</f>
        <v>21</v>
      </c>
      <c r="I303" s="438">
        <f>H303*E303</f>
        <v>347928</v>
      </c>
      <c r="J303" s="438">
        <f>G303-C303</f>
        <v>2</v>
      </c>
      <c r="K303" s="438">
        <f>I303-F303</f>
        <v>33136</v>
      </c>
      <c r="L303" s="438">
        <f>IF(F303&lt;I303,(I303-F303),0)</f>
        <v>33136</v>
      </c>
      <c r="M303" s="438">
        <f>IF(F303&gt;I303,(I303-F303),0)</f>
        <v>0</v>
      </c>
      <c r="N303" s="438">
        <f>M303+L303</f>
        <v>33136</v>
      </c>
      <c r="O303" s="478" t="s">
        <v>1610</v>
      </c>
    </row>
    <row r="304" spans="1:15" s="57" customFormat="1" ht="330">
      <c r="A304" s="74" t="s">
        <v>19</v>
      </c>
      <c r="B304" s="320" t="s">
        <v>186</v>
      </c>
      <c r="C304" s="394"/>
      <c r="D304" s="280" t="s">
        <v>27</v>
      </c>
      <c r="E304" s="449">
        <v>17043</v>
      </c>
      <c r="F304" s="109">
        <f>E304*C304</f>
        <v>0</v>
      </c>
      <c r="G304" s="436"/>
      <c r="H304" s="438">
        <f>ROUND(G304,2)</f>
        <v>0</v>
      </c>
      <c r="I304" s="438">
        <f>H304*E304</f>
        <v>0</v>
      </c>
      <c r="J304" s="438">
        <f>G304-C304</f>
        <v>0</v>
      </c>
      <c r="K304" s="438">
        <f>I304-F304</f>
        <v>0</v>
      </c>
      <c r="L304" s="438">
        <f>IF(F304&lt;I304,(I304-F304),0)</f>
        <v>0</v>
      </c>
      <c r="M304" s="438">
        <f>IF(F304&gt;I304,(I304-F304),0)</f>
        <v>0</v>
      </c>
      <c r="N304" s="438">
        <f>M304+L304</f>
        <v>0</v>
      </c>
      <c r="O304" s="368"/>
    </row>
    <row r="305" spans="1:15" s="66" customFormat="1" ht="79.2">
      <c r="A305" s="69" t="s">
        <v>21</v>
      </c>
      <c r="B305" s="70" t="s">
        <v>187</v>
      </c>
      <c r="C305" s="394"/>
      <c r="D305" s="318" t="s">
        <v>27</v>
      </c>
      <c r="E305" s="449"/>
      <c r="F305" s="109">
        <f>E305*C305</f>
        <v>0</v>
      </c>
      <c r="G305" s="436"/>
      <c r="H305" s="438">
        <f>ROUND(G305,2)</f>
        <v>0</v>
      </c>
      <c r="I305" s="438">
        <f>H305*E305</f>
        <v>0</v>
      </c>
      <c r="J305" s="438">
        <f>G305-C305</f>
        <v>0</v>
      </c>
      <c r="K305" s="438">
        <f>I305-F305</f>
        <v>0</v>
      </c>
      <c r="L305" s="438">
        <f>IF(F305&lt;I305,(I305-F305),0)</f>
        <v>0</v>
      </c>
      <c r="M305" s="438">
        <f>IF(F305&gt;I305,(I305-F305),0)</f>
        <v>0</v>
      </c>
      <c r="N305" s="438">
        <f>M305+L305</f>
        <v>0</v>
      </c>
      <c r="O305" s="447"/>
    </row>
    <row r="306" spans="1:15" s="66" customFormat="1" ht="39.6">
      <c r="A306" s="74" t="s">
        <v>23</v>
      </c>
      <c r="B306" s="75" t="s">
        <v>188</v>
      </c>
      <c r="C306" s="394"/>
      <c r="D306" s="76" t="s">
        <v>74</v>
      </c>
      <c r="E306" s="449">
        <v>1268</v>
      </c>
      <c r="F306" s="109">
        <f>E306*C306</f>
        <v>0</v>
      </c>
      <c r="G306" s="436"/>
      <c r="H306" s="438">
        <f>ROUND(G306,2)</f>
        <v>0</v>
      </c>
      <c r="I306" s="438">
        <f>H306*E306</f>
        <v>0</v>
      </c>
      <c r="J306" s="438">
        <f>G306-C306</f>
        <v>0</v>
      </c>
      <c r="K306" s="438">
        <f>I306-F306</f>
        <v>0</v>
      </c>
      <c r="L306" s="438">
        <f>IF(F306&lt;I306,(I306-F306),0)</f>
        <v>0</v>
      </c>
      <c r="M306" s="438">
        <f>IF(F306&gt;I306,(I306-F306),0)</f>
        <v>0</v>
      </c>
      <c r="N306" s="438">
        <f>M306+L306</f>
        <v>0</v>
      </c>
      <c r="O306" s="447"/>
    </row>
    <row r="307" spans="1:15" s="57" customFormat="1">
      <c r="A307" s="74"/>
      <c r="B307" s="75"/>
      <c r="C307" s="412"/>
      <c r="D307" s="76"/>
      <c r="E307" s="412"/>
      <c r="F307" s="412"/>
      <c r="G307" s="412"/>
      <c r="H307" s="412"/>
      <c r="I307" s="412"/>
      <c r="J307" s="412"/>
      <c r="K307" s="368"/>
      <c r="L307" s="368"/>
      <c r="M307" s="368"/>
      <c r="N307" s="368"/>
      <c r="O307" s="368"/>
    </row>
    <row r="308" spans="1:15" s="57" customFormat="1">
      <c r="A308" s="77" t="s">
        <v>50</v>
      </c>
      <c r="B308" s="78" t="s">
        <v>189</v>
      </c>
      <c r="C308" s="411"/>
      <c r="D308" s="79"/>
      <c r="E308" s="411"/>
      <c r="F308" s="411"/>
      <c r="G308" s="411"/>
      <c r="H308" s="411"/>
      <c r="I308" s="411"/>
      <c r="J308" s="411"/>
      <c r="K308" s="411"/>
      <c r="L308" s="411"/>
      <c r="M308" s="411"/>
      <c r="N308" s="411"/>
      <c r="O308" s="411"/>
    </row>
    <row r="309" spans="1:15" s="66" customFormat="1" ht="211.2">
      <c r="A309" s="69" t="s">
        <v>16</v>
      </c>
      <c r="B309" s="70" t="s">
        <v>190</v>
      </c>
      <c r="C309" s="394"/>
      <c r="D309" s="76" t="s">
        <v>27</v>
      </c>
      <c r="E309" s="449">
        <v>24336</v>
      </c>
      <c r="F309" s="109">
        <f>E309*C309</f>
        <v>0</v>
      </c>
      <c r="G309" s="436"/>
      <c r="H309" s="438">
        <f>ROUND(G309,2)</f>
        <v>0</v>
      </c>
      <c r="I309" s="438">
        <f>H309*E309</f>
        <v>0</v>
      </c>
      <c r="J309" s="438">
        <f>G309-C309</f>
        <v>0</v>
      </c>
      <c r="K309" s="438">
        <f>I309-F309</f>
        <v>0</v>
      </c>
      <c r="L309" s="438">
        <f>IF(F309&lt;I309,(I309-F309),0)</f>
        <v>0</v>
      </c>
      <c r="M309" s="438">
        <f>IF(F309&gt;I309,(I309-F309),0)</f>
        <v>0</v>
      </c>
      <c r="N309" s="438">
        <f>M309+L309</f>
        <v>0</v>
      </c>
      <c r="O309" s="447"/>
    </row>
    <row r="310" spans="1:15" s="57" customFormat="1" ht="237.6">
      <c r="A310" s="69" t="s">
        <v>19</v>
      </c>
      <c r="B310" s="70" t="s">
        <v>191</v>
      </c>
      <c r="C310" s="394"/>
      <c r="D310" s="76" t="s">
        <v>27</v>
      </c>
      <c r="E310" s="449">
        <v>37247</v>
      </c>
      <c r="F310" s="109">
        <f>E310*C310</f>
        <v>0</v>
      </c>
      <c r="G310" s="436"/>
      <c r="H310" s="438">
        <f>ROUND(G310,2)</f>
        <v>0</v>
      </c>
      <c r="I310" s="438">
        <f>H310*E310</f>
        <v>0</v>
      </c>
      <c r="J310" s="438">
        <f>G310-C310</f>
        <v>0</v>
      </c>
      <c r="K310" s="438">
        <f>I310-F310</f>
        <v>0</v>
      </c>
      <c r="L310" s="438">
        <f>IF(F310&lt;I310,(I310-F310),0)</f>
        <v>0</v>
      </c>
      <c r="M310" s="438">
        <f>IF(F310&gt;I310,(I310-F310),0)</f>
        <v>0</v>
      </c>
      <c r="N310" s="438">
        <f>M310+L310</f>
        <v>0</v>
      </c>
      <c r="O310" s="368"/>
    </row>
    <row r="311" spans="1:15" s="57" customFormat="1">
      <c r="A311" s="74"/>
      <c r="B311" s="75"/>
      <c r="C311" s="395"/>
      <c r="D311" s="280"/>
      <c r="E311" s="395"/>
      <c r="F311" s="395"/>
      <c r="G311" s="395"/>
      <c r="H311" s="395"/>
      <c r="I311" s="395"/>
      <c r="J311" s="395"/>
      <c r="K311" s="368"/>
      <c r="L311" s="368"/>
      <c r="M311" s="368"/>
      <c r="N311" s="368"/>
      <c r="O311" s="368"/>
    </row>
    <row r="312" spans="1:15" s="57" customFormat="1">
      <c r="A312" s="77" t="s">
        <v>52</v>
      </c>
      <c r="B312" s="78" t="s">
        <v>192</v>
      </c>
      <c r="C312" s="411"/>
      <c r="D312" s="79"/>
      <c r="E312" s="411"/>
      <c r="F312" s="411"/>
      <c r="G312" s="411"/>
      <c r="H312" s="411"/>
      <c r="I312" s="411"/>
      <c r="J312" s="411"/>
      <c r="K312" s="411"/>
      <c r="L312" s="411"/>
      <c r="M312" s="411"/>
      <c r="N312" s="411"/>
      <c r="O312" s="411"/>
    </row>
    <row r="313" spans="1:15" s="57" customFormat="1" ht="211.2">
      <c r="A313" s="69" t="s">
        <v>16</v>
      </c>
      <c r="B313" s="70" t="s">
        <v>193</v>
      </c>
      <c r="C313" s="394"/>
      <c r="D313" s="76" t="s">
        <v>74</v>
      </c>
      <c r="E313" s="449">
        <v>3813</v>
      </c>
      <c r="F313" s="109">
        <f>E313*C313</f>
        <v>0</v>
      </c>
      <c r="G313" s="436"/>
      <c r="H313" s="438">
        <f>ROUND(G313,2)</f>
        <v>0</v>
      </c>
      <c r="I313" s="438">
        <f>H313*E313</f>
        <v>0</v>
      </c>
      <c r="J313" s="438">
        <f>G313-C313</f>
        <v>0</v>
      </c>
      <c r="K313" s="438">
        <f>I313-F313</f>
        <v>0</v>
      </c>
      <c r="L313" s="438">
        <f>IF(F313&lt;I313,(I313-F313),0)</f>
        <v>0</v>
      </c>
      <c r="M313" s="438">
        <f>IF(F313&gt;I313,(I313-F313),0)</f>
        <v>0</v>
      </c>
      <c r="N313" s="438">
        <f>M313+L313</f>
        <v>0</v>
      </c>
      <c r="O313" s="368"/>
    </row>
    <row r="314" spans="1:15" s="57" customFormat="1">
      <c r="A314" s="74"/>
      <c r="B314" s="75"/>
      <c r="C314" s="395"/>
      <c r="D314" s="280"/>
      <c r="E314" s="395"/>
      <c r="F314" s="395"/>
      <c r="G314" s="395"/>
      <c r="H314" s="395"/>
      <c r="I314" s="395"/>
      <c r="J314" s="395"/>
      <c r="K314" s="368"/>
      <c r="L314" s="368"/>
      <c r="M314" s="368"/>
      <c r="N314" s="368"/>
      <c r="O314" s="368"/>
    </row>
    <row r="315" spans="1:15" s="66" customFormat="1">
      <c r="A315" s="77" t="s">
        <v>53</v>
      </c>
      <c r="B315" s="195" t="s">
        <v>194</v>
      </c>
      <c r="C315" s="411"/>
      <c r="D315" s="79"/>
      <c r="E315" s="411"/>
      <c r="F315" s="411"/>
      <c r="G315" s="411"/>
      <c r="H315" s="411"/>
      <c r="I315" s="411"/>
      <c r="J315" s="411"/>
      <c r="K315" s="411"/>
      <c r="L315" s="411"/>
      <c r="M315" s="411"/>
      <c r="N315" s="411"/>
      <c r="O315" s="411"/>
    </row>
    <row r="316" spans="1:15" s="66" customFormat="1">
      <c r="A316" s="74" t="s">
        <v>16</v>
      </c>
      <c r="B316" s="81" t="s">
        <v>1343</v>
      </c>
      <c r="C316" s="394"/>
      <c r="D316" s="76" t="s">
        <v>74</v>
      </c>
      <c r="E316" s="449">
        <v>3203</v>
      </c>
      <c r="F316" s="109">
        <f>E316*C316</f>
        <v>0</v>
      </c>
      <c r="G316" s="436"/>
      <c r="H316" s="438">
        <f>ROUND(G316,2)</f>
        <v>0</v>
      </c>
      <c r="I316" s="438">
        <f>H316*E316</f>
        <v>0</v>
      </c>
      <c r="J316" s="438">
        <f>G316-C316</f>
        <v>0</v>
      </c>
      <c r="K316" s="438">
        <f>I316-F316</f>
        <v>0</v>
      </c>
      <c r="L316" s="438">
        <f>IF(F316&lt;I316,(I316-F316),0)</f>
        <v>0</v>
      </c>
      <c r="M316" s="438">
        <f>IF(F316&gt;I316,(I316-F316),0)</f>
        <v>0</v>
      </c>
      <c r="N316" s="438">
        <f>M316+L316</f>
        <v>0</v>
      </c>
      <c r="O316" s="447"/>
    </row>
    <row r="317" spans="1:15" s="57" customFormat="1">
      <c r="A317" s="74"/>
      <c r="B317" s="81"/>
      <c r="C317" s="412"/>
      <c r="D317" s="76"/>
      <c r="E317" s="412"/>
      <c r="F317" s="412"/>
      <c r="G317" s="412"/>
      <c r="H317" s="412"/>
      <c r="I317" s="412"/>
      <c r="J317" s="412"/>
      <c r="K317" s="368"/>
      <c r="L317" s="368"/>
      <c r="M317" s="368"/>
      <c r="N317" s="368"/>
      <c r="O317" s="368"/>
    </row>
    <row r="318" spans="1:15" s="57" customFormat="1">
      <c r="A318" s="77" t="s">
        <v>85</v>
      </c>
      <c r="B318" s="195" t="s">
        <v>195</v>
      </c>
      <c r="C318" s="411"/>
      <c r="D318" s="79"/>
      <c r="E318" s="411"/>
      <c r="F318" s="411"/>
      <c r="G318" s="411"/>
      <c r="H318" s="411"/>
      <c r="I318" s="411"/>
      <c r="J318" s="411"/>
      <c r="K318" s="411"/>
      <c r="L318" s="411"/>
      <c r="M318" s="411"/>
      <c r="N318" s="411"/>
      <c r="O318" s="411"/>
    </row>
    <row r="319" spans="1:15" s="57" customFormat="1" ht="118.8">
      <c r="A319" s="69" t="s">
        <v>16</v>
      </c>
      <c r="B319" s="80" t="s">
        <v>1344</v>
      </c>
      <c r="C319" s="394"/>
      <c r="D319" s="76" t="s">
        <v>27</v>
      </c>
      <c r="E319" s="449">
        <v>12757</v>
      </c>
      <c r="F319" s="109">
        <f>E319*C319</f>
        <v>0</v>
      </c>
      <c r="G319" s="436"/>
      <c r="H319" s="438">
        <f>ROUND(G319,2)</f>
        <v>0</v>
      </c>
      <c r="I319" s="438">
        <f>H319*E319</f>
        <v>0</v>
      </c>
      <c r="J319" s="438">
        <f>G319-C319</f>
        <v>0</v>
      </c>
      <c r="K319" s="438">
        <f>I319-F319</f>
        <v>0</v>
      </c>
      <c r="L319" s="438">
        <f>IF(F319&lt;I319,(I319-F319),0)</f>
        <v>0</v>
      </c>
      <c r="M319" s="438">
        <f>IF(F319&gt;I319,(I319-F319),0)</f>
        <v>0</v>
      </c>
      <c r="N319" s="438">
        <f>M319+L319</f>
        <v>0</v>
      </c>
      <c r="O319" s="368"/>
    </row>
    <row r="320" spans="1:15" s="57" customFormat="1" ht="118.8">
      <c r="A320" s="69" t="s">
        <v>19</v>
      </c>
      <c r="B320" s="80" t="s">
        <v>196</v>
      </c>
      <c r="C320" s="394"/>
      <c r="D320" s="76" t="s">
        <v>27</v>
      </c>
      <c r="E320" s="449">
        <v>32035</v>
      </c>
      <c r="F320" s="109">
        <f>E320*C320</f>
        <v>0</v>
      </c>
      <c r="G320" s="436"/>
      <c r="H320" s="438">
        <f>ROUND(G320,2)</f>
        <v>0</v>
      </c>
      <c r="I320" s="438">
        <f>H320*E320</f>
        <v>0</v>
      </c>
      <c r="J320" s="438">
        <f>G320-C320</f>
        <v>0</v>
      </c>
      <c r="K320" s="438">
        <f>I320-F320</f>
        <v>0</v>
      </c>
      <c r="L320" s="438">
        <f>IF(F320&lt;I320,(I320-F320),0)</f>
        <v>0</v>
      </c>
      <c r="M320" s="438">
        <f>IF(F320&gt;I320,(I320-F320),0)</f>
        <v>0</v>
      </c>
      <c r="N320" s="438">
        <f>M320+L320</f>
        <v>0</v>
      </c>
      <c r="O320" s="368"/>
    </row>
    <row r="321" spans="1:15" s="57" customFormat="1">
      <c r="A321" s="74" t="s">
        <v>21</v>
      </c>
      <c r="B321" s="81" t="s">
        <v>197</v>
      </c>
      <c r="C321" s="394"/>
      <c r="D321" s="280" t="s">
        <v>27</v>
      </c>
      <c r="E321" s="440">
        <v>21738</v>
      </c>
      <c r="F321" s="109">
        <f>E321*C321</f>
        <v>0</v>
      </c>
      <c r="G321" s="439">
        <f>'Measurement sheet'!F465</f>
        <v>0</v>
      </c>
      <c r="H321" s="438">
        <f>ROUND(G321,2)</f>
        <v>0</v>
      </c>
      <c r="I321" s="438">
        <f>H321*E321</f>
        <v>0</v>
      </c>
      <c r="J321" s="438">
        <f>G321-C321</f>
        <v>0</v>
      </c>
      <c r="K321" s="438">
        <f>I321-F321</f>
        <v>0</v>
      </c>
      <c r="L321" s="438">
        <f>IF(F321&lt;I321,(I321-F321),0)</f>
        <v>0</v>
      </c>
      <c r="M321" s="438">
        <f>IF(F321&gt;I321,(I321-F321),0)</f>
        <v>0</v>
      </c>
      <c r="N321" s="438">
        <f>M321+L321</f>
        <v>0</v>
      </c>
      <c r="O321" s="368"/>
    </row>
    <row r="322" spans="1:15" s="66" customFormat="1">
      <c r="A322" s="74" t="s">
        <v>23</v>
      </c>
      <c r="B322" s="81" t="s">
        <v>198</v>
      </c>
      <c r="C322" s="394"/>
      <c r="D322" s="280" t="s">
        <v>27</v>
      </c>
      <c r="E322" s="440">
        <v>32035</v>
      </c>
      <c r="F322" s="109">
        <f>E322*C322</f>
        <v>0</v>
      </c>
      <c r="G322" s="436"/>
      <c r="H322" s="438">
        <f>ROUND(G322,2)</f>
        <v>0</v>
      </c>
      <c r="I322" s="438">
        <f>H322*E322</f>
        <v>0</v>
      </c>
      <c r="J322" s="438">
        <f>G322-C322</f>
        <v>0</v>
      </c>
      <c r="K322" s="438">
        <f>I322-F322</f>
        <v>0</v>
      </c>
      <c r="L322" s="438">
        <f>IF(F322&lt;I322,(I322-F322),0)</f>
        <v>0</v>
      </c>
      <c r="M322" s="438">
        <f>IF(F322&gt;I322,(I322-F322),0)</f>
        <v>0</v>
      </c>
      <c r="N322" s="438">
        <f>M322+L322</f>
        <v>0</v>
      </c>
      <c r="O322" s="447"/>
    </row>
    <row r="323" spans="1:15" s="57" customFormat="1">
      <c r="A323" s="74" t="s">
        <v>25</v>
      </c>
      <c r="B323" s="81" t="s">
        <v>199</v>
      </c>
      <c r="C323" s="394">
        <v>1</v>
      </c>
      <c r="D323" s="280" t="s">
        <v>27</v>
      </c>
      <c r="E323" s="440">
        <v>43476</v>
      </c>
      <c r="F323" s="109">
        <f>E323*C323</f>
        <v>43476</v>
      </c>
      <c r="G323" s="436"/>
      <c r="H323" s="438">
        <f>ROUND(G323,2)</f>
        <v>0</v>
      </c>
      <c r="I323" s="438">
        <f>H323*E323</f>
        <v>0</v>
      </c>
      <c r="J323" s="438">
        <f>G323-C323</f>
        <v>-1</v>
      </c>
      <c r="K323" s="438">
        <f>I323-F323</f>
        <v>-43476</v>
      </c>
      <c r="L323" s="438">
        <f>IF(F323&lt;I323,(I323-F323),0)</f>
        <v>0</v>
      </c>
      <c r="M323" s="438">
        <f>IF(F323&gt;I323,(I323-F323),0)</f>
        <v>-43476</v>
      </c>
      <c r="N323" s="438">
        <f>M323+L323</f>
        <v>-43476</v>
      </c>
      <c r="O323" s="368"/>
    </row>
    <row r="324" spans="1:15" s="57" customFormat="1">
      <c r="A324" s="74"/>
      <c r="B324" s="81"/>
      <c r="C324" s="395"/>
      <c r="D324" s="280"/>
      <c r="E324" s="395"/>
      <c r="F324" s="395"/>
      <c r="G324" s="395"/>
      <c r="H324" s="395"/>
      <c r="I324" s="395"/>
      <c r="J324" s="395"/>
      <c r="K324" s="368"/>
      <c r="L324" s="368"/>
      <c r="M324" s="368"/>
      <c r="N324" s="368"/>
      <c r="O324" s="368"/>
    </row>
    <row r="325" spans="1:15" s="57" customFormat="1" ht="26.4">
      <c r="A325" s="77" t="s">
        <v>16</v>
      </c>
      <c r="B325" s="195" t="s">
        <v>200</v>
      </c>
      <c r="C325" s="411"/>
      <c r="D325" s="79"/>
      <c r="E325" s="411"/>
      <c r="F325" s="411"/>
      <c r="G325" s="411"/>
      <c r="H325" s="411"/>
      <c r="I325" s="411"/>
      <c r="J325" s="411"/>
      <c r="K325" s="411"/>
      <c r="L325" s="411"/>
      <c r="M325" s="411"/>
      <c r="N325" s="411"/>
      <c r="O325" s="411"/>
    </row>
    <row r="326" spans="1:15" s="57" customFormat="1" ht="118.8">
      <c r="A326" s="69" t="s">
        <v>16</v>
      </c>
      <c r="B326" s="80" t="s">
        <v>201</v>
      </c>
      <c r="C326" s="394">
        <v>10</v>
      </c>
      <c r="D326" s="76" t="s">
        <v>18</v>
      </c>
      <c r="E326" s="449">
        <v>889</v>
      </c>
      <c r="F326" s="109">
        <f>E326*C326</f>
        <v>8890</v>
      </c>
      <c r="G326" s="439">
        <f>'Measurement sheet'!F470</f>
        <v>10</v>
      </c>
      <c r="H326" s="438">
        <f>ROUND(G326,2)</f>
        <v>10</v>
      </c>
      <c r="I326" s="438">
        <f>H326*E326</f>
        <v>8890</v>
      </c>
      <c r="J326" s="438">
        <f>G326-C326</f>
        <v>0</v>
      </c>
      <c r="K326" s="438">
        <f>I326-F326</f>
        <v>0</v>
      </c>
      <c r="L326" s="438">
        <f>IF(F326&lt;I326,(I326-F326),0)</f>
        <v>0</v>
      </c>
      <c r="M326" s="438">
        <f>IF(F326&gt;I326,(I326-F326),0)</f>
        <v>0</v>
      </c>
      <c r="N326" s="438">
        <f>M326+L326</f>
        <v>0</v>
      </c>
      <c r="O326" s="368"/>
    </row>
    <row r="327" spans="1:15" s="57" customFormat="1">
      <c r="A327" s="69"/>
      <c r="B327" s="80"/>
      <c r="C327" s="414"/>
      <c r="D327" s="76"/>
      <c r="E327" s="414"/>
      <c r="F327" s="414"/>
      <c r="G327" s="414"/>
      <c r="H327" s="414"/>
      <c r="I327" s="414"/>
      <c r="J327" s="414"/>
      <c r="K327" s="368"/>
      <c r="L327" s="368"/>
      <c r="M327" s="368"/>
      <c r="N327" s="368"/>
      <c r="O327" s="368"/>
    </row>
    <row r="328" spans="1:15" s="57" customFormat="1">
      <c r="A328" s="77" t="s">
        <v>202</v>
      </c>
      <c r="B328" s="195" t="s">
        <v>203</v>
      </c>
      <c r="C328" s="411"/>
      <c r="D328" s="79"/>
      <c r="E328" s="411"/>
      <c r="F328" s="411"/>
      <c r="G328" s="411"/>
      <c r="H328" s="411"/>
      <c r="I328" s="411"/>
      <c r="J328" s="411"/>
      <c r="K328" s="411"/>
      <c r="L328" s="411"/>
      <c r="M328" s="411"/>
      <c r="N328" s="411"/>
      <c r="O328" s="411"/>
    </row>
    <row r="329" spans="1:15" s="66" customFormat="1" ht="409.6">
      <c r="A329" s="69"/>
      <c r="B329" s="80" t="s">
        <v>204</v>
      </c>
      <c r="C329" s="394"/>
      <c r="D329" s="280" t="s">
        <v>27</v>
      </c>
      <c r="E329" s="440">
        <v>26696</v>
      </c>
      <c r="F329" s="109">
        <f>E329*C329</f>
        <v>0</v>
      </c>
      <c r="G329" s="436"/>
      <c r="H329" s="438">
        <f>ROUND(G329,2)</f>
        <v>0</v>
      </c>
      <c r="I329" s="438">
        <f>H329*E329</f>
        <v>0</v>
      </c>
      <c r="J329" s="438">
        <f>G329-C329</f>
        <v>0</v>
      </c>
      <c r="K329" s="438">
        <f>I329-F329</f>
        <v>0</v>
      </c>
      <c r="L329" s="438">
        <f>IF(F329&lt;I329,(I329-F329),0)</f>
        <v>0</v>
      </c>
      <c r="M329" s="438">
        <f>IF(F329&gt;I329,(I329-F329),0)</f>
        <v>0</v>
      </c>
      <c r="N329" s="438">
        <f>M329+L329</f>
        <v>0</v>
      </c>
      <c r="O329" s="447"/>
    </row>
    <row r="330" spans="1:15" s="57" customFormat="1">
      <c r="A330" s="74"/>
      <c r="B330" s="81"/>
      <c r="C330" s="412"/>
      <c r="D330" s="76"/>
      <c r="E330" s="412"/>
      <c r="F330" s="412"/>
      <c r="G330" s="412"/>
      <c r="H330" s="412"/>
      <c r="I330" s="412"/>
      <c r="J330" s="412"/>
      <c r="K330" s="368"/>
      <c r="L330" s="368"/>
      <c r="M330" s="368"/>
      <c r="N330" s="368"/>
      <c r="O330" s="368"/>
    </row>
    <row r="331" spans="1:15" s="57" customFormat="1">
      <c r="A331" s="62">
        <v>6</v>
      </c>
      <c r="B331" s="60" t="s">
        <v>205</v>
      </c>
      <c r="C331" s="410"/>
      <c r="D331" s="68"/>
      <c r="E331" s="410"/>
      <c r="F331" s="410"/>
      <c r="G331" s="61"/>
      <c r="H331" s="393"/>
      <c r="I331" s="393"/>
      <c r="J331" s="393"/>
      <c r="K331" s="393"/>
      <c r="L331" s="393"/>
      <c r="M331" s="393"/>
      <c r="N331" s="393"/>
      <c r="O331" s="393"/>
    </row>
    <row r="332" spans="1:15" s="66" customFormat="1" ht="26.4">
      <c r="A332" s="77" t="s">
        <v>14</v>
      </c>
      <c r="B332" s="195" t="s">
        <v>1345</v>
      </c>
      <c r="C332" s="411"/>
      <c r="D332" s="79"/>
      <c r="E332" s="411"/>
      <c r="F332" s="411"/>
      <c r="G332" s="411"/>
      <c r="H332" s="411"/>
      <c r="I332" s="411"/>
      <c r="J332" s="411"/>
      <c r="K332" s="411"/>
      <c r="L332" s="411"/>
      <c r="M332" s="411"/>
      <c r="N332" s="411"/>
      <c r="O332" s="411"/>
    </row>
    <row r="333" spans="1:15" s="57" customFormat="1" ht="184.8">
      <c r="A333" s="69" t="s">
        <v>16</v>
      </c>
      <c r="B333" s="80" t="s">
        <v>206</v>
      </c>
      <c r="C333" s="394">
        <v>20</v>
      </c>
      <c r="D333" s="76" t="s">
        <v>18</v>
      </c>
      <c r="E333" s="449">
        <v>779</v>
      </c>
      <c r="F333" s="109">
        <f>E333*C333</f>
        <v>15580</v>
      </c>
      <c r="G333" s="439">
        <f>'Measurement sheet'!F477</f>
        <v>38.5</v>
      </c>
      <c r="H333" s="438">
        <f>ROUND(G333,2)</f>
        <v>38.5</v>
      </c>
      <c r="I333" s="438">
        <f>H333*E333</f>
        <v>29991.5</v>
      </c>
      <c r="J333" s="438">
        <f>G333-C333</f>
        <v>18.5</v>
      </c>
      <c r="K333" s="438">
        <f>I333-F333</f>
        <v>14411.5</v>
      </c>
      <c r="L333" s="438">
        <f>IF(F333&lt;I333,(I333-F333),0)</f>
        <v>14411.5</v>
      </c>
      <c r="M333" s="438">
        <f>IF(F333&gt;I333,(I333-F333),0)</f>
        <v>0</v>
      </c>
      <c r="N333" s="438">
        <f>M333+L333</f>
        <v>14411.5</v>
      </c>
      <c r="O333" s="478" t="s">
        <v>1610</v>
      </c>
    </row>
    <row r="334" spans="1:15" s="57" customFormat="1">
      <c r="A334" s="74"/>
      <c r="B334" s="81"/>
      <c r="C334" s="395"/>
      <c r="D334" s="280"/>
      <c r="E334" s="395"/>
      <c r="F334" s="395"/>
      <c r="G334" s="395"/>
      <c r="H334" s="395"/>
      <c r="I334" s="395"/>
      <c r="J334" s="395"/>
      <c r="K334" s="368"/>
      <c r="L334" s="368"/>
      <c r="M334" s="368"/>
      <c r="N334" s="368"/>
      <c r="O334" s="368"/>
    </row>
    <row r="335" spans="1:15" s="66" customFormat="1" ht="26.4">
      <c r="A335" s="77" t="s">
        <v>44</v>
      </c>
      <c r="B335" s="195" t="s">
        <v>1346</v>
      </c>
      <c r="C335" s="411"/>
      <c r="D335" s="79"/>
      <c r="E335" s="411"/>
      <c r="F335" s="411"/>
      <c r="G335" s="411"/>
      <c r="H335" s="411"/>
      <c r="I335" s="411"/>
      <c r="J335" s="411"/>
      <c r="K335" s="411"/>
      <c r="L335" s="411"/>
      <c r="M335" s="411"/>
      <c r="N335" s="411"/>
      <c r="O335" s="411"/>
    </row>
    <row r="336" spans="1:15" s="66" customFormat="1" ht="184.8">
      <c r="A336" s="69" t="s">
        <v>16</v>
      </c>
      <c r="B336" s="80" t="s">
        <v>207</v>
      </c>
      <c r="C336" s="394">
        <v>130</v>
      </c>
      <c r="D336" s="76" t="s">
        <v>18</v>
      </c>
      <c r="E336" s="449">
        <v>610</v>
      </c>
      <c r="F336" s="109">
        <f>E336*C336</f>
        <v>79300</v>
      </c>
      <c r="G336" s="439">
        <f>'Measurement sheet'!F484</f>
        <v>103.83999999999999</v>
      </c>
      <c r="H336" s="438">
        <f>ROUND(G336,2)</f>
        <v>103.84</v>
      </c>
      <c r="I336" s="438">
        <f>H336*E336</f>
        <v>63342.400000000001</v>
      </c>
      <c r="J336" s="438">
        <f>G336-C336</f>
        <v>-26.160000000000011</v>
      </c>
      <c r="K336" s="438">
        <f>I336-F336</f>
        <v>-15957.599999999999</v>
      </c>
      <c r="L336" s="438">
        <f>IF(F336&lt;I336,(I336-F336),0)</f>
        <v>0</v>
      </c>
      <c r="M336" s="438">
        <f>IF(F336&gt;I336,(I336-F336),0)</f>
        <v>-15957.599999999999</v>
      </c>
      <c r="N336" s="438">
        <f>M336+L336</f>
        <v>-15957.599999999999</v>
      </c>
      <c r="O336" s="447"/>
    </row>
    <row r="337" spans="1:15" s="57" customFormat="1" ht="26.4">
      <c r="A337" s="74" t="s">
        <v>19</v>
      </c>
      <c r="B337" s="81" t="s">
        <v>1347</v>
      </c>
      <c r="C337" s="394"/>
      <c r="D337" s="71" t="s">
        <v>18</v>
      </c>
      <c r="E337" s="440">
        <v>610</v>
      </c>
      <c r="F337" s="109">
        <f>E337*C337</f>
        <v>0</v>
      </c>
      <c r="G337" s="436"/>
      <c r="H337" s="438">
        <f>ROUND(G337,2)</f>
        <v>0</v>
      </c>
      <c r="I337" s="438">
        <f>H337*E337</f>
        <v>0</v>
      </c>
      <c r="J337" s="438">
        <f>G337-C337</f>
        <v>0</v>
      </c>
      <c r="K337" s="438">
        <f>I337-F337</f>
        <v>0</v>
      </c>
      <c r="L337" s="438">
        <f>IF(F337&lt;I337,(I337-F337),0)</f>
        <v>0</v>
      </c>
      <c r="M337" s="438">
        <f>IF(F337&gt;I337,(I337-F337),0)</f>
        <v>0</v>
      </c>
      <c r="N337" s="438">
        <f>M337+L337</f>
        <v>0</v>
      </c>
      <c r="O337" s="368"/>
    </row>
    <row r="338" spans="1:15" s="57" customFormat="1" ht="26.4">
      <c r="A338" s="74" t="s">
        <v>21</v>
      </c>
      <c r="B338" s="81" t="s">
        <v>1348</v>
      </c>
      <c r="C338" s="394">
        <v>15</v>
      </c>
      <c r="D338" s="71" t="s">
        <v>18</v>
      </c>
      <c r="E338" s="440">
        <v>678</v>
      </c>
      <c r="F338" s="109">
        <f>E338*C338</f>
        <v>10170</v>
      </c>
      <c r="G338" s="439">
        <f>'Measurement sheet'!F488</f>
        <v>0</v>
      </c>
      <c r="H338" s="438">
        <f>ROUND(G338,2)</f>
        <v>0</v>
      </c>
      <c r="I338" s="438">
        <f>H338*E338</f>
        <v>0</v>
      </c>
      <c r="J338" s="438">
        <f>G338-C338</f>
        <v>-15</v>
      </c>
      <c r="K338" s="438">
        <f>I338-F338</f>
        <v>-10170</v>
      </c>
      <c r="L338" s="438">
        <f>IF(F338&lt;I338,(I338-F338),0)</f>
        <v>0</v>
      </c>
      <c r="M338" s="438">
        <f>IF(F338&gt;I338,(I338-F338),0)</f>
        <v>-10170</v>
      </c>
      <c r="N338" s="438">
        <f>M338+L338</f>
        <v>-10170</v>
      </c>
      <c r="O338" s="368"/>
    </row>
    <row r="339" spans="1:15" s="57" customFormat="1" ht="145.19999999999999">
      <c r="A339" s="69" t="s">
        <v>23</v>
      </c>
      <c r="B339" s="80" t="s">
        <v>208</v>
      </c>
      <c r="C339" s="394"/>
      <c r="D339" s="76" t="s">
        <v>27</v>
      </c>
      <c r="E339" s="449">
        <v>3856</v>
      </c>
      <c r="F339" s="109">
        <f>E339*C339</f>
        <v>0</v>
      </c>
      <c r="G339" s="436"/>
      <c r="H339" s="438">
        <f>ROUND(G339,2)</f>
        <v>0</v>
      </c>
      <c r="I339" s="438">
        <f>H339*E339</f>
        <v>0</v>
      </c>
      <c r="J339" s="438">
        <f>G339-C339</f>
        <v>0</v>
      </c>
      <c r="K339" s="438">
        <f>I339-F339</f>
        <v>0</v>
      </c>
      <c r="L339" s="438">
        <f>IF(F339&lt;I339,(I339-F339),0)</f>
        <v>0</v>
      </c>
      <c r="M339" s="438">
        <f>IF(F339&gt;I339,(I339-F339),0)</f>
        <v>0</v>
      </c>
      <c r="N339" s="438">
        <f>M339+L339</f>
        <v>0</v>
      </c>
      <c r="O339" s="368"/>
    </row>
    <row r="340" spans="1:15" s="57" customFormat="1" ht="105.6">
      <c r="A340" s="69" t="s">
        <v>25</v>
      </c>
      <c r="B340" s="82" t="s">
        <v>209</v>
      </c>
      <c r="C340" s="394"/>
      <c r="D340" s="76" t="s">
        <v>27</v>
      </c>
      <c r="E340" s="449">
        <v>2669</v>
      </c>
      <c r="F340" s="109">
        <f>E340*C340</f>
        <v>0</v>
      </c>
      <c r="G340" s="436"/>
      <c r="H340" s="438">
        <f>ROUND(G340,2)</f>
        <v>0</v>
      </c>
      <c r="I340" s="438">
        <f>H340*E340</f>
        <v>0</v>
      </c>
      <c r="J340" s="438">
        <f>G340-C340</f>
        <v>0</v>
      </c>
      <c r="K340" s="438">
        <f>I340-F340</f>
        <v>0</v>
      </c>
      <c r="L340" s="438">
        <f>IF(F340&lt;I340,(I340-F340),0)</f>
        <v>0</v>
      </c>
      <c r="M340" s="438">
        <f>IF(F340&gt;I340,(I340-F340),0)</f>
        <v>0</v>
      </c>
      <c r="N340" s="438">
        <f>M340+L340</f>
        <v>0</v>
      </c>
      <c r="O340" s="368"/>
    </row>
    <row r="341" spans="1:15" s="57" customFormat="1">
      <c r="A341" s="74"/>
      <c r="B341" s="81"/>
      <c r="C341" s="412"/>
      <c r="D341" s="76"/>
      <c r="E341" s="412"/>
      <c r="F341" s="412"/>
      <c r="G341" s="412"/>
      <c r="H341" s="412"/>
      <c r="I341" s="412"/>
      <c r="J341" s="412"/>
      <c r="K341" s="368"/>
      <c r="L341" s="368"/>
      <c r="M341" s="368"/>
      <c r="N341" s="368"/>
      <c r="O341" s="368"/>
    </row>
    <row r="342" spans="1:15" s="66" customFormat="1">
      <c r="A342" s="77" t="s">
        <v>46</v>
      </c>
      <c r="B342" s="195" t="s">
        <v>210</v>
      </c>
      <c r="C342" s="411"/>
      <c r="D342" s="79"/>
      <c r="E342" s="411"/>
      <c r="F342" s="411"/>
      <c r="G342" s="411"/>
      <c r="H342" s="411"/>
      <c r="I342" s="411"/>
      <c r="J342" s="411"/>
      <c r="K342" s="411"/>
      <c r="L342" s="411"/>
      <c r="M342" s="411"/>
      <c r="N342" s="411"/>
      <c r="O342" s="411"/>
    </row>
    <row r="343" spans="1:15" s="57" customFormat="1" ht="66">
      <c r="A343" s="74" t="s">
        <v>16</v>
      </c>
      <c r="B343" s="81" t="s">
        <v>211</v>
      </c>
      <c r="C343" s="394">
        <v>70</v>
      </c>
      <c r="D343" s="71" t="s">
        <v>18</v>
      </c>
      <c r="E343" s="440">
        <v>205</v>
      </c>
      <c r="F343" s="109">
        <f>E343*C343</f>
        <v>14350</v>
      </c>
      <c r="G343" s="439">
        <f>'Measurement sheet'!F493</f>
        <v>117</v>
      </c>
      <c r="H343" s="438">
        <f>ROUND(G343,2)</f>
        <v>117</v>
      </c>
      <c r="I343" s="438">
        <f>H343*E343</f>
        <v>23985</v>
      </c>
      <c r="J343" s="438">
        <f>G343-C343</f>
        <v>47</v>
      </c>
      <c r="K343" s="438">
        <f>I343-F343</f>
        <v>9635</v>
      </c>
      <c r="L343" s="438">
        <f>IF(F343&lt;I343,(I343-F343),0)</f>
        <v>9635</v>
      </c>
      <c r="M343" s="438">
        <f>IF(F343&gt;I343,(I343-F343),0)</f>
        <v>0</v>
      </c>
      <c r="N343" s="438">
        <f>M343+L343</f>
        <v>9635</v>
      </c>
      <c r="O343" s="478" t="s">
        <v>1610</v>
      </c>
    </row>
    <row r="344" spans="1:15" s="57" customFormat="1">
      <c r="A344" s="74"/>
      <c r="B344" s="81"/>
      <c r="C344" s="395"/>
      <c r="D344" s="280"/>
      <c r="E344" s="395"/>
      <c r="F344" s="395"/>
      <c r="G344" s="395"/>
      <c r="H344" s="395"/>
      <c r="I344" s="395"/>
      <c r="J344" s="395"/>
      <c r="K344" s="368"/>
      <c r="L344" s="368"/>
      <c r="M344" s="368"/>
      <c r="N344" s="368"/>
      <c r="O344" s="368"/>
    </row>
    <row r="345" spans="1:15" s="66" customFormat="1">
      <c r="A345" s="77" t="s">
        <v>47</v>
      </c>
      <c r="B345" s="195" t="s">
        <v>212</v>
      </c>
      <c r="C345" s="411"/>
      <c r="D345" s="79"/>
      <c r="E345" s="411"/>
      <c r="F345" s="411"/>
      <c r="G345" s="411"/>
      <c r="H345" s="411"/>
      <c r="I345" s="411"/>
      <c r="J345" s="411"/>
      <c r="K345" s="411"/>
      <c r="L345" s="411"/>
      <c r="M345" s="411"/>
      <c r="N345" s="411"/>
      <c r="O345" s="411"/>
    </row>
    <row r="346" spans="1:15" s="57" customFormat="1" ht="118.8">
      <c r="A346" s="69" t="s">
        <v>16</v>
      </c>
      <c r="B346" s="80" t="s">
        <v>213</v>
      </c>
      <c r="C346" s="394"/>
      <c r="D346" s="76" t="s">
        <v>18</v>
      </c>
      <c r="E346" s="449">
        <v>966</v>
      </c>
      <c r="F346" s="109">
        <f>E346*C346</f>
        <v>0</v>
      </c>
      <c r="G346" s="436"/>
      <c r="H346" s="438">
        <f>ROUND(G346,2)</f>
        <v>0</v>
      </c>
      <c r="I346" s="438">
        <f>H346*E346</f>
        <v>0</v>
      </c>
      <c r="J346" s="438">
        <f>G346-C346</f>
        <v>0</v>
      </c>
      <c r="K346" s="438">
        <f>I346-F346</f>
        <v>0</v>
      </c>
      <c r="L346" s="438">
        <f>IF(F346&lt;I346,(I346-F346),0)</f>
        <v>0</v>
      </c>
      <c r="M346" s="438">
        <f>IF(F346&gt;I346,(I346-F346),0)</f>
        <v>0</v>
      </c>
      <c r="N346" s="438">
        <f>M346+L346</f>
        <v>0</v>
      </c>
      <c r="O346" s="368"/>
    </row>
    <row r="347" spans="1:15" s="66" customFormat="1">
      <c r="A347" s="74"/>
      <c r="B347" s="81"/>
      <c r="C347" s="395"/>
      <c r="D347" s="280"/>
      <c r="E347" s="395"/>
      <c r="F347" s="395"/>
      <c r="G347" s="395"/>
      <c r="H347" s="395"/>
      <c r="I347" s="395"/>
      <c r="J347" s="395"/>
      <c r="K347" s="447"/>
      <c r="L347" s="447"/>
      <c r="M347" s="447"/>
      <c r="N347" s="447"/>
      <c r="O347" s="447"/>
    </row>
    <row r="348" spans="1:15" s="57" customFormat="1">
      <c r="A348" s="62">
        <v>7</v>
      </c>
      <c r="B348" s="60" t="s">
        <v>214</v>
      </c>
      <c r="C348" s="410"/>
      <c r="D348" s="68"/>
      <c r="E348" s="410"/>
      <c r="F348" s="410"/>
      <c r="G348" s="61"/>
      <c r="H348" s="393"/>
      <c r="I348" s="393"/>
      <c r="J348" s="393"/>
      <c r="K348" s="393"/>
      <c r="L348" s="393"/>
      <c r="M348" s="393"/>
      <c r="N348" s="393"/>
      <c r="O348" s="393"/>
    </row>
    <row r="349" spans="1:15" s="57" customFormat="1" ht="118.8">
      <c r="A349" s="69" t="s">
        <v>14</v>
      </c>
      <c r="B349" s="80" t="s">
        <v>215</v>
      </c>
      <c r="C349" s="394">
        <v>55</v>
      </c>
      <c r="D349" s="76" t="s">
        <v>18</v>
      </c>
      <c r="E349" s="449">
        <v>466</v>
      </c>
      <c r="F349" s="109">
        <f>E349*C349</f>
        <v>25630</v>
      </c>
      <c r="G349" s="439">
        <f>'Measurement sheet'!F499</f>
        <v>51.517400000000002</v>
      </c>
      <c r="H349" s="438">
        <f>ROUND(G349,2)</f>
        <v>51.52</v>
      </c>
      <c r="I349" s="438">
        <f>H349*E349</f>
        <v>24008.32</v>
      </c>
      <c r="J349" s="438">
        <f>G349-C349</f>
        <v>-3.4825999999999979</v>
      </c>
      <c r="K349" s="438">
        <f>I349-F349</f>
        <v>-1621.6800000000003</v>
      </c>
      <c r="L349" s="438">
        <f>IF(F349&lt;I349,(I349-F349),0)</f>
        <v>0</v>
      </c>
      <c r="M349" s="438">
        <f>IF(F349&gt;I349,(I349-F349),0)</f>
        <v>-1621.6800000000003</v>
      </c>
      <c r="N349" s="438">
        <f>M349+L349</f>
        <v>-1621.6800000000003</v>
      </c>
      <c r="O349" s="368"/>
    </row>
    <row r="350" spans="1:15" s="57" customFormat="1" ht="26.4">
      <c r="A350" s="74" t="s">
        <v>44</v>
      </c>
      <c r="B350" s="81" t="s">
        <v>1349</v>
      </c>
      <c r="C350" s="394"/>
      <c r="D350" s="71" t="s">
        <v>18</v>
      </c>
      <c r="E350" s="440">
        <v>466</v>
      </c>
      <c r="F350" s="109">
        <f>E350*C350</f>
        <v>0</v>
      </c>
      <c r="G350" s="436"/>
      <c r="H350" s="438">
        <f>ROUND(G350,2)</f>
        <v>0</v>
      </c>
      <c r="I350" s="438">
        <f>H350*E350</f>
        <v>0</v>
      </c>
      <c r="J350" s="438">
        <f>G350-C350</f>
        <v>0</v>
      </c>
      <c r="K350" s="438">
        <f>I350-F350</f>
        <v>0</v>
      </c>
      <c r="L350" s="438">
        <f>IF(F350&lt;I350,(I350-F350),0)</f>
        <v>0</v>
      </c>
      <c r="M350" s="438">
        <f>IF(F350&gt;I350,(I350-F350),0)</f>
        <v>0</v>
      </c>
      <c r="N350" s="438">
        <f>M350+L350</f>
        <v>0</v>
      </c>
      <c r="O350" s="368"/>
    </row>
    <row r="351" spans="1:15" s="57" customFormat="1" ht="105.6">
      <c r="A351" s="69" t="s">
        <v>46</v>
      </c>
      <c r="B351" s="80" t="s">
        <v>1350</v>
      </c>
      <c r="C351" s="394">
        <v>40</v>
      </c>
      <c r="D351" s="76" t="s">
        <v>18</v>
      </c>
      <c r="E351" s="449">
        <v>457</v>
      </c>
      <c r="F351" s="109">
        <f>E351*C351</f>
        <v>18280</v>
      </c>
      <c r="G351" s="439">
        <f>'Measurement sheet'!F503</f>
        <v>31.5</v>
      </c>
      <c r="H351" s="438">
        <f>ROUND(G351,2)</f>
        <v>31.5</v>
      </c>
      <c r="I351" s="438">
        <f>H351*E351</f>
        <v>14395.5</v>
      </c>
      <c r="J351" s="438">
        <f>G351-C351</f>
        <v>-8.5</v>
      </c>
      <c r="K351" s="438">
        <f>I351-F351</f>
        <v>-3884.5</v>
      </c>
      <c r="L351" s="438">
        <f>IF(F351&lt;I351,(I351-F351),0)</f>
        <v>0</v>
      </c>
      <c r="M351" s="438">
        <f>IF(F351&gt;I351,(I351-F351),0)</f>
        <v>-3884.5</v>
      </c>
      <c r="N351" s="438">
        <f>M351+L351</f>
        <v>-3884.5</v>
      </c>
      <c r="O351" s="368"/>
    </row>
    <row r="352" spans="1:15" s="57" customFormat="1">
      <c r="A352" s="74"/>
      <c r="B352" s="81"/>
      <c r="C352" s="395"/>
      <c r="D352" s="280"/>
      <c r="E352" s="395"/>
      <c r="F352" s="395"/>
      <c r="G352" s="395"/>
      <c r="H352" s="395"/>
      <c r="I352" s="395"/>
      <c r="J352" s="395"/>
      <c r="K352" s="368"/>
      <c r="L352" s="368"/>
      <c r="M352" s="368"/>
      <c r="N352" s="368"/>
      <c r="O352" s="368"/>
    </row>
    <row r="353" spans="1:15" s="57" customFormat="1">
      <c r="A353" s="62">
        <v>8</v>
      </c>
      <c r="B353" s="60" t="s">
        <v>92</v>
      </c>
      <c r="C353" s="410"/>
      <c r="D353" s="68"/>
      <c r="E353" s="410"/>
      <c r="F353" s="410"/>
      <c r="G353" s="61"/>
      <c r="H353" s="393"/>
      <c r="I353" s="393"/>
      <c r="J353" s="393"/>
      <c r="K353" s="393"/>
      <c r="L353" s="393"/>
      <c r="M353" s="393"/>
      <c r="N353" s="393"/>
      <c r="O353" s="393"/>
    </row>
    <row r="354" spans="1:15" s="57" customFormat="1">
      <c r="A354" s="77" t="s">
        <v>14</v>
      </c>
      <c r="B354" s="195" t="s">
        <v>216</v>
      </c>
      <c r="C354" s="411"/>
      <c r="D354" s="79"/>
      <c r="E354" s="411"/>
      <c r="F354" s="411"/>
      <c r="G354" s="411"/>
      <c r="H354" s="411"/>
      <c r="I354" s="411"/>
      <c r="J354" s="411"/>
      <c r="K354" s="411"/>
      <c r="L354" s="411"/>
      <c r="M354" s="411"/>
      <c r="N354" s="411"/>
      <c r="O354" s="411"/>
    </row>
    <row r="355" spans="1:15" s="57" customFormat="1" ht="277.2">
      <c r="A355" s="74" t="s">
        <v>16</v>
      </c>
      <c r="B355" s="303" t="s">
        <v>217</v>
      </c>
      <c r="C355" s="394">
        <v>200</v>
      </c>
      <c r="D355" s="71" t="s">
        <v>18</v>
      </c>
      <c r="E355" s="440">
        <v>286</v>
      </c>
      <c r="F355" s="109">
        <f>E355*C355</f>
        <v>57200</v>
      </c>
      <c r="G355" s="439">
        <f>'Measurement sheet'!F513</f>
        <v>111.80000000000001</v>
      </c>
      <c r="H355" s="438">
        <f>ROUND(G355,2)</f>
        <v>111.8</v>
      </c>
      <c r="I355" s="438">
        <f>H355*E355</f>
        <v>31974.799999999999</v>
      </c>
      <c r="J355" s="438">
        <f>G355-C355</f>
        <v>-88.199999999999989</v>
      </c>
      <c r="K355" s="438">
        <f>I355-F355</f>
        <v>-25225.200000000001</v>
      </c>
      <c r="L355" s="438">
        <f>IF(F355&lt;I355,(I355-F355),0)</f>
        <v>0</v>
      </c>
      <c r="M355" s="438">
        <f>IF(F355&gt;I355,(I355-F355),0)</f>
        <v>-25225.200000000001</v>
      </c>
      <c r="N355" s="438">
        <f>M355+L355</f>
        <v>-25225.200000000001</v>
      </c>
      <c r="O355" s="368"/>
    </row>
    <row r="356" spans="1:15" s="57" customFormat="1">
      <c r="A356" s="74"/>
      <c r="B356" s="81"/>
      <c r="C356" s="412"/>
      <c r="D356" s="76"/>
      <c r="E356" s="412"/>
      <c r="F356" s="412"/>
      <c r="G356" s="412"/>
      <c r="H356" s="412"/>
      <c r="I356" s="412"/>
      <c r="J356" s="412"/>
      <c r="K356" s="368"/>
      <c r="L356" s="368"/>
      <c r="M356" s="368"/>
      <c r="N356" s="368"/>
      <c r="O356" s="368"/>
    </row>
    <row r="357" spans="1:15" s="57" customFormat="1">
      <c r="A357" s="62">
        <v>9</v>
      </c>
      <c r="B357" s="60" t="s">
        <v>218</v>
      </c>
      <c r="C357" s="410"/>
      <c r="D357" s="68"/>
      <c r="E357" s="410"/>
      <c r="F357" s="410"/>
      <c r="G357" s="61"/>
      <c r="H357" s="393"/>
      <c r="I357" s="393"/>
      <c r="J357" s="393"/>
      <c r="K357" s="393"/>
      <c r="L357" s="393"/>
      <c r="M357" s="393"/>
      <c r="N357" s="393"/>
      <c r="O357" s="393"/>
    </row>
    <row r="358" spans="1:15" s="57" customFormat="1">
      <c r="A358" s="77" t="s">
        <v>14</v>
      </c>
      <c r="B358" s="195" t="s">
        <v>219</v>
      </c>
      <c r="C358" s="411"/>
      <c r="D358" s="79"/>
      <c r="E358" s="411"/>
      <c r="F358" s="411"/>
      <c r="G358" s="411"/>
      <c r="H358" s="411"/>
      <c r="I358" s="411"/>
      <c r="J358" s="411"/>
      <c r="K358" s="411"/>
      <c r="L358" s="411"/>
      <c r="M358" s="411"/>
      <c r="N358" s="411"/>
      <c r="O358" s="411"/>
    </row>
    <row r="359" spans="1:15" s="57" customFormat="1" ht="26.4">
      <c r="A359" s="74" t="s">
        <v>16</v>
      </c>
      <c r="B359" s="81" t="s">
        <v>220</v>
      </c>
      <c r="C359" s="394">
        <v>65</v>
      </c>
      <c r="D359" s="76" t="s">
        <v>74</v>
      </c>
      <c r="E359" s="440">
        <v>1167</v>
      </c>
      <c r="F359" s="109">
        <f>E359*C359</f>
        <v>75855</v>
      </c>
      <c r="G359" s="436"/>
      <c r="H359" s="438">
        <f>ROUND(G359,2)</f>
        <v>0</v>
      </c>
      <c r="I359" s="438">
        <f>H359*E359</f>
        <v>0</v>
      </c>
      <c r="J359" s="438">
        <f>G359-C359</f>
        <v>-65</v>
      </c>
      <c r="K359" s="438">
        <f>I359-F359</f>
        <v>-75855</v>
      </c>
      <c r="L359" s="438">
        <f>IF(F359&lt;I359,(I359-F359),0)</f>
        <v>0</v>
      </c>
      <c r="M359" s="438">
        <f>IF(F359&gt;I359,(I359-F359),0)</f>
        <v>-75855</v>
      </c>
      <c r="N359" s="438">
        <f>M359+L359</f>
        <v>-75855</v>
      </c>
      <c r="O359" s="368"/>
    </row>
    <row r="360" spans="1:15" s="57" customFormat="1" ht="39.6">
      <c r="A360" s="74" t="s">
        <v>19</v>
      </c>
      <c r="B360" s="81" t="s">
        <v>1351</v>
      </c>
      <c r="C360" s="394"/>
      <c r="D360" s="76" t="s">
        <v>74</v>
      </c>
      <c r="E360" s="449">
        <v>808</v>
      </c>
      <c r="F360" s="109">
        <f>E360*C360</f>
        <v>0</v>
      </c>
      <c r="G360" s="439">
        <f>'Measurement sheet'!F519</f>
        <v>0</v>
      </c>
      <c r="H360" s="438">
        <f>ROUND(G360,2)</f>
        <v>0</v>
      </c>
      <c r="I360" s="438">
        <f>H360*E360</f>
        <v>0</v>
      </c>
      <c r="J360" s="438">
        <f>G360-C360</f>
        <v>0</v>
      </c>
      <c r="K360" s="438">
        <f>I360-F360</f>
        <v>0</v>
      </c>
      <c r="L360" s="438">
        <f>IF(F360&lt;I360,(I360-F360),0)</f>
        <v>0</v>
      </c>
      <c r="M360" s="438">
        <f>IF(F360&gt;I360,(I360-F360),0)</f>
        <v>0</v>
      </c>
      <c r="N360" s="438">
        <f>M360+L360</f>
        <v>0</v>
      </c>
      <c r="O360" s="368"/>
    </row>
    <row r="361" spans="1:15" s="57" customFormat="1">
      <c r="A361" s="74"/>
      <c r="B361" s="81"/>
      <c r="C361" s="412"/>
      <c r="D361" s="76"/>
      <c r="E361" s="412"/>
      <c r="F361" s="412"/>
      <c r="G361" s="412"/>
      <c r="H361" s="412"/>
      <c r="I361" s="412"/>
      <c r="J361" s="412"/>
      <c r="K361" s="368"/>
      <c r="L361" s="368"/>
      <c r="M361" s="368"/>
      <c r="N361" s="368"/>
      <c r="O361" s="368"/>
    </row>
    <row r="362" spans="1:15" s="57" customFormat="1">
      <c r="A362" s="77" t="s">
        <v>44</v>
      </c>
      <c r="B362" s="195" t="s">
        <v>221</v>
      </c>
      <c r="C362" s="411"/>
      <c r="D362" s="79"/>
      <c r="E362" s="411"/>
      <c r="F362" s="411"/>
      <c r="G362" s="411"/>
      <c r="H362" s="411"/>
      <c r="I362" s="411"/>
      <c r="J362" s="411"/>
      <c r="K362" s="411"/>
      <c r="L362" s="411"/>
      <c r="M362" s="411"/>
      <c r="N362" s="411"/>
      <c r="O362" s="411"/>
    </row>
    <row r="363" spans="1:15" s="57" customFormat="1" ht="26.4">
      <c r="A363" s="74" t="s">
        <v>16</v>
      </c>
      <c r="B363" s="81" t="s">
        <v>222</v>
      </c>
      <c r="C363" s="394"/>
      <c r="D363" s="76" t="s">
        <v>74</v>
      </c>
      <c r="E363" s="440">
        <v>712</v>
      </c>
      <c r="F363" s="109">
        <f>E363*C363</f>
        <v>0</v>
      </c>
      <c r="G363" s="436"/>
      <c r="H363" s="438">
        <f>ROUND(G363,2)</f>
        <v>0</v>
      </c>
      <c r="I363" s="438">
        <f>H363*E363</f>
        <v>0</v>
      </c>
      <c r="J363" s="438">
        <f>G363-C363</f>
        <v>0</v>
      </c>
      <c r="K363" s="438">
        <f>I363-F363</f>
        <v>0</v>
      </c>
      <c r="L363" s="438">
        <f>IF(F363&lt;I363,(I363-F363),0)</f>
        <v>0</v>
      </c>
      <c r="M363" s="438">
        <f>IF(F363&gt;I363,(I363-F363),0)</f>
        <v>0</v>
      </c>
      <c r="N363" s="438">
        <f>M363+L363</f>
        <v>0</v>
      </c>
      <c r="O363" s="368"/>
    </row>
    <row r="364" spans="1:15" s="57" customFormat="1" ht="26.4">
      <c r="A364" s="74" t="s">
        <v>19</v>
      </c>
      <c r="B364" s="81" t="s">
        <v>1352</v>
      </c>
      <c r="C364" s="394"/>
      <c r="D364" s="76" t="s">
        <v>74</v>
      </c>
      <c r="E364" s="449">
        <v>570</v>
      </c>
      <c r="F364" s="109">
        <f>E364*C364</f>
        <v>0</v>
      </c>
      <c r="G364" s="436"/>
      <c r="H364" s="438">
        <f>ROUND(G364,2)</f>
        <v>0</v>
      </c>
      <c r="I364" s="438">
        <f>H364*E364</f>
        <v>0</v>
      </c>
      <c r="J364" s="438">
        <f>G364-C364</f>
        <v>0</v>
      </c>
      <c r="K364" s="438">
        <f>I364-F364</f>
        <v>0</v>
      </c>
      <c r="L364" s="438">
        <f>IF(F364&lt;I364,(I364-F364),0)</f>
        <v>0</v>
      </c>
      <c r="M364" s="438">
        <f>IF(F364&gt;I364,(I364-F364),0)</f>
        <v>0</v>
      </c>
      <c r="N364" s="438">
        <f>M364+L364</f>
        <v>0</v>
      </c>
      <c r="O364" s="368"/>
    </row>
    <row r="365" spans="1:15" s="57" customFormat="1">
      <c r="A365" s="74"/>
      <c r="B365" s="81"/>
      <c r="C365" s="412"/>
      <c r="D365" s="76"/>
      <c r="E365" s="412"/>
      <c r="F365" s="412"/>
      <c r="G365" s="412"/>
      <c r="H365" s="412"/>
      <c r="I365" s="412"/>
      <c r="J365" s="412"/>
      <c r="K365" s="368"/>
      <c r="L365" s="368"/>
      <c r="M365" s="368"/>
      <c r="N365" s="368"/>
      <c r="O365" s="368"/>
    </row>
    <row r="366" spans="1:15" s="57" customFormat="1" ht="26.4">
      <c r="A366" s="62">
        <v>10</v>
      </c>
      <c r="B366" s="60" t="s">
        <v>1353</v>
      </c>
      <c r="C366" s="410"/>
      <c r="D366" s="68"/>
      <c r="E366" s="410"/>
      <c r="F366" s="410"/>
      <c r="G366" s="61"/>
      <c r="H366" s="393"/>
      <c r="I366" s="393"/>
      <c r="J366" s="393"/>
      <c r="K366" s="393"/>
      <c r="L366" s="393"/>
      <c r="M366" s="393"/>
      <c r="N366" s="393"/>
      <c r="O366" s="393"/>
    </row>
    <row r="367" spans="1:15" s="57" customFormat="1" ht="26.4">
      <c r="A367" s="74" t="s">
        <v>14</v>
      </c>
      <c r="B367" s="81" t="s">
        <v>223</v>
      </c>
      <c r="C367" s="394"/>
      <c r="D367" s="280" t="s">
        <v>27</v>
      </c>
      <c r="E367" s="440">
        <v>10627</v>
      </c>
      <c r="F367" s="109">
        <f>E367*C367</f>
        <v>0</v>
      </c>
      <c r="G367" s="436"/>
      <c r="H367" s="438">
        <f>ROUND(G367,2)</f>
        <v>0</v>
      </c>
      <c r="I367" s="438">
        <f>H367*E367</f>
        <v>0</v>
      </c>
      <c r="J367" s="438">
        <f>G367-C367</f>
        <v>0</v>
      </c>
      <c r="K367" s="438">
        <f>I367-F367</f>
        <v>0</v>
      </c>
      <c r="L367" s="438">
        <f>IF(F367&lt;I367,(I367-F367),0)</f>
        <v>0</v>
      </c>
      <c r="M367" s="438">
        <f>IF(F367&gt;I367,(I367-F367),0)</f>
        <v>0</v>
      </c>
      <c r="N367" s="438">
        <f>M367+L367</f>
        <v>0</v>
      </c>
      <c r="O367" s="368"/>
    </row>
    <row r="368" spans="1:15" s="57" customFormat="1" ht="26.4">
      <c r="A368" s="74" t="s">
        <v>44</v>
      </c>
      <c r="B368" s="81" t="s">
        <v>224</v>
      </c>
      <c r="C368" s="394"/>
      <c r="D368" s="280" t="s">
        <v>27</v>
      </c>
      <c r="E368" s="440">
        <v>17628</v>
      </c>
      <c r="F368" s="109">
        <f>E368*C368</f>
        <v>0</v>
      </c>
      <c r="G368" s="436"/>
      <c r="H368" s="438">
        <f>ROUND(G368,2)</f>
        <v>0</v>
      </c>
      <c r="I368" s="438">
        <f>H368*E368</f>
        <v>0</v>
      </c>
      <c r="J368" s="438">
        <f>G368-C368</f>
        <v>0</v>
      </c>
      <c r="K368" s="438">
        <f>I368-F368</f>
        <v>0</v>
      </c>
      <c r="L368" s="438">
        <f>IF(F368&lt;I368,(I368-F368),0)</f>
        <v>0</v>
      </c>
      <c r="M368" s="438">
        <f>IF(F368&gt;I368,(I368-F368),0)</f>
        <v>0</v>
      </c>
      <c r="N368" s="438">
        <f>M368+L368</f>
        <v>0</v>
      </c>
      <c r="O368" s="368"/>
    </row>
    <row r="369" spans="1:15" s="57" customFormat="1" ht="26.4">
      <c r="A369" s="74" t="s">
        <v>46</v>
      </c>
      <c r="B369" s="81" t="s">
        <v>225</v>
      </c>
      <c r="C369" s="394"/>
      <c r="D369" s="280" t="s">
        <v>27</v>
      </c>
      <c r="E369" s="440">
        <v>21687</v>
      </c>
      <c r="F369" s="109">
        <f>E369*C369</f>
        <v>0</v>
      </c>
      <c r="G369" s="436"/>
      <c r="H369" s="438">
        <f>ROUND(G369,2)</f>
        <v>0</v>
      </c>
      <c r="I369" s="438">
        <f>H369*E369</f>
        <v>0</v>
      </c>
      <c r="J369" s="438">
        <f>G369-C369</f>
        <v>0</v>
      </c>
      <c r="K369" s="438">
        <f>I369-F369</f>
        <v>0</v>
      </c>
      <c r="L369" s="438">
        <f>IF(F369&lt;I369,(I369-F369),0)</f>
        <v>0</v>
      </c>
      <c r="M369" s="438">
        <f>IF(F369&gt;I369,(I369-F369),0)</f>
        <v>0</v>
      </c>
      <c r="N369" s="438">
        <f>M369+L369</f>
        <v>0</v>
      </c>
      <c r="O369" s="368"/>
    </row>
    <row r="370" spans="1:15" s="57" customFormat="1" ht="92.4">
      <c r="A370" s="74" t="s">
        <v>47</v>
      </c>
      <c r="B370" s="81" t="s">
        <v>1354</v>
      </c>
      <c r="C370" s="394"/>
      <c r="D370" s="280" t="s">
        <v>27</v>
      </c>
      <c r="E370" s="440">
        <v>10610</v>
      </c>
      <c r="F370" s="109">
        <f>E370*C370</f>
        <v>0</v>
      </c>
      <c r="G370" s="436"/>
      <c r="H370" s="438">
        <f>ROUND(G370,2)</f>
        <v>0</v>
      </c>
      <c r="I370" s="438">
        <f>H370*E370</f>
        <v>0</v>
      </c>
      <c r="J370" s="438">
        <f>G370-C370</f>
        <v>0</v>
      </c>
      <c r="K370" s="438">
        <f>I370-F370</f>
        <v>0</v>
      </c>
      <c r="L370" s="438">
        <f>IF(F370&lt;I370,(I370-F370),0)</f>
        <v>0</v>
      </c>
      <c r="M370" s="438">
        <f>IF(F370&gt;I370,(I370-F370),0)</f>
        <v>0</v>
      </c>
      <c r="N370" s="438">
        <f>M370+L370</f>
        <v>0</v>
      </c>
      <c r="O370" s="368"/>
    </row>
    <row r="371" spans="1:15" s="57" customFormat="1" ht="92.4">
      <c r="A371" s="74" t="s">
        <v>50</v>
      </c>
      <c r="B371" s="81" t="s">
        <v>1355</v>
      </c>
      <c r="C371" s="394"/>
      <c r="D371" s="280" t="s">
        <v>27</v>
      </c>
      <c r="E371" s="440">
        <v>11017</v>
      </c>
      <c r="F371" s="109">
        <f>E371*C371</f>
        <v>0</v>
      </c>
      <c r="G371" s="436"/>
      <c r="H371" s="438">
        <f>ROUND(G371,2)</f>
        <v>0</v>
      </c>
      <c r="I371" s="438">
        <f>H371*E371</f>
        <v>0</v>
      </c>
      <c r="J371" s="438">
        <f>G371-C371</f>
        <v>0</v>
      </c>
      <c r="K371" s="438">
        <f>I371-F371</f>
        <v>0</v>
      </c>
      <c r="L371" s="438">
        <f>IF(F371&lt;I371,(I371-F371),0)</f>
        <v>0</v>
      </c>
      <c r="M371" s="438">
        <f>IF(F371&gt;I371,(I371-F371),0)</f>
        <v>0</v>
      </c>
      <c r="N371" s="438">
        <f>M371+L371</f>
        <v>0</v>
      </c>
      <c r="O371" s="368"/>
    </row>
    <row r="372" spans="1:15" s="57" customFormat="1">
      <c r="A372" s="74"/>
      <c r="B372" s="81"/>
      <c r="C372" s="412"/>
      <c r="D372" s="76"/>
      <c r="E372" s="412"/>
      <c r="F372" s="412"/>
      <c r="G372" s="412"/>
      <c r="H372" s="412"/>
      <c r="I372" s="412"/>
      <c r="J372" s="412"/>
      <c r="K372" s="368"/>
      <c r="L372" s="368"/>
      <c r="M372" s="368"/>
      <c r="N372" s="368"/>
      <c r="O372" s="368"/>
    </row>
    <row r="373" spans="1:15" s="57" customFormat="1">
      <c r="A373" s="62">
        <v>11</v>
      </c>
      <c r="B373" s="60" t="s">
        <v>226</v>
      </c>
      <c r="C373" s="410"/>
      <c r="D373" s="68"/>
      <c r="E373" s="410"/>
      <c r="F373" s="410"/>
      <c r="G373" s="61"/>
      <c r="H373" s="393"/>
      <c r="I373" s="393"/>
      <c r="J373" s="393"/>
      <c r="K373" s="393"/>
      <c r="L373" s="393"/>
      <c r="M373" s="393"/>
      <c r="N373" s="393"/>
      <c r="O373" s="393"/>
    </row>
    <row r="374" spans="1:15" s="57" customFormat="1" ht="132">
      <c r="A374" s="74" t="s">
        <v>14</v>
      </c>
      <c r="B374" s="322" t="s">
        <v>1356</v>
      </c>
      <c r="C374" s="394"/>
      <c r="D374" s="280" t="s">
        <v>18</v>
      </c>
      <c r="E374" s="440">
        <v>300</v>
      </c>
      <c r="F374" s="109">
        <f>E374*C374</f>
        <v>0</v>
      </c>
      <c r="G374" s="439">
        <f>'Measurement sheet'!F525</f>
        <v>133.83750000000001</v>
      </c>
      <c r="H374" s="438">
        <f>ROUND(G374,2)</f>
        <v>133.84</v>
      </c>
      <c r="I374" s="438">
        <f>H374*E374</f>
        <v>40152</v>
      </c>
      <c r="J374" s="438">
        <f>G374-C374</f>
        <v>133.83750000000001</v>
      </c>
      <c r="K374" s="438">
        <f>I374-F374</f>
        <v>40152</v>
      </c>
      <c r="L374" s="438">
        <f>IF(F374&lt;I374,(I374-F374),0)</f>
        <v>40152</v>
      </c>
      <c r="M374" s="438">
        <f>IF(F374&gt;I374,(I374-F374),0)</f>
        <v>0</v>
      </c>
      <c r="N374" s="438">
        <f>M374+L374</f>
        <v>40152</v>
      </c>
      <c r="O374" s="479" t="s">
        <v>1611</v>
      </c>
    </row>
    <row r="375" spans="1:15" s="57" customFormat="1">
      <c r="A375" s="74" t="s">
        <v>44</v>
      </c>
      <c r="B375" s="81" t="s">
        <v>227</v>
      </c>
      <c r="C375" s="394">
        <v>60</v>
      </c>
      <c r="D375" s="71" t="s">
        <v>18</v>
      </c>
      <c r="E375" s="440">
        <v>296</v>
      </c>
      <c r="F375" s="109">
        <f>E375*C375</f>
        <v>17760</v>
      </c>
      <c r="G375" s="436"/>
      <c r="H375" s="438">
        <f>ROUND(G375,2)</f>
        <v>0</v>
      </c>
      <c r="I375" s="438">
        <f>H375*E375</f>
        <v>0</v>
      </c>
      <c r="J375" s="438">
        <f>G375-C375</f>
        <v>-60</v>
      </c>
      <c r="K375" s="438">
        <f>I375-F375</f>
        <v>-17760</v>
      </c>
      <c r="L375" s="438">
        <f>IF(F375&lt;I375,(I375-F375),0)</f>
        <v>0</v>
      </c>
      <c r="M375" s="438">
        <f>IF(F375&gt;I375,(I375-F375),0)</f>
        <v>-17760</v>
      </c>
      <c r="N375" s="438">
        <f>M375+L375</f>
        <v>-17760</v>
      </c>
      <c r="O375" s="368"/>
    </row>
    <row r="376" spans="1:15" s="57" customFormat="1" ht="26.4">
      <c r="A376" s="74" t="s">
        <v>46</v>
      </c>
      <c r="B376" s="81" t="s">
        <v>228</v>
      </c>
      <c r="C376" s="394"/>
      <c r="D376" s="71" t="s">
        <v>18</v>
      </c>
      <c r="E376" s="440">
        <v>319</v>
      </c>
      <c r="F376" s="109">
        <f>E376*C376</f>
        <v>0</v>
      </c>
      <c r="G376" s="436"/>
      <c r="H376" s="438">
        <f>ROUND(G376,2)</f>
        <v>0</v>
      </c>
      <c r="I376" s="438">
        <f>H376*E376</f>
        <v>0</v>
      </c>
      <c r="J376" s="438">
        <f>G376-C376</f>
        <v>0</v>
      </c>
      <c r="K376" s="438">
        <f>I376-F376</f>
        <v>0</v>
      </c>
      <c r="L376" s="438">
        <f>IF(F376&lt;I376,(I376-F376),0)</f>
        <v>0</v>
      </c>
      <c r="M376" s="438">
        <f>IF(F376&gt;I376,(I376-F376),0)</f>
        <v>0</v>
      </c>
      <c r="N376" s="438">
        <f>M376+L376</f>
        <v>0</v>
      </c>
      <c r="O376" s="368"/>
    </row>
    <row r="377" spans="1:15" s="57" customFormat="1" ht="43.2">
      <c r="A377" s="74" t="s">
        <v>47</v>
      </c>
      <c r="B377" s="322" t="s">
        <v>229</v>
      </c>
      <c r="C377" s="394"/>
      <c r="D377" s="71" t="s">
        <v>18</v>
      </c>
      <c r="E377" s="440">
        <v>794</v>
      </c>
      <c r="F377" s="109">
        <f>E377*C377</f>
        <v>0</v>
      </c>
      <c r="G377" s="439">
        <f>'Measurement sheet'!F530</f>
        <v>8.625</v>
      </c>
      <c r="H377" s="438">
        <f>ROUND(G377,2)</f>
        <v>8.6300000000000008</v>
      </c>
      <c r="I377" s="438">
        <f>H377*E377</f>
        <v>6852.22</v>
      </c>
      <c r="J377" s="438">
        <f>G377-C377</f>
        <v>8.625</v>
      </c>
      <c r="K377" s="438">
        <f>I377-F377</f>
        <v>6852.22</v>
      </c>
      <c r="L377" s="438">
        <f>IF(F377&lt;I377,(I377-F377),0)</f>
        <v>6852.22</v>
      </c>
      <c r="M377" s="438">
        <f>IF(F377&gt;I377,(I377-F377),0)</f>
        <v>0</v>
      </c>
      <c r="N377" s="438">
        <f>M377+L377</f>
        <v>6852.22</v>
      </c>
      <c r="O377" s="479" t="s">
        <v>1611</v>
      </c>
    </row>
    <row r="378" spans="1:15" s="57" customFormat="1">
      <c r="A378" s="74"/>
      <c r="B378" s="81"/>
      <c r="C378" s="412"/>
      <c r="D378" s="76"/>
      <c r="E378" s="412"/>
      <c r="F378" s="412"/>
      <c r="G378" s="412"/>
      <c r="H378" s="412"/>
      <c r="I378" s="412"/>
      <c r="J378" s="412"/>
      <c r="K378" s="368"/>
      <c r="L378" s="368"/>
      <c r="M378" s="368"/>
      <c r="N378" s="368"/>
      <c r="O378" s="368"/>
    </row>
    <row r="379" spans="1:15" s="57" customFormat="1">
      <c r="A379" s="62">
        <v>12</v>
      </c>
      <c r="B379" s="60" t="s">
        <v>230</v>
      </c>
      <c r="C379" s="410"/>
      <c r="D379" s="68"/>
      <c r="E379" s="410"/>
      <c r="F379" s="410"/>
      <c r="G379" s="61"/>
      <c r="H379" s="393"/>
      <c r="I379" s="393"/>
      <c r="J379" s="393"/>
      <c r="K379" s="393"/>
      <c r="L379" s="393"/>
      <c r="M379" s="393"/>
      <c r="N379" s="393"/>
      <c r="O379" s="393"/>
    </row>
    <row r="380" spans="1:15" s="57" customFormat="1">
      <c r="A380" s="77" t="s">
        <v>14</v>
      </c>
      <c r="B380" s="195" t="s">
        <v>231</v>
      </c>
      <c r="C380" s="411"/>
      <c r="D380" s="79"/>
      <c r="E380" s="411"/>
      <c r="F380" s="411"/>
      <c r="G380" s="411"/>
      <c r="H380" s="411"/>
      <c r="I380" s="411"/>
      <c r="J380" s="411"/>
      <c r="K380" s="411"/>
      <c r="L380" s="411"/>
      <c r="M380" s="411"/>
      <c r="N380" s="411"/>
      <c r="O380" s="411"/>
    </row>
    <row r="381" spans="1:15" s="57" customFormat="1" ht="92.4">
      <c r="A381" s="74" t="s">
        <v>16</v>
      </c>
      <c r="B381" s="81" t="s">
        <v>1357</v>
      </c>
      <c r="C381" s="394">
        <v>70</v>
      </c>
      <c r="D381" s="71" t="s">
        <v>18</v>
      </c>
      <c r="E381" s="440">
        <v>177</v>
      </c>
      <c r="F381" s="109">
        <f>E381*C381</f>
        <v>12390</v>
      </c>
      <c r="G381" s="439">
        <f>'Measurement sheet'!F538</f>
        <v>72</v>
      </c>
      <c r="H381" s="438">
        <f>ROUND(G381,2)</f>
        <v>72</v>
      </c>
      <c r="I381" s="438">
        <f>H381*E381</f>
        <v>12744</v>
      </c>
      <c r="J381" s="438">
        <f>G381-C381</f>
        <v>2</v>
      </c>
      <c r="K381" s="438">
        <f>I381-F381</f>
        <v>354</v>
      </c>
      <c r="L381" s="438">
        <f>IF(F381&lt;I381,(I381-F381),0)</f>
        <v>354</v>
      </c>
      <c r="M381" s="438">
        <f>IF(F381&gt;I381,(I381-F381),0)</f>
        <v>0</v>
      </c>
      <c r="N381" s="438">
        <f>M381+L381</f>
        <v>354</v>
      </c>
      <c r="O381" s="478" t="s">
        <v>1610</v>
      </c>
    </row>
    <row r="382" spans="1:15" s="57" customFormat="1">
      <c r="A382" s="74"/>
      <c r="B382" s="81"/>
      <c r="C382" s="395"/>
      <c r="D382" s="280"/>
      <c r="E382" s="395"/>
      <c r="F382" s="395"/>
      <c r="G382" s="395"/>
      <c r="H382" s="395"/>
      <c r="I382" s="395"/>
      <c r="J382" s="395"/>
      <c r="K382" s="368"/>
      <c r="L382" s="368"/>
      <c r="M382" s="368"/>
      <c r="N382" s="368"/>
      <c r="O382" s="368"/>
    </row>
    <row r="383" spans="1:15" s="57" customFormat="1">
      <c r="A383" s="77" t="s">
        <v>44</v>
      </c>
      <c r="B383" s="195" t="s">
        <v>232</v>
      </c>
      <c r="C383" s="411"/>
      <c r="D383" s="79"/>
      <c r="E383" s="411"/>
      <c r="F383" s="411"/>
      <c r="G383" s="411"/>
      <c r="H383" s="411"/>
      <c r="I383" s="411"/>
      <c r="J383" s="411"/>
      <c r="K383" s="411"/>
      <c r="L383" s="411"/>
      <c r="M383" s="411"/>
      <c r="N383" s="411"/>
      <c r="O383" s="411"/>
    </row>
    <row r="384" spans="1:15" s="57" customFormat="1" ht="39.6">
      <c r="A384" s="74" t="s">
        <v>16</v>
      </c>
      <c r="B384" s="81" t="s">
        <v>1358</v>
      </c>
      <c r="C384" s="394"/>
      <c r="D384" s="280" t="s">
        <v>27</v>
      </c>
      <c r="E384" s="440">
        <v>3203</v>
      </c>
      <c r="F384" s="109">
        <f>E384*C384</f>
        <v>0</v>
      </c>
      <c r="G384" s="436"/>
      <c r="H384" s="438">
        <f>ROUND(G384,2)</f>
        <v>0</v>
      </c>
      <c r="I384" s="438">
        <f>H384*E384</f>
        <v>0</v>
      </c>
      <c r="J384" s="438">
        <f>G384-C384</f>
        <v>0</v>
      </c>
      <c r="K384" s="438">
        <f>I384-F384</f>
        <v>0</v>
      </c>
      <c r="L384" s="438">
        <f>IF(F384&lt;I384,(I384-F384),0)</f>
        <v>0</v>
      </c>
      <c r="M384" s="438">
        <f>IF(F384&gt;I384,(I384-F384),0)</f>
        <v>0</v>
      </c>
      <c r="N384" s="438">
        <f>M384+L384</f>
        <v>0</v>
      </c>
      <c r="O384" s="368"/>
    </row>
    <row r="385" spans="1:15" s="57" customFormat="1">
      <c r="A385" s="74" t="s">
        <v>19</v>
      </c>
      <c r="B385" s="81" t="s">
        <v>1359</v>
      </c>
      <c r="C385" s="394"/>
      <c r="D385" s="280" t="s">
        <v>27</v>
      </c>
      <c r="E385" s="440">
        <v>6576</v>
      </c>
      <c r="F385" s="109">
        <f>E385*C385</f>
        <v>0</v>
      </c>
      <c r="G385" s="436"/>
      <c r="H385" s="438">
        <f>ROUND(G385,2)</f>
        <v>0</v>
      </c>
      <c r="I385" s="438">
        <f>H385*E385</f>
        <v>0</v>
      </c>
      <c r="J385" s="438">
        <f>G385-C385</f>
        <v>0</v>
      </c>
      <c r="K385" s="438">
        <f>I385-F385</f>
        <v>0</v>
      </c>
      <c r="L385" s="438">
        <f>IF(F385&lt;I385,(I385-F385),0)</f>
        <v>0</v>
      </c>
      <c r="M385" s="438">
        <f>IF(F385&gt;I385,(I385-F385),0)</f>
        <v>0</v>
      </c>
      <c r="N385" s="438">
        <f>M385+L385</f>
        <v>0</v>
      </c>
      <c r="O385" s="368"/>
    </row>
    <row r="386" spans="1:15" s="57" customFormat="1" ht="26.4">
      <c r="A386" s="74" t="s">
        <v>21</v>
      </c>
      <c r="B386" s="81" t="s">
        <v>233</v>
      </c>
      <c r="C386" s="394">
        <v>2</v>
      </c>
      <c r="D386" s="280" t="s">
        <v>27</v>
      </c>
      <c r="E386" s="440">
        <v>5367</v>
      </c>
      <c r="F386" s="109">
        <f>E386*C386</f>
        <v>10734</v>
      </c>
      <c r="G386" s="439">
        <f>'Measurement sheet'!F543</f>
        <v>0</v>
      </c>
      <c r="H386" s="438">
        <f>ROUND(G386,2)</f>
        <v>0</v>
      </c>
      <c r="I386" s="438">
        <f>H386*E386</f>
        <v>0</v>
      </c>
      <c r="J386" s="438">
        <f>G386-C386</f>
        <v>-2</v>
      </c>
      <c r="K386" s="438">
        <f>I386-F386</f>
        <v>-10734</v>
      </c>
      <c r="L386" s="438">
        <f>IF(F386&lt;I386,(I386-F386),0)</f>
        <v>0</v>
      </c>
      <c r="M386" s="438">
        <f>IF(F386&gt;I386,(I386-F386),0)</f>
        <v>-10734</v>
      </c>
      <c r="N386" s="438">
        <f>M386+L386</f>
        <v>-10734</v>
      </c>
      <c r="O386" s="368"/>
    </row>
    <row r="387" spans="1:15" s="57" customFormat="1">
      <c r="A387" s="74"/>
      <c r="B387" s="81"/>
      <c r="C387" s="395"/>
      <c r="D387" s="280"/>
      <c r="E387" s="395"/>
      <c r="F387" s="395"/>
      <c r="G387" s="395"/>
      <c r="H387" s="395"/>
      <c r="I387" s="395"/>
      <c r="J387" s="395"/>
      <c r="K387" s="368"/>
      <c r="L387" s="368"/>
      <c r="M387" s="368"/>
      <c r="N387" s="368"/>
      <c r="O387" s="368"/>
    </row>
    <row r="388" spans="1:15" s="57" customFormat="1">
      <c r="A388" s="77" t="s">
        <v>46</v>
      </c>
      <c r="B388" s="195" t="s">
        <v>234</v>
      </c>
      <c r="C388" s="411"/>
      <c r="D388" s="79"/>
      <c r="E388" s="411"/>
      <c r="F388" s="411"/>
      <c r="G388" s="411"/>
      <c r="H388" s="411"/>
      <c r="I388" s="411"/>
      <c r="J388" s="411"/>
      <c r="K388" s="411"/>
      <c r="L388" s="411"/>
      <c r="M388" s="411"/>
      <c r="N388" s="411"/>
      <c r="O388" s="411"/>
    </row>
    <row r="389" spans="1:15" s="57" customFormat="1" ht="52.8">
      <c r="A389" s="74" t="s">
        <v>16</v>
      </c>
      <c r="B389" s="81" t="s">
        <v>235</v>
      </c>
      <c r="C389" s="394"/>
      <c r="D389" s="71" t="s">
        <v>18</v>
      </c>
      <c r="E389" s="440">
        <v>66</v>
      </c>
      <c r="F389" s="109">
        <f>E389*C389</f>
        <v>0</v>
      </c>
      <c r="G389" s="436"/>
      <c r="H389" s="438">
        <f>ROUND(G389,2)</f>
        <v>0</v>
      </c>
      <c r="I389" s="438">
        <f>H389*E389</f>
        <v>0</v>
      </c>
      <c r="J389" s="438">
        <f>G389-C389</f>
        <v>0</v>
      </c>
      <c r="K389" s="438">
        <f>I389-F389</f>
        <v>0</v>
      </c>
      <c r="L389" s="438">
        <f>IF(F389&lt;I389,(I389-F389),0)</f>
        <v>0</v>
      </c>
      <c r="M389" s="438">
        <f>IF(F389&gt;I389,(I389-F389),0)</f>
        <v>0</v>
      </c>
      <c r="N389" s="438">
        <f>M389+L389</f>
        <v>0</v>
      </c>
      <c r="O389" s="368"/>
    </row>
    <row r="390" spans="1:15" s="57" customFormat="1" ht="52.8">
      <c r="A390" s="74" t="s">
        <v>19</v>
      </c>
      <c r="B390" s="81" t="s">
        <v>236</v>
      </c>
      <c r="C390" s="394">
        <v>200</v>
      </c>
      <c r="D390" s="71" t="s">
        <v>18</v>
      </c>
      <c r="E390" s="440">
        <v>106</v>
      </c>
      <c r="F390" s="109">
        <f>E390*C390</f>
        <v>21200</v>
      </c>
      <c r="G390" s="439">
        <f>'Measurement sheet'!F553</f>
        <v>201.91649999999998</v>
      </c>
      <c r="H390" s="438">
        <f>ROUND(G390,2)</f>
        <v>201.92</v>
      </c>
      <c r="I390" s="438">
        <f>H390*E390</f>
        <v>21403.52</v>
      </c>
      <c r="J390" s="438">
        <f>G390-C390</f>
        <v>1.916499999999985</v>
      </c>
      <c r="K390" s="438">
        <f>I390-F390</f>
        <v>203.52000000000044</v>
      </c>
      <c r="L390" s="438">
        <f>IF(F390&lt;I390,(I390-F390),0)</f>
        <v>203.52000000000044</v>
      </c>
      <c r="M390" s="438">
        <f>IF(F390&gt;I390,(I390-F390),0)</f>
        <v>0</v>
      </c>
      <c r="N390" s="438">
        <f>M390+L390</f>
        <v>203.52000000000044</v>
      </c>
      <c r="O390" s="478" t="s">
        <v>1610</v>
      </c>
    </row>
    <row r="391" spans="1:15" s="57" customFormat="1">
      <c r="A391" s="74"/>
      <c r="B391" s="81"/>
      <c r="C391" s="395"/>
      <c r="D391" s="280"/>
      <c r="E391" s="395"/>
      <c r="F391" s="395"/>
      <c r="G391" s="395"/>
      <c r="H391" s="395"/>
      <c r="I391" s="395"/>
      <c r="J391" s="395"/>
      <c r="K391" s="368"/>
      <c r="L391" s="368"/>
      <c r="M391" s="368"/>
      <c r="N391" s="368"/>
      <c r="O391" s="368"/>
    </row>
    <row r="392" spans="1:15" s="57" customFormat="1">
      <c r="A392" s="77" t="s">
        <v>47</v>
      </c>
      <c r="B392" s="195" t="s">
        <v>237</v>
      </c>
      <c r="C392" s="411"/>
      <c r="D392" s="79"/>
      <c r="E392" s="411"/>
      <c r="F392" s="411"/>
      <c r="G392" s="411"/>
      <c r="H392" s="411"/>
      <c r="I392" s="411"/>
      <c r="J392" s="411"/>
      <c r="K392" s="411"/>
      <c r="L392" s="411"/>
      <c r="M392" s="411"/>
      <c r="N392" s="411"/>
      <c r="O392" s="411"/>
    </row>
    <row r="393" spans="1:15" s="57" customFormat="1" ht="26.4">
      <c r="A393" s="74" t="s">
        <v>16</v>
      </c>
      <c r="B393" s="81" t="s">
        <v>238</v>
      </c>
      <c r="C393" s="394"/>
      <c r="D393" s="71" t="s">
        <v>18</v>
      </c>
      <c r="E393" s="440">
        <v>67</v>
      </c>
      <c r="F393" s="109">
        <f>E393*C393</f>
        <v>0</v>
      </c>
      <c r="G393" s="436"/>
      <c r="H393" s="438">
        <f>ROUND(G393,2)</f>
        <v>0</v>
      </c>
      <c r="I393" s="438">
        <f>H393*E393</f>
        <v>0</v>
      </c>
      <c r="J393" s="438">
        <f>G393-C393</f>
        <v>0</v>
      </c>
      <c r="K393" s="438">
        <f>I393-F393</f>
        <v>0</v>
      </c>
      <c r="L393" s="438">
        <f>IF(F393&lt;I393,(I393-F393),0)</f>
        <v>0</v>
      </c>
      <c r="M393" s="438">
        <f>IF(F393&gt;I393,(I393-F393),0)</f>
        <v>0</v>
      </c>
      <c r="N393" s="438">
        <f>M393+L393</f>
        <v>0</v>
      </c>
      <c r="O393" s="368"/>
    </row>
    <row r="394" spans="1:15" s="57" customFormat="1" ht="26.4">
      <c r="A394" s="74" t="s">
        <v>19</v>
      </c>
      <c r="B394" s="81" t="s">
        <v>239</v>
      </c>
      <c r="C394" s="394">
        <v>500</v>
      </c>
      <c r="D394" s="71" t="s">
        <v>18</v>
      </c>
      <c r="E394" s="449">
        <v>105</v>
      </c>
      <c r="F394" s="109">
        <f>E394*C394</f>
        <v>52500</v>
      </c>
      <c r="G394" s="439">
        <f>'Measurement sheet'!F564</f>
        <v>489.50400000000002</v>
      </c>
      <c r="H394" s="438">
        <f>ROUND(G394,2)</f>
        <v>489.5</v>
      </c>
      <c r="I394" s="438">
        <f>H394*E394</f>
        <v>51397.5</v>
      </c>
      <c r="J394" s="438">
        <f>G394-C394</f>
        <v>-10.495999999999981</v>
      </c>
      <c r="K394" s="438">
        <f>I394-F394</f>
        <v>-1102.5</v>
      </c>
      <c r="L394" s="438">
        <f>IF(F394&lt;I394,(I394-F394),0)</f>
        <v>0</v>
      </c>
      <c r="M394" s="438">
        <f>IF(F394&gt;I394,(I394-F394),0)</f>
        <v>-1102.5</v>
      </c>
      <c r="N394" s="438">
        <f>M394+L394</f>
        <v>-1102.5</v>
      </c>
      <c r="O394" s="368"/>
    </row>
    <row r="395" spans="1:15" s="57" customFormat="1" ht="26.4">
      <c r="A395" s="74" t="s">
        <v>21</v>
      </c>
      <c r="B395" s="81" t="s">
        <v>240</v>
      </c>
      <c r="C395" s="394"/>
      <c r="D395" s="71" t="s">
        <v>18</v>
      </c>
      <c r="E395" s="449">
        <v>50</v>
      </c>
      <c r="F395" s="109">
        <f>E395*C395</f>
        <v>0</v>
      </c>
      <c r="G395" s="436"/>
      <c r="H395" s="438">
        <f>ROUND(G395,2)</f>
        <v>0</v>
      </c>
      <c r="I395" s="438">
        <f>H395*E395</f>
        <v>0</v>
      </c>
      <c r="J395" s="438">
        <f>G395-C395</f>
        <v>0</v>
      </c>
      <c r="K395" s="438">
        <f>I395-F395</f>
        <v>0</v>
      </c>
      <c r="L395" s="438">
        <f>IF(F395&lt;I395,(I395-F395),0)</f>
        <v>0</v>
      </c>
      <c r="M395" s="438">
        <f>IF(F395&gt;I395,(I395-F395),0)</f>
        <v>0</v>
      </c>
      <c r="N395" s="438">
        <f>M395+L395</f>
        <v>0</v>
      </c>
      <c r="O395" s="368"/>
    </row>
    <row r="396" spans="1:15" s="57" customFormat="1">
      <c r="A396" s="74"/>
      <c r="B396" s="81"/>
      <c r="C396" s="412"/>
      <c r="D396" s="76"/>
      <c r="E396" s="412"/>
      <c r="F396" s="412"/>
      <c r="G396" s="412"/>
      <c r="H396" s="412"/>
      <c r="I396" s="412"/>
      <c r="J396" s="412"/>
      <c r="K396" s="368"/>
      <c r="L396" s="368"/>
      <c r="M396" s="368"/>
      <c r="N396" s="368"/>
      <c r="O396" s="368"/>
    </row>
    <row r="397" spans="1:15" s="57" customFormat="1">
      <c r="A397" s="77" t="s">
        <v>50</v>
      </c>
      <c r="B397" s="195" t="s">
        <v>241</v>
      </c>
      <c r="C397" s="411"/>
      <c r="D397" s="79"/>
      <c r="E397" s="411"/>
      <c r="F397" s="411"/>
      <c r="G397" s="411"/>
      <c r="H397" s="411"/>
      <c r="I397" s="411"/>
      <c r="J397" s="411"/>
      <c r="K397" s="411"/>
      <c r="L397" s="411"/>
      <c r="M397" s="411"/>
      <c r="N397" s="411"/>
      <c r="O397" s="411"/>
    </row>
    <row r="398" spans="1:15" s="57" customFormat="1" ht="79.2">
      <c r="A398" s="74" t="s">
        <v>16</v>
      </c>
      <c r="B398" s="81" t="s">
        <v>1360</v>
      </c>
      <c r="C398" s="394">
        <v>30</v>
      </c>
      <c r="D398" s="71" t="s">
        <v>18</v>
      </c>
      <c r="E398" s="440">
        <v>226</v>
      </c>
      <c r="F398" s="109">
        <f>E398*C398</f>
        <v>6780</v>
      </c>
      <c r="G398" s="439">
        <f>'Measurement sheet'!F570</f>
        <v>12</v>
      </c>
      <c r="H398" s="438">
        <f>ROUND(G398,2)</f>
        <v>12</v>
      </c>
      <c r="I398" s="438">
        <f>H398*E398</f>
        <v>2712</v>
      </c>
      <c r="J398" s="438">
        <f>G398-C398</f>
        <v>-18</v>
      </c>
      <c r="K398" s="438">
        <f>I398-F398</f>
        <v>-4068</v>
      </c>
      <c r="L398" s="438">
        <f>IF(F398&lt;I398,(I398-F398),0)</f>
        <v>0</v>
      </c>
      <c r="M398" s="438">
        <f>IF(F398&gt;I398,(I398-F398),0)</f>
        <v>-4068</v>
      </c>
      <c r="N398" s="438">
        <f>M398+L398</f>
        <v>-4068</v>
      </c>
      <c r="O398" s="368"/>
    </row>
    <row r="399" spans="1:15" s="57" customFormat="1" ht="39.6">
      <c r="A399" s="74" t="s">
        <v>19</v>
      </c>
      <c r="B399" s="81" t="s">
        <v>242</v>
      </c>
      <c r="C399" s="394"/>
      <c r="D399" s="280" t="s">
        <v>27</v>
      </c>
      <c r="E399" s="440">
        <v>6419</v>
      </c>
      <c r="F399" s="109">
        <f>E399*C399</f>
        <v>0</v>
      </c>
      <c r="G399" s="436"/>
      <c r="H399" s="438">
        <f>ROUND(G399,2)</f>
        <v>0</v>
      </c>
      <c r="I399" s="438">
        <f>H399*E399</f>
        <v>0</v>
      </c>
      <c r="J399" s="438">
        <f>G399-C399</f>
        <v>0</v>
      </c>
      <c r="K399" s="438">
        <f>I399-F399</f>
        <v>0</v>
      </c>
      <c r="L399" s="438">
        <f>IF(F399&lt;I399,(I399-F399),0)</f>
        <v>0</v>
      </c>
      <c r="M399" s="438">
        <f>IF(F399&gt;I399,(I399-F399),0)</f>
        <v>0</v>
      </c>
      <c r="N399" s="438">
        <f>M399+L399</f>
        <v>0</v>
      </c>
      <c r="O399" s="368"/>
    </row>
    <row r="400" spans="1:15" s="57" customFormat="1">
      <c r="A400" s="74"/>
      <c r="B400" s="81"/>
      <c r="C400" s="395"/>
      <c r="D400" s="280"/>
      <c r="E400" s="395"/>
      <c r="F400" s="395"/>
      <c r="G400" s="395"/>
      <c r="H400" s="395"/>
      <c r="I400" s="395"/>
      <c r="J400" s="395"/>
      <c r="K400" s="368"/>
      <c r="L400" s="368"/>
      <c r="M400" s="368"/>
      <c r="N400" s="368"/>
      <c r="O400" s="368"/>
    </row>
    <row r="401" spans="1:15" s="57" customFormat="1">
      <c r="A401" s="77" t="s">
        <v>52</v>
      </c>
      <c r="B401" s="195" t="s">
        <v>243</v>
      </c>
      <c r="C401" s="411"/>
      <c r="D401" s="79"/>
      <c r="E401" s="411"/>
      <c r="F401" s="411"/>
      <c r="G401" s="411"/>
      <c r="H401" s="411"/>
      <c r="I401" s="411"/>
      <c r="J401" s="411"/>
      <c r="K401" s="411"/>
      <c r="L401" s="411"/>
      <c r="M401" s="411"/>
      <c r="N401" s="411"/>
      <c r="O401" s="411"/>
    </row>
    <row r="402" spans="1:15" s="57" customFormat="1" ht="26.4">
      <c r="A402" s="74" t="s">
        <v>16</v>
      </c>
      <c r="B402" s="81" t="s">
        <v>244</v>
      </c>
      <c r="C402" s="394"/>
      <c r="D402" s="280" t="s">
        <v>59</v>
      </c>
      <c r="E402" s="440">
        <v>1966</v>
      </c>
      <c r="F402" s="109">
        <f>E402*C402</f>
        <v>0</v>
      </c>
      <c r="G402" s="436"/>
      <c r="H402" s="438">
        <f>ROUND(G402,2)</f>
        <v>0</v>
      </c>
      <c r="I402" s="438">
        <f>H402*E402</f>
        <v>0</v>
      </c>
      <c r="J402" s="438">
        <f>G402-C402</f>
        <v>0</v>
      </c>
      <c r="K402" s="438">
        <f>I402-F402</f>
        <v>0</v>
      </c>
      <c r="L402" s="438">
        <f>IF(F402&lt;I402,(I402-F402),0)</f>
        <v>0</v>
      </c>
      <c r="M402" s="438">
        <f>IF(F402&gt;I402,(I402-F402),0)</f>
        <v>0</v>
      </c>
      <c r="N402" s="438">
        <f>M402+L402</f>
        <v>0</v>
      </c>
      <c r="O402" s="368"/>
    </row>
    <row r="403" spans="1:15" s="57" customFormat="1">
      <c r="A403" s="74"/>
      <c r="B403" s="81"/>
      <c r="C403" s="395"/>
      <c r="D403" s="280"/>
      <c r="E403" s="395"/>
      <c r="F403" s="395"/>
      <c r="G403" s="395"/>
      <c r="H403" s="395"/>
      <c r="I403" s="395"/>
      <c r="J403" s="395"/>
      <c r="K403" s="368"/>
      <c r="L403" s="368"/>
      <c r="M403" s="368"/>
      <c r="N403" s="368"/>
      <c r="O403" s="368"/>
    </row>
    <row r="404" spans="1:15" s="57" customFormat="1">
      <c r="A404" s="77" t="s">
        <v>53</v>
      </c>
      <c r="B404" s="195" t="s">
        <v>245</v>
      </c>
      <c r="C404" s="411"/>
      <c r="D404" s="79"/>
      <c r="E404" s="411"/>
      <c r="F404" s="411"/>
      <c r="G404" s="411"/>
      <c r="H404" s="411"/>
      <c r="I404" s="411"/>
      <c r="J404" s="411"/>
      <c r="K404" s="411"/>
      <c r="L404" s="411"/>
      <c r="M404" s="411"/>
      <c r="N404" s="411"/>
      <c r="O404" s="411"/>
    </row>
    <row r="405" spans="1:15" s="57" customFormat="1" ht="145.19999999999999">
      <c r="A405" s="74" t="s">
        <v>16</v>
      </c>
      <c r="B405" s="303" t="s">
        <v>1361</v>
      </c>
      <c r="C405" s="394"/>
      <c r="D405" s="76" t="s">
        <v>74</v>
      </c>
      <c r="E405" s="440">
        <v>97</v>
      </c>
      <c r="F405" s="109">
        <f>E405*C405</f>
        <v>0</v>
      </c>
      <c r="G405" s="436"/>
      <c r="H405" s="438">
        <f>ROUND(G405,2)</f>
        <v>0</v>
      </c>
      <c r="I405" s="438">
        <f>H405*E405</f>
        <v>0</v>
      </c>
      <c r="J405" s="438">
        <f>G405-C405</f>
        <v>0</v>
      </c>
      <c r="K405" s="438">
        <f>I405-F405</f>
        <v>0</v>
      </c>
      <c r="L405" s="438">
        <f>IF(F405&lt;I405,(I405-F405),0)</f>
        <v>0</v>
      </c>
      <c r="M405" s="438">
        <f>IF(F405&gt;I405,(I405-F405),0)</f>
        <v>0</v>
      </c>
      <c r="N405" s="438">
        <f>M405+L405</f>
        <v>0</v>
      </c>
      <c r="O405" s="368"/>
    </row>
    <row r="406" spans="1:15" s="57" customFormat="1">
      <c r="A406" s="74"/>
      <c r="B406" s="81"/>
      <c r="C406" s="412"/>
      <c r="D406" s="76"/>
      <c r="E406" s="412"/>
      <c r="F406" s="412"/>
      <c r="G406" s="412"/>
      <c r="H406" s="412"/>
      <c r="I406" s="412"/>
      <c r="J406" s="412"/>
      <c r="K406" s="368"/>
      <c r="L406" s="368"/>
      <c r="M406" s="368"/>
      <c r="N406" s="368"/>
      <c r="O406" s="368"/>
    </row>
    <row r="407" spans="1:15" s="57" customFormat="1">
      <c r="A407" s="77" t="s">
        <v>85</v>
      </c>
      <c r="B407" s="195" t="s">
        <v>246</v>
      </c>
      <c r="C407" s="411"/>
      <c r="D407" s="79"/>
      <c r="E407" s="411"/>
      <c r="F407" s="411"/>
      <c r="G407" s="411"/>
      <c r="H407" s="411"/>
      <c r="I407" s="411"/>
      <c r="J407" s="411"/>
      <c r="K407" s="411"/>
      <c r="L407" s="411"/>
      <c r="M407" s="411"/>
      <c r="N407" s="411"/>
      <c r="O407" s="411"/>
    </row>
    <row r="408" spans="1:15" s="57" customFormat="1" ht="66">
      <c r="A408" s="74" t="s">
        <v>16</v>
      </c>
      <c r="B408" s="303" t="s">
        <v>1362</v>
      </c>
      <c r="C408" s="394">
        <v>5</v>
      </c>
      <c r="D408" s="76" t="s">
        <v>18</v>
      </c>
      <c r="E408" s="440">
        <v>661</v>
      </c>
      <c r="F408" s="109">
        <f>E408*C408</f>
        <v>3305</v>
      </c>
      <c r="G408" s="439">
        <f>'Measurement sheet'!F572</f>
        <v>0</v>
      </c>
      <c r="H408" s="438">
        <f>ROUND(G408,2)</f>
        <v>0</v>
      </c>
      <c r="I408" s="438">
        <f>H408*E408</f>
        <v>0</v>
      </c>
      <c r="J408" s="438">
        <f>G408-C408</f>
        <v>-5</v>
      </c>
      <c r="K408" s="438">
        <f>I408-F408</f>
        <v>-3305</v>
      </c>
      <c r="L408" s="438">
        <f>IF(F408&lt;I408,(I408-F408),0)</f>
        <v>0</v>
      </c>
      <c r="M408" s="438">
        <f>IF(F408&gt;I408,(I408-F408),0)</f>
        <v>-3305</v>
      </c>
      <c r="N408" s="438">
        <f>M408+L408</f>
        <v>-3305</v>
      </c>
      <c r="O408" s="368"/>
    </row>
    <row r="409" spans="1:15" s="57" customFormat="1">
      <c r="A409" s="74"/>
      <c r="B409" s="81"/>
      <c r="C409" s="412"/>
      <c r="D409" s="76"/>
      <c r="E409" s="412"/>
      <c r="F409" s="412"/>
      <c r="G409" s="412"/>
      <c r="H409" s="412"/>
      <c r="I409" s="412"/>
      <c r="J409" s="412"/>
      <c r="K409" s="368"/>
      <c r="L409" s="368"/>
      <c r="M409" s="368"/>
      <c r="N409" s="368"/>
      <c r="O409" s="368"/>
    </row>
    <row r="410" spans="1:15" s="57" customFormat="1">
      <c r="A410" s="77" t="s">
        <v>16</v>
      </c>
      <c r="B410" s="195" t="s">
        <v>247</v>
      </c>
      <c r="C410" s="411"/>
      <c r="D410" s="79"/>
      <c r="E410" s="411"/>
      <c r="F410" s="411"/>
      <c r="G410" s="411"/>
      <c r="H410" s="411"/>
      <c r="I410" s="411"/>
      <c r="J410" s="411"/>
      <c r="K410" s="411"/>
      <c r="L410" s="411"/>
      <c r="M410" s="411"/>
      <c r="N410" s="411"/>
      <c r="O410" s="411"/>
    </row>
    <row r="411" spans="1:15" s="57" customFormat="1" ht="26.4">
      <c r="A411" s="74" t="s">
        <v>16</v>
      </c>
      <c r="B411" s="81" t="s">
        <v>1363</v>
      </c>
      <c r="C411" s="394"/>
      <c r="D411" s="280" t="s">
        <v>27</v>
      </c>
      <c r="E411" s="449">
        <v>518</v>
      </c>
      <c r="F411" s="109">
        <f>E411*C411</f>
        <v>0</v>
      </c>
      <c r="G411" s="436"/>
      <c r="H411" s="438">
        <f>ROUND(G411,2)</f>
        <v>0</v>
      </c>
      <c r="I411" s="438">
        <f>H411*E411</f>
        <v>0</v>
      </c>
      <c r="J411" s="438">
        <f>G411-C411</f>
        <v>0</v>
      </c>
      <c r="K411" s="438">
        <f>I411-F411</f>
        <v>0</v>
      </c>
      <c r="L411" s="438">
        <f>IF(F411&lt;I411,(I411-F411),0)</f>
        <v>0</v>
      </c>
      <c r="M411" s="438">
        <f>IF(F411&gt;I411,(I411-F411),0)</f>
        <v>0</v>
      </c>
      <c r="N411" s="438">
        <f>M411+L411</f>
        <v>0</v>
      </c>
      <c r="O411" s="368"/>
    </row>
    <row r="412" spans="1:15" s="57" customFormat="1" ht="26.4">
      <c r="A412" s="74" t="s">
        <v>19</v>
      </c>
      <c r="B412" s="81" t="s">
        <v>1364</v>
      </c>
      <c r="C412" s="394"/>
      <c r="D412" s="280" t="s">
        <v>27</v>
      </c>
      <c r="E412" s="449">
        <v>847</v>
      </c>
      <c r="F412" s="109">
        <f>E412*C412</f>
        <v>0</v>
      </c>
      <c r="G412" s="436"/>
      <c r="H412" s="438">
        <f>ROUND(G412,2)</f>
        <v>0</v>
      </c>
      <c r="I412" s="438">
        <f>H412*E412</f>
        <v>0</v>
      </c>
      <c r="J412" s="438">
        <f>G412-C412</f>
        <v>0</v>
      </c>
      <c r="K412" s="438">
        <f>I412-F412</f>
        <v>0</v>
      </c>
      <c r="L412" s="438">
        <f>IF(F412&lt;I412,(I412-F412),0)</f>
        <v>0</v>
      </c>
      <c r="M412" s="438">
        <f>IF(F412&gt;I412,(I412-F412),0)</f>
        <v>0</v>
      </c>
      <c r="N412" s="438">
        <f>M412+L412</f>
        <v>0</v>
      </c>
      <c r="O412" s="368"/>
    </row>
    <row r="413" spans="1:15" s="57" customFormat="1">
      <c r="A413" s="74"/>
      <c r="B413" s="81"/>
      <c r="C413" s="412"/>
      <c r="D413" s="76"/>
      <c r="E413" s="412"/>
      <c r="F413" s="412"/>
      <c r="G413" s="412"/>
      <c r="H413" s="412"/>
      <c r="I413" s="412"/>
      <c r="J413" s="412"/>
      <c r="K413" s="368"/>
      <c r="L413" s="368"/>
      <c r="M413" s="368"/>
      <c r="N413" s="368"/>
      <c r="O413" s="368"/>
    </row>
    <row r="414" spans="1:15" s="57" customFormat="1">
      <c r="A414" s="77" t="s">
        <v>55</v>
      </c>
      <c r="B414" s="195" t="s">
        <v>248</v>
      </c>
      <c r="C414" s="411"/>
      <c r="D414" s="79"/>
      <c r="E414" s="411"/>
      <c r="F414" s="411"/>
      <c r="G414" s="411"/>
      <c r="H414" s="411"/>
      <c r="I414" s="411"/>
      <c r="J414" s="411"/>
      <c r="K414" s="411"/>
      <c r="L414" s="411"/>
      <c r="M414" s="411"/>
      <c r="N414" s="411"/>
      <c r="O414" s="411"/>
    </row>
    <row r="415" spans="1:15" s="57" customFormat="1" ht="28.8">
      <c r="A415" s="74" t="s">
        <v>16</v>
      </c>
      <c r="B415" s="81" t="s">
        <v>249</v>
      </c>
      <c r="C415" s="394">
        <v>6</v>
      </c>
      <c r="D415" s="280" t="s">
        <v>27</v>
      </c>
      <c r="E415" s="450">
        <v>423</v>
      </c>
      <c r="F415" s="109">
        <f>E415*C415</f>
        <v>2538</v>
      </c>
      <c r="G415" s="439">
        <f>'Measurement sheet'!F576</f>
        <v>12</v>
      </c>
      <c r="H415" s="438">
        <f>ROUND(G415,2)</f>
        <v>12</v>
      </c>
      <c r="I415" s="438">
        <f>H415*E415</f>
        <v>5076</v>
      </c>
      <c r="J415" s="438">
        <f>G415-C415</f>
        <v>6</v>
      </c>
      <c r="K415" s="438">
        <f>I415-F415</f>
        <v>2538</v>
      </c>
      <c r="L415" s="438">
        <f>IF(F415&lt;I415,(I415-F415),0)</f>
        <v>2538</v>
      </c>
      <c r="M415" s="438">
        <f>IF(F415&gt;I415,(I415-F415),0)</f>
        <v>0</v>
      </c>
      <c r="N415" s="438">
        <f>M415+L415</f>
        <v>2538</v>
      </c>
      <c r="O415" s="478" t="s">
        <v>1610</v>
      </c>
    </row>
    <row r="416" spans="1:15" s="57" customFormat="1">
      <c r="A416" s="74"/>
      <c r="B416" s="81"/>
      <c r="C416" s="415"/>
      <c r="D416" s="321"/>
      <c r="E416" s="415"/>
      <c r="F416" s="415"/>
      <c r="G416" s="415"/>
      <c r="H416" s="415"/>
      <c r="I416" s="415"/>
      <c r="J416" s="415"/>
      <c r="K416" s="368"/>
      <c r="L416" s="368"/>
      <c r="M416" s="368"/>
      <c r="N416" s="368"/>
      <c r="O416" s="368"/>
    </row>
    <row r="417" spans="1:15" s="57" customFormat="1" ht="26.4">
      <c r="A417" s="77" t="s">
        <v>57</v>
      </c>
      <c r="B417" s="195" t="s">
        <v>250</v>
      </c>
      <c r="C417" s="411"/>
      <c r="D417" s="79"/>
      <c r="E417" s="411"/>
      <c r="F417" s="411"/>
      <c r="G417" s="411"/>
      <c r="H417" s="411"/>
      <c r="I417" s="411"/>
      <c r="J417" s="411"/>
      <c r="K417" s="411"/>
      <c r="L417" s="411"/>
      <c r="M417" s="411"/>
      <c r="N417" s="411"/>
      <c r="O417" s="411"/>
    </row>
    <row r="418" spans="1:15" s="57" customFormat="1">
      <c r="A418" s="74" t="s">
        <v>16</v>
      </c>
      <c r="B418" s="81" t="s">
        <v>251</v>
      </c>
      <c r="C418" s="394"/>
      <c r="D418" s="280" t="s">
        <v>27</v>
      </c>
      <c r="E418" s="449">
        <v>4025</v>
      </c>
      <c r="F418" s="109">
        <f>E418*C418</f>
        <v>0</v>
      </c>
      <c r="G418" s="436"/>
      <c r="H418" s="438">
        <f>ROUND(G418,2)</f>
        <v>0</v>
      </c>
      <c r="I418" s="438">
        <f>H418*E418</f>
        <v>0</v>
      </c>
      <c r="J418" s="438">
        <f>G418-C418</f>
        <v>0</v>
      </c>
      <c r="K418" s="438">
        <f>I418-F418</f>
        <v>0</v>
      </c>
      <c r="L418" s="438">
        <f>IF(F418&lt;I418,(I418-F418),0)</f>
        <v>0</v>
      </c>
      <c r="M418" s="438">
        <f>IF(F418&gt;I418,(I418-F418),0)</f>
        <v>0</v>
      </c>
      <c r="N418" s="438">
        <f>M418+L418</f>
        <v>0</v>
      </c>
      <c r="O418" s="368"/>
    </row>
    <row r="419" spans="1:15" s="57" customFormat="1">
      <c r="A419" s="74"/>
      <c r="B419" s="81"/>
      <c r="C419" s="395"/>
      <c r="D419" s="280"/>
      <c r="E419" s="395"/>
      <c r="F419" s="395"/>
      <c r="G419" s="395"/>
      <c r="H419" s="395"/>
      <c r="I419" s="395"/>
      <c r="J419" s="395"/>
      <c r="K419" s="368"/>
      <c r="L419" s="368"/>
      <c r="M419" s="368"/>
      <c r="N419" s="368"/>
      <c r="O419" s="368"/>
    </row>
    <row r="420" spans="1:15" s="57" customFormat="1">
      <c r="A420" s="77" t="s">
        <v>60</v>
      </c>
      <c r="B420" s="195" t="s">
        <v>252</v>
      </c>
      <c r="C420" s="411"/>
      <c r="D420" s="79"/>
      <c r="E420" s="411"/>
      <c r="F420" s="411"/>
      <c r="G420" s="411"/>
      <c r="H420" s="411"/>
      <c r="I420" s="411"/>
      <c r="J420" s="411"/>
      <c r="K420" s="411"/>
      <c r="L420" s="411"/>
      <c r="M420" s="411"/>
      <c r="N420" s="411"/>
      <c r="O420" s="411"/>
    </row>
    <row r="421" spans="1:15" s="57" customFormat="1" ht="118.8">
      <c r="A421" s="74" t="s">
        <v>16</v>
      </c>
      <c r="B421" s="81" t="s">
        <v>253</v>
      </c>
      <c r="C421" s="394"/>
      <c r="D421" s="280" t="s">
        <v>18</v>
      </c>
      <c r="E421" s="449">
        <v>220</v>
      </c>
      <c r="F421" s="109">
        <f>E421*C421</f>
        <v>0</v>
      </c>
      <c r="G421" s="436"/>
      <c r="H421" s="438">
        <f>ROUND(G421,2)</f>
        <v>0</v>
      </c>
      <c r="I421" s="438">
        <f>H421*E421</f>
        <v>0</v>
      </c>
      <c r="J421" s="438">
        <f>G421-C421</f>
        <v>0</v>
      </c>
      <c r="K421" s="438">
        <f>I421-F421</f>
        <v>0</v>
      </c>
      <c r="L421" s="438">
        <f>IF(F421&lt;I421,(I421-F421),0)</f>
        <v>0</v>
      </c>
      <c r="M421" s="438">
        <f>IF(F421&gt;I421,(I421-F421),0)</f>
        <v>0</v>
      </c>
      <c r="N421" s="438">
        <f>M421+L421</f>
        <v>0</v>
      </c>
      <c r="O421" s="368"/>
    </row>
    <row r="422" spans="1:15" s="57" customFormat="1" ht="66">
      <c r="A422" s="74" t="s">
        <v>19</v>
      </c>
      <c r="B422" s="322" t="s">
        <v>254</v>
      </c>
      <c r="C422" s="394"/>
      <c r="D422" s="71" t="s">
        <v>18</v>
      </c>
      <c r="E422" s="440">
        <v>211</v>
      </c>
      <c r="F422" s="109">
        <f>E422*C422</f>
        <v>0</v>
      </c>
      <c r="G422" s="436"/>
      <c r="H422" s="438">
        <f>ROUND(G422,2)</f>
        <v>0</v>
      </c>
      <c r="I422" s="438">
        <f>H422*E422</f>
        <v>0</v>
      </c>
      <c r="J422" s="438">
        <f>G422-C422</f>
        <v>0</v>
      </c>
      <c r="K422" s="438">
        <f>I422-F422</f>
        <v>0</v>
      </c>
      <c r="L422" s="438">
        <f>IF(F422&lt;I422,(I422-F422),0)</f>
        <v>0</v>
      </c>
      <c r="M422" s="438">
        <f>IF(F422&gt;I422,(I422-F422),0)</f>
        <v>0</v>
      </c>
      <c r="N422" s="438">
        <f>M422+L422</f>
        <v>0</v>
      </c>
      <c r="O422" s="368"/>
    </row>
    <row r="423" spans="1:15" s="57" customFormat="1">
      <c r="A423" s="74"/>
      <c r="B423" s="81"/>
      <c r="C423" s="395"/>
      <c r="D423" s="280"/>
      <c r="E423" s="395"/>
      <c r="F423" s="395"/>
      <c r="G423" s="395"/>
      <c r="H423" s="395"/>
      <c r="I423" s="395"/>
      <c r="J423" s="395"/>
      <c r="K423" s="368"/>
      <c r="L423" s="368"/>
      <c r="M423" s="368"/>
      <c r="N423" s="368"/>
      <c r="O423" s="368"/>
    </row>
    <row r="424" spans="1:15" s="57" customFormat="1" ht="26.4">
      <c r="A424" s="77" t="s">
        <v>135</v>
      </c>
      <c r="B424" s="195" t="s">
        <v>255</v>
      </c>
      <c r="C424" s="411"/>
      <c r="D424" s="79"/>
      <c r="E424" s="411"/>
      <c r="F424" s="411"/>
      <c r="G424" s="411"/>
      <c r="H424" s="411"/>
      <c r="I424" s="411"/>
      <c r="J424" s="411"/>
      <c r="K424" s="411"/>
      <c r="L424" s="411"/>
      <c r="M424" s="411"/>
      <c r="N424" s="411"/>
      <c r="O424" s="411"/>
    </row>
    <row r="425" spans="1:15" s="57" customFormat="1" ht="145.19999999999999">
      <c r="A425" s="74" t="s">
        <v>16</v>
      </c>
      <c r="B425" s="81" t="s">
        <v>256</v>
      </c>
      <c r="C425" s="394"/>
      <c r="D425" s="280" t="s">
        <v>74</v>
      </c>
      <c r="E425" s="449">
        <v>243</v>
      </c>
      <c r="F425" s="109">
        <f>E425*C425</f>
        <v>0</v>
      </c>
      <c r="G425" s="436"/>
      <c r="H425" s="438">
        <f>ROUND(G425,2)</f>
        <v>0</v>
      </c>
      <c r="I425" s="438">
        <f>H425*E425</f>
        <v>0</v>
      </c>
      <c r="J425" s="438">
        <f>G425-C425</f>
        <v>0</v>
      </c>
      <c r="K425" s="438">
        <f>I425-F425</f>
        <v>0</v>
      </c>
      <c r="L425" s="438">
        <f>IF(F425&lt;I425,(I425-F425),0)</f>
        <v>0</v>
      </c>
      <c r="M425" s="438">
        <f>IF(F425&gt;I425,(I425-F425),0)</f>
        <v>0</v>
      </c>
      <c r="N425" s="438">
        <f>M425+L425</f>
        <v>0</v>
      </c>
      <c r="O425" s="368"/>
    </row>
    <row r="426" spans="1:15" s="57" customFormat="1" ht="132">
      <c r="A426" s="74" t="s">
        <v>19</v>
      </c>
      <c r="B426" s="81" t="s">
        <v>1365</v>
      </c>
      <c r="C426" s="394"/>
      <c r="D426" s="280" t="s">
        <v>74</v>
      </c>
      <c r="E426" s="449">
        <v>262</v>
      </c>
      <c r="F426" s="109">
        <f>E426*C426</f>
        <v>0</v>
      </c>
      <c r="G426" s="436"/>
      <c r="H426" s="438">
        <f>ROUND(G426,2)</f>
        <v>0</v>
      </c>
      <c r="I426" s="438">
        <f>H426*E426</f>
        <v>0</v>
      </c>
      <c r="J426" s="438">
        <f>G426-C426</f>
        <v>0</v>
      </c>
      <c r="K426" s="438">
        <f>I426-F426</f>
        <v>0</v>
      </c>
      <c r="L426" s="438">
        <f>IF(F426&lt;I426,(I426-F426),0)</f>
        <v>0</v>
      </c>
      <c r="M426" s="438">
        <f>IF(F426&gt;I426,(I426-F426),0)</f>
        <v>0</v>
      </c>
      <c r="N426" s="438">
        <f>M426+L426</f>
        <v>0</v>
      </c>
      <c r="O426" s="368"/>
    </row>
    <row r="427" spans="1:15" s="57" customFormat="1">
      <c r="A427" s="74"/>
      <c r="B427" s="81"/>
      <c r="C427" s="395"/>
      <c r="D427" s="280"/>
      <c r="E427" s="395"/>
      <c r="F427" s="395"/>
      <c r="G427" s="395"/>
      <c r="H427" s="395"/>
      <c r="I427" s="395"/>
      <c r="J427" s="395"/>
      <c r="K427" s="368"/>
      <c r="L427" s="368"/>
      <c r="M427" s="368"/>
      <c r="N427" s="368"/>
      <c r="O427" s="368"/>
    </row>
    <row r="428" spans="1:15" s="57" customFormat="1">
      <c r="A428" s="77" t="s">
        <v>136</v>
      </c>
      <c r="B428" s="195" t="s">
        <v>257</v>
      </c>
      <c r="C428" s="411"/>
      <c r="D428" s="79"/>
      <c r="E428" s="411"/>
      <c r="F428" s="411"/>
      <c r="G428" s="411"/>
      <c r="H428" s="411"/>
      <c r="I428" s="411"/>
      <c r="J428" s="411"/>
      <c r="K428" s="411"/>
      <c r="L428" s="411"/>
      <c r="M428" s="411"/>
      <c r="N428" s="411"/>
      <c r="O428" s="411"/>
    </row>
    <row r="429" spans="1:15" s="57" customFormat="1" ht="118.8">
      <c r="A429" s="74" t="s">
        <v>16</v>
      </c>
      <c r="B429" s="81" t="s">
        <v>258</v>
      </c>
      <c r="C429" s="394">
        <v>1</v>
      </c>
      <c r="D429" s="280" t="s">
        <v>27</v>
      </c>
      <c r="E429" s="449">
        <v>3326</v>
      </c>
      <c r="F429" s="109">
        <f>E429*C429</f>
        <v>3326</v>
      </c>
      <c r="G429" s="439">
        <f>'Measurement sheet'!F578</f>
        <v>1</v>
      </c>
      <c r="H429" s="438">
        <f>ROUND(G429,2)</f>
        <v>1</v>
      </c>
      <c r="I429" s="438">
        <f>H429*E429</f>
        <v>3326</v>
      </c>
      <c r="J429" s="438">
        <f>G429-C429</f>
        <v>0</v>
      </c>
      <c r="K429" s="438">
        <f>I429-F429</f>
        <v>0</v>
      </c>
      <c r="L429" s="438">
        <f>IF(F429&lt;I429,(I429-F429),0)</f>
        <v>0</v>
      </c>
      <c r="M429" s="438">
        <f>IF(F429&gt;I429,(I429-F429),0)</f>
        <v>0</v>
      </c>
      <c r="N429" s="438">
        <f>M429+L429</f>
        <v>0</v>
      </c>
      <c r="O429" s="368"/>
    </row>
    <row r="430" spans="1:15" s="57" customFormat="1">
      <c r="A430" s="74"/>
      <c r="B430" s="81"/>
      <c r="C430" s="412"/>
      <c r="D430" s="76"/>
      <c r="E430" s="412"/>
      <c r="F430" s="412"/>
      <c r="G430" s="412"/>
      <c r="H430" s="412"/>
      <c r="I430" s="412"/>
      <c r="J430" s="412"/>
      <c r="K430" s="368"/>
      <c r="L430" s="368"/>
      <c r="M430" s="368"/>
      <c r="N430" s="368"/>
      <c r="O430" s="368"/>
    </row>
    <row r="431" spans="1:15" s="57" customFormat="1" ht="26.4">
      <c r="A431" s="77" t="s">
        <v>259</v>
      </c>
      <c r="B431" s="195" t="s">
        <v>260</v>
      </c>
      <c r="C431" s="411"/>
      <c r="D431" s="79"/>
      <c r="E431" s="411"/>
      <c r="F431" s="411"/>
      <c r="G431" s="411"/>
      <c r="H431" s="411"/>
      <c r="I431" s="411"/>
      <c r="J431" s="411"/>
      <c r="K431" s="411"/>
      <c r="L431" s="411"/>
      <c r="M431" s="411"/>
      <c r="N431" s="411"/>
      <c r="O431" s="411"/>
    </row>
    <row r="432" spans="1:15" s="57" customFormat="1">
      <c r="A432" s="280" t="s">
        <v>16</v>
      </c>
      <c r="B432" s="75" t="s">
        <v>1366</v>
      </c>
      <c r="C432" s="394">
        <v>1</v>
      </c>
      <c r="D432" s="280" t="s">
        <v>27</v>
      </c>
      <c r="E432" s="449">
        <v>6186</v>
      </c>
      <c r="F432" s="109">
        <f>E432*C432</f>
        <v>6186</v>
      </c>
      <c r="G432" s="439">
        <f>'Measurement sheet'!F580</f>
        <v>1</v>
      </c>
      <c r="H432" s="438">
        <f>ROUND(G432,2)</f>
        <v>1</v>
      </c>
      <c r="I432" s="438">
        <f>H432*E432</f>
        <v>6186</v>
      </c>
      <c r="J432" s="438">
        <f>G432-C432</f>
        <v>0</v>
      </c>
      <c r="K432" s="438">
        <f>I432-F432</f>
        <v>0</v>
      </c>
      <c r="L432" s="438">
        <f>IF(F432&lt;I432,(I432-F432),0)</f>
        <v>0</v>
      </c>
      <c r="M432" s="438">
        <f>IF(F432&gt;I432,(I432-F432),0)</f>
        <v>0</v>
      </c>
      <c r="N432" s="438">
        <f>M432+L432</f>
        <v>0</v>
      </c>
      <c r="O432" s="368"/>
    </row>
    <row r="433" spans="1:15" s="57" customFormat="1">
      <c r="A433" s="280" t="s">
        <v>19</v>
      </c>
      <c r="B433" s="75" t="s">
        <v>1367</v>
      </c>
      <c r="C433" s="394"/>
      <c r="D433" s="280" t="s">
        <v>27</v>
      </c>
      <c r="E433" s="449">
        <v>7909</v>
      </c>
      <c r="F433" s="109">
        <f>E433*C433</f>
        <v>0</v>
      </c>
      <c r="G433" s="436"/>
      <c r="H433" s="438">
        <f>ROUND(G433,2)</f>
        <v>0</v>
      </c>
      <c r="I433" s="438">
        <f>H433*E433</f>
        <v>0</v>
      </c>
      <c r="J433" s="438">
        <f>G433-C433</f>
        <v>0</v>
      </c>
      <c r="K433" s="438">
        <f>I433-F433</f>
        <v>0</v>
      </c>
      <c r="L433" s="438">
        <f>IF(F433&lt;I433,(I433-F433),0)</f>
        <v>0</v>
      </c>
      <c r="M433" s="438">
        <f>IF(F433&gt;I433,(I433-F433),0)</f>
        <v>0</v>
      </c>
      <c r="N433" s="438">
        <f>M433+L433</f>
        <v>0</v>
      </c>
      <c r="O433" s="368"/>
    </row>
    <row r="434" spans="1:15" s="57" customFormat="1">
      <c r="A434" s="280" t="s">
        <v>21</v>
      </c>
      <c r="B434" s="75" t="s">
        <v>1368</v>
      </c>
      <c r="C434" s="394"/>
      <c r="D434" s="280" t="s">
        <v>27</v>
      </c>
      <c r="E434" s="449">
        <v>9513</v>
      </c>
      <c r="F434" s="109">
        <f>E434*C434</f>
        <v>0</v>
      </c>
      <c r="G434" s="436"/>
      <c r="H434" s="438">
        <f>ROUND(G434,2)</f>
        <v>0</v>
      </c>
      <c r="I434" s="438">
        <f>H434*E434</f>
        <v>0</v>
      </c>
      <c r="J434" s="438">
        <f>G434-C434</f>
        <v>0</v>
      </c>
      <c r="K434" s="438">
        <f>I434-F434</f>
        <v>0</v>
      </c>
      <c r="L434" s="438">
        <f>IF(F434&lt;I434,(I434-F434),0)</f>
        <v>0</v>
      </c>
      <c r="M434" s="438">
        <f>IF(F434&gt;I434,(I434-F434),0)</f>
        <v>0</v>
      </c>
      <c r="N434" s="438">
        <f>M434+L434</f>
        <v>0</v>
      </c>
      <c r="O434" s="368"/>
    </row>
    <row r="435" spans="1:15" s="57" customFormat="1">
      <c r="A435" s="74"/>
      <c r="B435" s="81"/>
      <c r="C435" s="412"/>
      <c r="D435" s="76"/>
      <c r="E435" s="412"/>
      <c r="F435" s="412"/>
      <c r="G435" s="412"/>
      <c r="H435" s="412"/>
      <c r="I435" s="412"/>
      <c r="J435" s="412"/>
      <c r="K435" s="368"/>
      <c r="L435" s="368"/>
      <c r="M435" s="368"/>
      <c r="N435" s="368"/>
      <c r="O435" s="368"/>
    </row>
    <row r="436" spans="1:15" s="57" customFormat="1">
      <c r="A436" s="77" t="s">
        <v>261</v>
      </c>
      <c r="B436" s="195" t="s">
        <v>262</v>
      </c>
      <c r="C436" s="411"/>
      <c r="D436" s="79"/>
      <c r="E436" s="411"/>
      <c r="F436" s="411"/>
      <c r="G436" s="411"/>
      <c r="H436" s="411"/>
      <c r="I436" s="411"/>
      <c r="J436" s="411"/>
      <c r="K436" s="411"/>
      <c r="L436" s="411"/>
      <c r="M436" s="411"/>
      <c r="N436" s="411"/>
      <c r="O436" s="411"/>
    </row>
    <row r="437" spans="1:15" s="57" customFormat="1">
      <c r="A437" s="74" t="s">
        <v>16</v>
      </c>
      <c r="B437" s="81" t="s">
        <v>263</v>
      </c>
      <c r="C437" s="394">
        <v>15</v>
      </c>
      <c r="D437" s="280" t="s">
        <v>27</v>
      </c>
      <c r="E437" s="449">
        <v>95</v>
      </c>
      <c r="F437" s="109">
        <f t="shared" ref="F437:F450" si="96">E437*C437</f>
        <v>1425</v>
      </c>
      <c r="G437" s="439">
        <f>'Measurement sheet'!F582</f>
        <v>0</v>
      </c>
      <c r="H437" s="438">
        <f t="shared" ref="H437:H450" si="97">ROUND(G437,2)</f>
        <v>0</v>
      </c>
      <c r="I437" s="438">
        <f t="shared" ref="I437:I450" si="98">H437*E437</f>
        <v>0</v>
      </c>
      <c r="J437" s="438">
        <f t="shared" ref="J437:J450" si="99">G437-C437</f>
        <v>-15</v>
      </c>
      <c r="K437" s="438">
        <f t="shared" ref="K437:K450" si="100">I437-F437</f>
        <v>-1425</v>
      </c>
      <c r="L437" s="438">
        <f t="shared" ref="L437:L450" si="101">IF(F437&lt;I437,(I437-F437),0)</f>
        <v>0</v>
      </c>
      <c r="M437" s="438">
        <f t="shared" ref="M437:M450" si="102">IF(F437&gt;I437,(I437-F437),0)</f>
        <v>-1425</v>
      </c>
      <c r="N437" s="438">
        <f t="shared" ref="N437:N450" si="103">M437+L437</f>
        <v>-1425</v>
      </c>
      <c r="O437" s="368"/>
    </row>
    <row r="438" spans="1:15" s="57" customFormat="1" ht="26.4">
      <c r="A438" s="74" t="s">
        <v>19</v>
      </c>
      <c r="B438" s="81" t="s">
        <v>264</v>
      </c>
      <c r="C438" s="394">
        <v>1</v>
      </c>
      <c r="D438" s="280" t="s">
        <v>27</v>
      </c>
      <c r="E438" s="449">
        <v>137</v>
      </c>
      <c r="F438" s="109">
        <f t="shared" si="96"/>
        <v>137</v>
      </c>
      <c r="G438" s="439">
        <f>'Measurement sheet'!F583</f>
        <v>0</v>
      </c>
      <c r="H438" s="438">
        <f t="shared" si="97"/>
        <v>0</v>
      </c>
      <c r="I438" s="438">
        <f t="shared" si="98"/>
        <v>0</v>
      </c>
      <c r="J438" s="438">
        <f t="shared" si="99"/>
        <v>-1</v>
      </c>
      <c r="K438" s="438">
        <f t="shared" si="100"/>
        <v>-137</v>
      </c>
      <c r="L438" s="438">
        <f t="shared" si="101"/>
        <v>0</v>
      </c>
      <c r="M438" s="438">
        <f t="shared" si="102"/>
        <v>-137</v>
      </c>
      <c r="N438" s="438">
        <f t="shared" si="103"/>
        <v>-137</v>
      </c>
      <c r="O438" s="368"/>
    </row>
    <row r="439" spans="1:15" s="57" customFormat="1" ht="26.4">
      <c r="A439" s="74" t="s">
        <v>21</v>
      </c>
      <c r="B439" s="81" t="s">
        <v>265</v>
      </c>
      <c r="C439" s="394"/>
      <c r="D439" s="71" t="s">
        <v>18</v>
      </c>
      <c r="E439" s="449">
        <v>286</v>
      </c>
      <c r="F439" s="109">
        <f t="shared" si="96"/>
        <v>0</v>
      </c>
      <c r="G439" s="436"/>
      <c r="H439" s="438">
        <f t="shared" si="97"/>
        <v>0</v>
      </c>
      <c r="I439" s="438">
        <f t="shared" si="98"/>
        <v>0</v>
      </c>
      <c r="J439" s="438">
        <f t="shared" si="99"/>
        <v>0</v>
      </c>
      <c r="K439" s="438">
        <f t="shared" si="100"/>
        <v>0</v>
      </c>
      <c r="L439" s="438">
        <f t="shared" si="101"/>
        <v>0</v>
      </c>
      <c r="M439" s="438">
        <f t="shared" si="102"/>
        <v>0</v>
      </c>
      <c r="N439" s="438">
        <f t="shared" si="103"/>
        <v>0</v>
      </c>
      <c r="O439" s="368"/>
    </row>
    <row r="440" spans="1:15" s="57" customFormat="1" ht="39.6">
      <c r="A440" s="74" t="s">
        <v>23</v>
      </c>
      <c r="B440" s="81" t="s">
        <v>266</v>
      </c>
      <c r="C440" s="394"/>
      <c r="D440" s="71" t="s">
        <v>18</v>
      </c>
      <c r="E440" s="449">
        <v>548</v>
      </c>
      <c r="F440" s="109">
        <f t="shared" si="96"/>
        <v>0</v>
      </c>
      <c r="G440" s="436"/>
      <c r="H440" s="438">
        <f t="shared" si="97"/>
        <v>0</v>
      </c>
      <c r="I440" s="438">
        <f t="shared" si="98"/>
        <v>0</v>
      </c>
      <c r="J440" s="438">
        <f t="shared" si="99"/>
        <v>0</v>
      </c>
      <c r="K440" s="438">
        <f t="shared" si="100"/>
        <v>0</v>
      </c>
      <c r="L440" s="438">
        <f t="shared" si="101"/>
        <v>0</v>
      </c>
      <c r="M440" s="438">
        <f t="shared" si="102"/>
        <v>0</v>
      </c>
      <c r="N440" s="438">
        <f t="shared" si="103"/>
        <v>0</v>
      </c>
      <c r="O440" s="368"/>
    </row>
    <row r="441" spans="1:15" s="57" customFormat="1" ht="57.6">
      <c r="A441" s="74" t="s">
        <v>25</v>
      </c>
      <c r="B441" s="81" t="s">
        <v>267</v>
      </c>
      <c r="C441" s="394">
        <v>1</v>
      </c>
      <c r="D441" s="76" t="s">
        <v>268</v>
      </c>
      <c r="E441" s="449">
        <v>15466</v>
      </c>
      <c r="F441" s="109">
        <f t="shared" si="96"/>
        <v>15466</v>
      </c>
      <c r="G441" s="439">
        <f>'Measurement sheet'!F584</f>
        <v>1</v>
      </c>
      <c r="H441" s="438">
        <f t="shared" si="97"/>
        <v>1</v>
      </c>
      <c r="I441" s="438">
        <f t="shared" si="98"/>
        <v>15466</v>
      </c>
      <c r="J441" s="438">
        <f t="shared" si="99"/>
        <v>0</v>
      </c>
      <c r="K441" s="438">
        <f t="shared" si="100"/>
        <v>0</v>
      </c>
      <c r="L441" s="438">
        <f t="shared" si="101"/>
        <v>0</v>
      </c>
      <c r="M441" s="438">
        <f t="shared" si="102"/>
        <v>0</v>
      </c>
      <c r="N441" s="438">
        <f t="shared" si="103"/>
        <v>0</v>
      </c>
      <c r="O441" s="487" t="s">
        <v>1613</v>
      </c>
    </row>
    <row r="442" spans="1:15" s="57" customFormat="1">
      <c r="A442" s="74" t="s">
        <v>28</v>
      </c>
      <c r="B442" s="81" t="s">
        <v>269</v>
      </c>
      <c r="C442" s="394"/>
      <c r="D442" s="71" t="s">
        <v>18</v>
      </c>
      <c r="E442" s="449">
        <v>129</v>
      </c>
      <c r="F442" s="109">
        <f t="shared" si="96"/>
        <v>0</v>
      </c>
      <c r="G442" s="436"/>
      <c r="H442" s="438">
        <f t="shared" si="97"/>
        <v>0</v>
      </c>
      <c r="I442" s="438">
        <f t="shared" si="98"/>
        <v>0</v>
      </c>
      <c r="J442" s="438">
        <f t="shared" si="99"/>
        <v>0</v>
      </c>
      <c r="K442" s="438">
        <f t="shared" si="100"/>
        <v>0</v>
      </c>
      <c r="L442" s="438">
        <f t="shared" si="101"/>
        <v>0</v>
      </c>
      <c r="M442" s="438">
        <f t="shared" si="102"/>
        <v>0</v>
      </c>
      <c r="N442" s="438">
        <f t="shared" si="103"/>
        <v>0</v>
      </c>
      <c r="O442" s="368"/>
    </row>
    <row r="443" spans="1:15" s="57" customFormat="1" ht="211.2">
      <c r="A443" s="74" t="s">
        <v>30</v>
      </c>
      <c r="B443" s="81" t="s">
        <v>270</v>
      </c>
      <c r="C443" s="394"/>
      <c r="D443" s="71" t="s">
        <v>18</v>
      </c>
      <c r="E443" s="449">
        <v>805</v>
      </c>
      <c r="F443" s="109">
        <f t="shared" si="96"/>
        <v>0</v>
      </c>
      <c r="G443" s="436"/>
      <c r="H443" s="438">
        <f t="shared" si="97"/>
        <v>0</v>
      </c>
      <c r="I443" s="438">
        <f t="shared" si="98"/>
        <v>0</v>
      </c>
      <c r="J443" s="438">
        <f t="shared" si="99"/>
        <v>0</v>
      </c>
      <c r="K443" s="438">
        <f t="shared" si="100"/>
        <v>0</v>
      </c>
      <c r="L443" s="438">
        <f t="shared" si="101"/>
        <v>0</v>
      </c>
      <c r="M443" s="438">
        <f t="shared" si="102"/>
        <v>0</v>
      </c>
      <c r="N443" s="438">
        <f t="shared" si="103"/>
        <v>0</v>
      </c>
      <c r="O443" s="368"/>
    </row>
    <row r="444" spans="1:15" s="57" customFormat="1" ht="52.8">
      <c r="A444" s="74" t="s">
        <v>32</v>
      </c>
      <c r="B444" s="81" t="s">
        <v>271</v>
      </c>
      <c r="C444" s="394">
        <v>1100</v>
      </c>
      <c r="D444" s="76" t="s">
        <v>74</v>
      </c>
      <c r="E444" s="449">
        <v>101</v>
      </c>
      <c r="F444" s="109">
        <f t="shared" si="96"/>
        <v>111100</v>
      </c>
      <c r="G444" s="439">
        <f>'Measurement sheet'!F594</f>
        <v>617.18000000000006</v>
      </c>
      <c r="H444" s="438">
        <f t="shared" si="97"/>
        <v>617.17999999999995</v>
      </c>
      <c r="I444" s="438">
        <f t="shared" si="98"/>
        <v>62335.179999999993</v>
      </c>
      <c r="J444" s="438">
        <f t="shared" si="99"/>
        <v>-482.81999999999994</v>
      </c>
      <c r="K444" s="438">
        <f t="shared" si="100"/>
        <v>-48764.820000000007</v>
      </c>
      <c r="L444" s="438">
        <f t="shared" si="101"/>
        <v>0</v>
      </c>
      <c r="M444" s="438">
        <f t="shared" si="102"/>
        <v>-48764.820000000007</v>
      </c>
      <c r="N444" s="438">
        <f t="shared" si="103"/>
        <v>-48764.820000000007</v>
      </c>
      <c r="O444" s="368"/>
    </row>
    <row r="445" spans="1:15" s="57" customFormat="1" ht="39.6">
      <c r="A445" s="74" t="s">
        <v>272</v>
      </c>
      <c r="B445" s="81" t="s">
        <v>1369</v>
      </c>
      <c r="C445" s="394">
        <v>2</v>
      </c>
      <c r="D445" s="71" t="s">
        <v>27</v>
      </c>
      <c r="E445" s="449">
        <v>3356</v>
      </c>
      <c r="F445" s="109">
        <f t="shared" si="96"/>
        <v>6712</v>
      </c>
      <c r="G445" s="439">
        <f>'Measurement sheet'!F595</f>
        <v>2</v>
      </c>
      <c r="H445" s="438">
        <f t="shared" si="97"/>
        <v>2</v>
      </c>
      <c r="I445" s="438">
        <f t="shared" si="98"/>
        <v>6712</v>
      </c>
      <c r="J445" s="438">
        <f t="shared" si="99"/>
        <v>0</v>
      </c>
      <c r="K445" s="438">
        <f t="shared" si="100"/>
        <v>0</v>
      </c>
      <c r="L445" s="438">
        <f t="shared" si="101"/>
        <v>0</v>
      </c>
      <c r="M445" s="438">
        <f t="shared" si="102"/>
        <v>0</v>
      </c>
      <c r="N445" s="438">
        <f t="shared" si="103"/>
        <v>0</v>
      </c>
      <c r="O445" s="368"/>
    </row>
    <row r="446" spans="1:15" s="57" customFormat="1" ht="52.8">
      <c r="A446" s="74" t="s">
        <v>36</v>
      </c>
      <c r="B446" s="81" t="s">
        <v>273</v>
      </c>
      <c r="C446" s="394">
        <v>18</v>
      </c>
      <c r="D446" s="71" t="s">
        <v>27</v>
      </c>
      <c r="E446" s="449">
        <v>1695</v>
      </c>
      <c r="F446" s="109">
        <f t="shared" si="96"/>
        <v>30510</v>
      </c>
      <c r="G446" s="439">
        <f>'Measurement sheet'!F596</f>
        <v>18</v>
      </c>
      <c r="H446" s="438">
        <f t="shared" si="97"/>
        <v>18</v>
      </c>
      <c r="I446" s="438">
        <f t="shared" si="98"/>
        <v>30510</v>
      </c>
      <c r="J446" s="438">
        <f t="shared" si="99"/>
        <v>0</v>
      </c>
      <c r="K446" s="438">
        <f t="shared" si="100"/>
        <v>0</v>
      </c>
      <c r="L446" s="438">
        <f t="shared" si="101"/>
        <v>0</v>
      </c>
      <c r="M446" s="438">
        <f t="shared" si="102"/>
        <v>0</v>
      </c>
      <c r="N446" s="438">
        <f t="shared" si="103"/>
        <v>0</v>
      </c>
      <c r="O446" s="368"/>
    </row>
    <row r="447" spans="1:15" s="57" customFormat="1" ht="66">
      <c r="A447" s="74" t="s">
        <v>38</v>
      </c>
      <c r="B447" s="81" t="s">
        <v>274</v>
      </c>
      <c r="C447" s="394">
        <v>3</v>
      </c>
      <c r="D447" s="71" t="s">
        <v>27</v>
      </c>
      <c r="E447" s="449">
        <v>1678</v>
      </c>
      <c r="F447" s="109">
        <f t="shared" si="96"/>
        <v>5034</v>
      </c>
      <c r="G447" s="439">
        <f>'Measurement sheet'!F597</f>
        <v>3</v>
      </c>
      <c r="H447" s="438">
        <f t="shared" si="97"/>
        <v>3</v>
      </c>
      <c r="I447" s="438">
        <f t="shared" si="98"/>
        <v>5034</v>
      </c>
      <c r="J447" s="438">
        <f t="shared" si="99"/>
        <v>0</v>
      </c>
      <c r="K447" s="438">
        <f t="shared" si="100"/>
        <v>0</v>
      </c>
      <c r="L447" s="438">
        <f t="shared" si="101"/>
        <v>0</v>
      </c>
      <c r="M447" s="438">
        <f t="shared" si="102"/>
        <v>0</v>
      </c>
      <c r="N447" s="438">
        <f t="shared" si="103"/>
        <v>0</v>
      </c>
      <c r="O447" s="368"/>
    </row>
    <row r="448" spans="1:15" s="57" customFormat="1" ht="39.6">
      <c r="A448" s="74" t="s">
        <v>40</v>
      </c>
      <c r="B448" s="81" t="s">
        <v>266</v>
      </c>
      <c r="C448" s="394"/>
      <c r="D448" s="71" t="s">
        <v>18</v>
      </c>
      <c r="E448" s="449">
        <v>529</v>
      </c>
      <c r="F448" s="109">
        <f t="shared" si="96"/>
        <v>0</v>
      </c>
      <c r="G448" s="436"/>
      <c r="H448" s="438">
        <f t="shared" si="97"/>
        <v>0</v>
      </c>
      <c r="I448" s="438">
        <f t="shared" si="98"/>
        <v>0</v>
      </c>
      <c r="J448" s="438">
        <f t="shared" si="99"/>
        <v>0</v>
      </c>
      <c r="K448" s="438">
        <f t="shared" si="100"/>
        <v>0</v>
      </c>
      <c r="L448" s="438">
        <f t="shared" si="101"/>
        <v>0</v>
      </c>
      <c r="M448" s="438">
        <f t="shared" si="102"/>
        <v>0</v>
      </c>
      <c r="N448" s="438">
        <f t="shared" si="103"/>
        <v>0</v>
      </c>
      <c r="O448" s="368"/>
    </row>
    <row r="449" spans="1:15" s="57" customFormat="1" ht="39.6">
      <c r="A449" s="74" t="s">
        <v>40</v>
      </c>
      <c r="B449" s="81" t="s">
        <v>275</v>
      </c>
      <c r="C449" s="394"/>
      <c r="D449" s="71" t="s">
        <v>18</v>
      </c>
      <c r="E449" s="449">
        <v>381</v>
      </c>
      <c r="F449" s="109">
        <f t="shared" si="96"/>
        <v>0</v>
      </c>
      <c r="G449" s="436"/>
      <c r="H449" s="438">
        <f t="shared" si="97"/>
        <v>0</v>
      </c>
      <c r="I449" s="438">
        <f t="shared" si="98"/>
        <v>0</v>
      </c>
      <c r="J449" s="438">
        <f t="shared" si="99"/>
        <v>0</v>
      </c>
      <c r="K449" s="438">
        <f t="shared" si="100"/>
        <v>0</v>
      </c>
      <c r="L449" s="438">
        <f t="shared" si="101"/>
        <v>0</v>
      </c>
      <c r="M449" s="438">
        <f t="shared" si="102"/>
        <v>0</v>
      </c>
      <c r="N449" s="438">
        <f t="shared" si="103"/>
        <v>0</v>
      </c>
      <c r="O449" s="368"/>
    </row>
    <row r="450" spans="1:15" s="57" customFormat="1" ht="39.6">
      <c r="A450" s="74" t="s">
        <v>276</v>
      </c>
      <c r="B450" s="81" t="s">
        <v>1370</v>
      </c>
      <c r="C450" s="394">
        <v>230</v>
      </c>
      <c r="D450" s="71" t="s">
        <v>18</v>
      </c>
      <c r="E450" s="449">
        <v>343</v>
      </c>
      <c r="F450" s="109">
        <f t="shared" si="96"/>
        <v>78890</v>
      </c>
      <c r="G450" s="439">
        <f>'Measurement sheet'!F602</f>
        <v>0</v>
      </c>
      <c r="H450" s="438">
        <f t="shared" si="97"/>
        <v>0</v>
      </c>
      <c r="I450" s="438">
        <f t="shared" si="98"/>
        <v>0</v>
      </c>
      <c r="J450" s="438">
        <f t="shared" si="99"/>
        <v>-230</v>
      </c>
      <c r="K450" s="438">
        <f t="shared" si="100"/>
        <v>-78890</v>
      </c>
      <c r="L450" s="438">
        <f t="shared" si="101"/>
        <v>0</v>
      </c>
      <c r="M450" s="438">
        <f t="shared" si="102"/>
        <v>-78890</v>
      </c>
      <c r="N450" s="438">
        <f t="shared" si="103"/>
        <v>-78890</v>
      </c>
      <c r="O450" s="368"/>
    </row>
    <row r="451" spans="1:15" s="57" customFormat="1">
      <c r="A451" s="74"/>
      <c r="B451" s="81"/>
      <c r="C451" s="412"/>
      <c r="D451" s="76"/>
      <c r="E451" s="412"/>
      <c r="F451" s="412"/>
      <c r="G451" s="412"/>
      <c r="H451" s="412"/>
      <c r="I451" s="412"/>
      <c r="J451" s="412"/>
      <c r="K451" s="368"/>
      <c r="L451" s="368"/>
      <c r="M451" s="368"/>
      <c r="N451" s="368"/>
      <c r="O451" s="368"/>
    </row>
    <row r="452" spans="1:15" s="57" customFormat="1">
      <c r="A452" s="77" t="s">
        <v>277</v>
      </c>
      <c r="B452" s="195" t="s">
        <v>278</v>
      </c>
      <c r="C452" s="411"/>
      <c r="D452" s="79"/>
      <c r="E452" s="411"/>
      <c r="F452" s="411"/>
      <c r="G452" s="411"/>
      <c r="H452" s="411"/>
      <c r="I452" s="411"/>
      <c r="J452" s="411"/>
      <c r="K452" s="411"/>
      <c r="L452" s="411"/>
      <c r="M452" s="411"/>
      <c r="N452" s="411"/>
      <c r="O452" s="411"/>
    </row>
    <row r="453" spans="1:15" s="57" customFormat="1" ht="132">
      <c r="A453" s="74" t="s">
        <v>14</v>
      </c>
      <c r="B453" s="75" t="s">
        <v>1371</v>
      </c>
      <c r="C453" s="394"/>
      <c r="D453" s="280" t="s">
        <v>27</v>
      </c>
      <c r="E453" s="440">
        <v>33391</v>
      </c>
      <c r="F453" s="109">
        <f>E453*C453</f>
        <v>0</v>
      </c>
      <c r="G453" s="436"/>
      <c r="H453" s="438">
        <f>ROUND(G453,2)</f>
        <v>0</v>
      </c>
      <c r="I453" s="438">
        <f>H453*E453</f>
        <v>0</v>
      </c>
      <c r="J453" s="438">
        <f>G453-C453</f>
        <v>0</v>
      </c>
      <c r="K453" s="438">
        <f>I453-F453</f>
        <v>0</v>
      </c>
      <c r="L453" s="438">
        <f>IF(F453&lt;I453,(I453-F453),0)</f>
        <v>0</v>
      </c>
      <c r="M453" s="438">
        <f>IF(F453&gt;I453,(I453-F453),0)</f>
        <v>0</v>
      </c>
      <c r="N453" s="438">
        <f>M453+L453</f>
        <v>0</v>
      </c>
      <c r="O453" s="368"/>
    </row>
    <row r="454" spans="1:15" s="57" customFormat="1" ht="26.4">
      <c r="A454" s="74" t="s">
        <v>44</v>
      </c>
      <c r="B454" s="75" t="s">
        <v>279</v>
      </c>
      <c r="C454" s="394"/>
      <c r="D454" s="280" t="s">
        <v>27</v>
      </c>
      <c r="E454" s="440">
        <v>36442</v>
      </c>
      <c r="F454" s="109">
        <f>E454*C454</f>
        <v>0</v>
      </c>
      <c r="G454" s="436"/>
      <c r="H454" s="438">
        <f>ROUND(G454,2)</f>
        <v>0</v>
      </c>
      <c r="I454" s="438">
        <f>H454*E454</f>
        <v>0</v>
      </c>
      <c r="J454" s="438">
        <f>G454-C454</f>
        <v>0</v>
      </c>
      <c r="K454" s="438">
        <f>I454-F454</f>
        <v>0</v>
      </c>
      <c r="L454" s="438">
        <f>IF(F454&lt;I454,(I454-F454),0)</f>
        <v>0</v>
      </c>
      <c r="M454" s="438">
        <f>IF(F454&gt;I454,(I454-F454),0)</f>
        <v>0</v>
      </c>
      <c r="N454" s="438">
        <f>M454+L454</f>
        <v>0</v>
      </c>
      <c r="O454" s="368"/>
    </row>
    <row r="455" spans="1:15" s="57" customFormat="1">
      <c r="A455" s="74"/>
      <c r="B455" s="75"/>
      <c r="C455" s="395"/>
      <c r="D455" s="280"/>
      <c r="E455" s="395"/>
      <c r="F455" s="395"/>
      <c r="G455" s="395"/>
      <c r="H455" s="395"/>
      <c r="I455" s="395"/>
      <c r="J455" s="395"/>
      <c r="K455" s="368"/>
      <c r="L455" s="368"/>
      <c r="M455" s="368"/>
      <c r="N455" s="368"/>
      <c r="O455" s="368"/>
    </row>
    <row r="456" spans="1:15" s="57" customFormat="1">
      <c r="A456" s="362"/>
      <c r="B456" s="359" t="s">
        <v>280</v>
      </c>
      <c r="C456" s="416"/>
      <c r="D456" s="299"/>
      <c r="E456" s="416"/>
      <c r="F456" s="416">
        <f>SUM(F223:F454)</f>
        <v>2147140</v>
      </c>
      <c r="G456" s="403"/>
      <c r="H456" s="416"/>
      <c r="I456" s="416">
        <f>SUM(I223:I454)</f>
        <v>1999427.5899999999</v>
      </c>
      <c r="J456" s="416"/>
      <c r="K456" s="416">
        <f>SUM(K223:K454)</f>
        <v>-147712.41000000006</v>
      </c>
      <c r="L456" s="416">
        <f>SUM(L223:L454)</f>
        <v>364478.61</v>
      </c>
      <c r="M456" s="416">
        <f>SUM(M223:M454)</f>
        <v>-512191.02</v>
      </c>
      <c r="N456" s="416">
        <f>SUM(N223:N454)</f>
        <v>-147712.41000000006</v>
      </c>
      <c r="O456" s="403"/>
    </row>
    <row r="457" spans="1:15" s="57" customFormat="1">
      <c r="A457" s="300"/>
      <c r="B457" s="300"/>
      <c r="C457" s="408"/>
      <c r="D457" s="316"/>
      <c r="E457" s="408"/>
      <c r="F457" s="408"/>
      <c r="G457" s="408"/>
      <c r="H457" s="408"/>
      <c r="I457" s="408"/>
      <c r="J457" s="408"/>
      <c r="K457" s="368"/>
      <c r="L457" s="368"/>
      <c r="M457" s="368"/>
      <c r="N457" s="368"/>
      <c r="O457" s="368"/>
    </row>
    <row r="458" spans="1:15" s="57" customFormat="1">
      <c r="A458" s="83" t="s">
        <v>5</v>
      </c>
      <c r="B458" s="58" t="s">
        <v>6</v>
      </c>
      <c r="C458" s="409"/>
      <c r="D458" s="84"/>
      <c r="E458" s="409"/>
      <c r="F458" s="409"/>
      <c r="G458" s="59"/>
      <c r="H458" s="392"/>
      <c r="I458" s="392"/>
      <c r="J458" s="392"/>
      <c r="K458" s="392"/>
      <c r="L458" s="392"/>
      <c r="M458" s="392"/>
      <c r="N458" s="392"/>
      <c r="O458" s="392"/>
    </row>
    <row r="459" spans="1:15" s="57" customFormat="1">
      <c r="A459" s="85"/>
      <c r="B459" s="65"/>
      <c r="C459" s="412"/>
      <c r="D459" s="76"/>
      <c r="E459" s="412"/>
      <c r="F459" s="412"/>
      <c r="G459" s="412"/>
      <c r="H459" s="412"/>
      <c r="I459" s="412"/>
      <c r="J459" s="412"/>
      <c r="K459" s="368"/>
      <c r="L459" s="368"/>
      <c r="M459" s="368"/>
      <c r="N459" s="368"/>
      <c r="O459" s="368"/>
    </row>
    <row r="460" spans="1:15" s="57" customFormat="1">
      <c r="A460" s="62" t="s">
        <v>14</v>
      </c>
      <c r="B460" s="60" t="s">
        <v>281</v>
      </c>
      <c r="C460" s="410"/>
      <c r="D460" s="68"/>
      <c r="E460" s="410"/>
      <c r="F460" s="410"/>
      <c r="G460" s="61"/>
      <c r="H460" s="393"/>
      <c r="I460" s="393"/>
      <c r="J460" s="393"/>
      <c r="K460" s="393"/>
      <c r="L460" s="393"/>
      <c r="M460" s="393"/>
      <c r="N460" s="393"/>
      <c r="O460" s="393"/>
    </row>
    <row r="461" spans="1:15" s="57" customFormat="1" ht="105.6">
      <c r="A461" s="74" t="s">
        <v>16</v>
      </c>
      <c r="B461" s="75" t="s">
        <v>1372</v>
      </c>
      <c r="C461" s="394">
        <v>1050</v>
      </c>
      <c r="D461" s="280" t="s">
        <v>18</v>
      </c>
      <c r="E461" s="440">
        <v>25</v>
      </c>
      <c r="F461" s="109">
        <f>E461*C461</f>
        <v>26250</v>
      </c>
      <c r="G461" s="439">
        <f>'Measurement sheet'!F608</f>
        <v>1047.1893</v>
      </c>
      <c r="H461" s="438">
        <f>ROUND(G461,2)</f>
        <v>1047.19</v>
      </c>
      <c r="I461" s="438">
        <f>H461*E461</f>
        <v>26179.75</v>
      </c>
      <c r="J461" s="438">
        <f>G461-C461</f>
        <v>-2.8106999999999971</v>
      </c>
      <c r="K461" s="438">
        <f>I461-F461</f>
        <v>-70.25</v>
      </c>
      <c r="L461" s="438">
        <f>IF(F461&lt;I461,(I461-F461),0)</f>
        <v>0</v>
      </c>
      <c r="M461" s="438">
        <f>IF(F461&gt;I461,(I461-F461),0)</f>
        <v>-70.25</v>
      </c>
      <c r="N461" s="438">
        <f>M461+L461</f>
        <v>-70.25</v>
      </c>
      <c r="O461" s="368"/>
    </row>
    <row r="462" spans="1:15" s="57" customFormat="1">
      <c r="A462" s="74"/>
      <c r="B462" s="81"/>
      <c r="C462" s="395"/>
      <c r="D462" s="280"/>
      <c r="E462" s="395"/>
      <c r="F462" s="395"/>
      <c r="G462" s="395"/>
      <c r="H462" s="395"/>
      <c r="I462" s="395"/>
      <c r="J462" s="395"/>
      <c r="K462" s="368"/>
      <c r="L462" s="368"/>
      <c r="M462" s="368"/>
      <c r="N462" s="368"/>
      <c r="O462" s="368"/>
    </row>
    <row r="463" spans="1:15" s="57" customFormat="1">
      <c r="A463" s="62" t="s">
        <v>44</v>
      </c>
      <c r="B463" s="60" t="s">
        <v>282</v>
      </c>
      <c r="C463" s="410"/>
      <c r="D463" s="68"/>
      <c r="E463" s="410"/>
      <c r="F463" s="410"/>
      <c r="G463" s="61"/>
      <c r="H463" s="393"/>
      <c r="I463" s="393"/>
      <c r="J463" s="393"/>
      <c r="K463" s="393"/>
      <c r="L463" s="393"/>
      <c r="M463" s="393"/>
      <c r="N463" s="393"/>
      <c r="O463" s="393"/>
    </row>
    <row r="464" spans="1:15" s="57" customFormat="1" ht="52.8">
      <c r="A464" s="74" t="s">
        <v>16</v>
      </c>
      <c r="B464" s="75" t="s">
        <v>1373</v>
      </c>
      <c r="C464" s="394">
        <v>300</v>
      </c>
      <c r="D464" s="280" t="s">
        <v>18</v>
      </c>
      <c r="E464" s="440">
        <v>20</v>
      </c>
      <c r="F464" s="109">
        <f>E464*C464</f>
        <v>6000</v>
      </c>
      <c r="G464" s="439">
        <f>'Measurement sheet'!F613</f>
        <v>478.57750000000033</v>
      </c>
      <c r="H464" s="438">
        <f>ROUND(G464,2)</f>
        <v>478.58</v>
      </c>
      <c r="I464" s="438">
        <f>H464*E464</f>
        <v>9571.6</v>
      </c>
      <c r="J464" s="438">
        <f>G464-C464</f>
        <v>178.57750000000033</v>
      </c>
      <c r="K464" s="438">
        <f>I464-F464</f>
        <v>3571.6000000000004</v>
      </c>
      <c r="L464" s="438">
        <f>IF(F464&lt;I464,(I464-F464),0)</f>
        <v>3571.6000000000004</v>
      </c>
      <c r="M464" s="438">
        <f>IF(F464&gt;I464,(I464-F464),0)</f>
        <v>0</v>
      </c>
      <c r="N464" s="438">
        <f>M464+L464</f>
        <v>3571.6000000000004</v>
      </c>
      <c r="O464" s="478" t="s">
        <v>1610</v>
      </c>
    </row>
    <row r="465" spans="1:15" s="57" customFormat="1">
      <c r="A465" s="74"/>
      <c r="B465" s="81"/>
      <c r="C465" s="395"/>
      <c r="D465" s="280"/>
      <c r="E465" s="395"/>
      <c r="F465" s="395"/>
      <c r="G465" s="395"/>
      <c r="H465" s="395"/>
      <c r="I465" s="395"/>
      <c r="J465" s="395"/>
      <c r="K465" s="368"/>
      <c r="L465" s="368"/>
      <c r="M465" s="368"/>
      <c r="N465" s="368"/>
      <c r="O465" s="368"/>
    </row>
    <row r="466" spans="1:15" s="57" customFormat="1" ht="26.4">
      <c r="A466" s="62" t="s">
        <v>46</v>
      </c>
      <c r="B466" s="60" t="s">
        <v>283</v>
      </c>
      <c r="C466" s="410"/>
      <c r="D466" s="68"/>
      <c r="E466" s="410"/>
      <c r="F466" s="410"/>
      <c r="G466" s="61"/>
      <c r="H466" s="393"/>
      <c r="I466" s="393"/>
      <c r="J466" s="393"/>
      <c r="K466" s="393"/>
      <c r="L466" s="393"/>
      <c r="M466" s="393"/>
      <c r="N466" s="393"/>
      <c r="O466" s="393"/>
    </row>
    <row r="467" spans="1:15" s="57" customFormat="1" ht="52.8">
      <c r="A467" s="74" t="s">
        <v>16</v>
      </c>
      <c r="B467" s="81" t="s">
        <v>1374</v>
      </c>
      <c r="C467" s="394">
        <v>520</v>
      </c>
      <c r="D467" s="280" t="s">
        <v>18</v>
      </c>
      <c r="E467" s="440">
        <v>21</v>
      </c>
      <c r="F467" s="109">
        <f>E467*C467</f>
        <v>10920</v>
      </c>
      <c r="G467" s="439">
        <f>'Measurement sheet'!F630</f>
        <v>858.45024999999998</v>
      </c>
      <c r="H467" s="438">
        <f>ROUND(G467,2)</f>
        <v>858.45</v>
      </c>
      <c r="I467" s="438">
        <f>H467*E467</f>
        <v>18027.45</v>
      </c>
      <c r="J467" s="438">
        <f>G467-C467</f>
        <v>338.45024999999998</v>
      </c>
      <c r="K467" s="438">
        <f>I467-F467</f>
        <v>7107.4500000000007</v>
      </c>
      <c r="L467" s="438">
        <f>IF(F467&lt;I467,(I467-F467),0)</f>
        <v>7107.4500000000007</v>
      </c>
      <c r="M467" s="438">
        <f>IF(F467&gt;I467,(I467-F467),0)</f>
        <v>0</v>
      </c>
      <c r="N467" s="438">
        <f>M467+L467</f>
        <v>7107.4500000000007</v>
      </c>
      <c r="O467" s="478" t="s">
        <v>1610</v>
      </c>
    </row>
    <row r="468" spans="1:15" s="57" customFormat="1">
      <c r="A468" s="74"/>
      <c r="B468" s="81"/>
      <c r="C468" s="395"/>
      <c r="D468" s="280"/>
      <c r="E468" s="395"/>
      <c r="F468" s="395"/>
      <c r="G468" s="395"/>
      <c r="H468" s="395"/>
      <c r="I468" s="395"/>
      <c r="J468" s="395"/>
      <c r="K468" s="368"/>
      <c r="L468" s="368"/>
      <c r="M468" s="368"/>
      <c r="N468" s="368"/>
      <c r="O468" s="368"/>
    </row>
    <row r="469" spans="1:15" s="57" customFormat="1">
      <c r="A469" s="62" t="s">
        <v>47</v>
      </c>
      <c r="B469" s="60" t="s">
        <v>284</v>
      </c>
      <c r="C469" s="410"/>
      <c r="D469" s="68"/>
      <c r="E469" s="410"/>
      <c r="F469" s="410"/>
      <c r="G469" s="61"/>
      <c r="H469" s="393"/>
      <c r="I469" s="393"/>
      <c r="J469" s="393"/>
      <c r="K469" s="393"/>
      <c r="L469" s="393"/>
      <c r="M469" s="393"/>
      <c r="N469" s="393"/>
      <c r="O469" s="393"/>
    </row>
    <row r="470" spans="1:15" s="57" customFormat="1" ht="118.8">
      <c r="A470" s="74" t="s">
        <v>16</v>
      </c>
      <c r="B470" s="81" t="s">
        <v>1375</v>
      </c>
      <c r="C470" s="394">
        <v>300</v>
      </c>
      <c r="D470" s="280" t="s">
        <v>18</v>
      </c>
      <c r="E470" s="440">
        <v>16</v>
      </c>
      <c r="F470" s="109">
        <f>E470*C470</f>
        <v>4800</v>
      </c>
      <c r="G470" s="439">
        <f>'Measurement sheet'!F646</f>
        <v>1592.7033999999999</v>
      </c>
      <c r="H470" s="438">
        <f>ROUND(G470,2)</f>
        <v>1592.7</v>
      </c>
      <c r="I470" s="438">
        <f>H470*E470</f>
        <v>25483.200000000001</v>
      </c>
      <c r="J470" s="438">
        <f>G470-C470</f>
        <v>1292.7033999999999</v>
      </c>
      <c r="K470" s="438">
        <f>I470-F470</f>
        <v>20683.2</v>
      </c>
      <c r="L470" s="438">
        <f>IF(F470&lt;I470,(I470-F470),0)</f>
        <v>20683.2</v>
      </c>
      <c r="M470" s="438">
        <f>IF(F470&gt;I470,(I470-F470),0)</f>
        <v>0</v>
      </c>
      <c r="N470" s="438">
        <f>M470+L470</f>
        <v>20683.2</v>
      </c>
      <c r="O470" s="478" t="s">
        <v>1610</v>
      </c>
    </row>
    <row r="471" spans="1:15" s="57" customFormat="1">
      <c r="A471" s="74"/>
      <c r="B471" s="81"/>
      <c r="C471" s="395"/>
      <c r="D471" s="280"/>
      <c r="E471" s="395"/>
      <c r="F471" s="395"/>
      <c r="G471" s="395"/>
      <c r="H471" s="395"/>
      <c r="I471" s="395"/>
      <c r="J471" s="395"/>
      <c r="K471" s="368"/>
      <c r="L471" s="368"/>
      <c r="M471" s="368"/>
      <c r="N471" s="368"/>
      <c r="O471" s="368"/>
    </row>
    <row r="472" spans="1:15" s="57" customFormat="1">
      <c r="A472" s="62" t="s">
        <v>50</v>
      </c>
      <c r="B472" s="60" t="s">
        <v>285</v>
      </c>
      <c r="C472" s="410"/>
      <c r="D472" s="68"/>
      <c r="E472" s="410"/>
      <c r="F472" s="410"/>
      <c r="G472" s="61"/>
      <c r="H472" s="393"/>
      <c r="I472" s="393"/>
      <c r="J472" s="393"/>
      <c r="K472" s="393"/>
      <c r="L472" s="393"/>
      <c r="M472" s="393"/>
      <c r="N472" s="393"/>
      <c r="O472" s="393"/>
    </row>
    <row r="473" spans="1:15" s="57" customFormat="1" ht="92.4">
      <c r="A473" s="74" t="s">
        <v>16</v>
      </c>
      <c r="B473" s="81" t="s">
        <v>1376</v>
      </c>
      <c r="C473" s="394"/>
      <c r="D473" s="280" t="s">
        <v>18</v>
      </c>
      <c r="E473" s="440">
        <v>63</v>
      </c>
      <c r="F473" s="109">
        <f>E473*C473</f>
        <v>0</v>
      </c>
      <c r="G473" s="436"/>
      <c r="H473" s="438">
        <f>ROUND(G473,2)</f>
        <v>0</v>
      </c>
      <c r="I473" s="438">
        <f>H473*E473</f>
        <v>0</v>
      </c>
      <c r="J473" s="438">
        <f>G473-C473</f>
        <v>0</v>
      </c>
      <c r="K473" s="438">
        <f>I473-F473</f>
        <v>0</v>
      </c>
      <c r="L473" s="438">
        <f>IF(F473&lt;I473,(I473-F473),0)</f>
        <v>0</v>
      </c>
      <c r="M473" s="438">
        <f>IF(F473&gt;I473,(I473-F473),0)</f>
        <v>0</v>
      </c>
      <c r="N473" s="438">
        <f>M473+L473</f>
        <v>0</v>
      </c>
      <c r="O473" s="368"/>
    </row>
    <row r="474" spans="1:15" s="57" customFormat="1">
      <c r="A474" s="74"/>
      <c r="B474" s="81"/>
      <c r="C474" s="395"/>
      <c r="D474" s="280"/>
      <c r="E474" s="395"/>
      <c r="F474" s="395"/>
      <c r="G474" s="395"/>
      <c r="H474" s="395"/>
      <c r="I474" s="395"/>
      <c r="J474" s="395"/>
      <c r="K474" s="368"/>
      <c r="L474" s="368"/>
      <c r="M474" s="368"/>
      <c r="N474" s="368"/>
      <c r="O474" s="368"/>
    </row>
    <row r="475" spans="1:15" s="57" customFormat="1">
      <c r="A475" s="62" t="s">
        <v>52</v>
      </c>
      <c r="B475" s="60" t="s">
        <v>286</v>
      </c>
      <c r="C475" s="410"/>
      <c r="D475" s="68"/>
      <c r="E475" s="410"/>
      <c r="F475" s="410"/>
      <c r="G475" s="61"/>
      <c r="H475" s="393"/>
      <c r="I475" s="393"/>
      <c r="J475" s="393"/>
      <c r="K475" s="393"/>
      <c r="L475" s="393"/>
      <c r="M475" s="393"/>
      <c r="N475" s="393"/>
      <c r="O475" s="393"/>
    </row>
    <row r="476" spans="1:15" s="57" customFormat="1" ht="52.8">
      <c r="A476" s="74" t="s">
        <v>16</v>
      </c>
      <c r="B476" s="81" t="s">
        <v>1377</v>
      </c>
      <c r="C476" s="394"/>
      <c r="D476" s="280" t="s">
        <v>18</v>
      </c>
      <c r="E476" s="440">
        <v>102</v>
      </c>
      <c r="F476" s="109">
        <f>E476*C476</f>
        <v>0</v>
      </c>
      <c r="G476" s="436"/>
      <c r="H476" s="438">
        <f>ROUND(G476,2)</f>
        <v>0</v>
      </c>
      <c r="I476" s="438">
        <f>H476*E476</f>
        <v>0</v>
      </c>
      <c r="J476" s="438">
        <f>G476-C476</f>
        <v>0</v>
      </c>
      <c r="K476" s="438">
        <f>I476-F476</f>
        <v>0</v>
      </c>
      <c r="L476" s="438">
        <f>IF(F476&lt;I476,(I476-F476),0)</f>
        <v>0</v>
      </c>
      <c r="M476" s="438">
        <f>IF(F476&gt;I476,(I476-F476),0)</f>
        <v>0</v>
      </c>
      <c r="N476" s="438">
        <f>M476+L476</f>
        <v>0</v>
      </c>
      <c r="O476" s="368"/>
    </row>
    <row r="477" spans="1:15" s="57" customFormat="1">
      <c r="A477" s="74"/>
      <c r="B477" s="81"/>
      <c r="C477" s="395"/>
      <c r="D477" s="280"/>
      <c r="E477" s="395"/>
      <c r="F477" s="395"/>
      <c r="G477" s="395"/>
      <c r="H477" s="395"/>
      <c r="I477" s="395"/>
      <c r="J477" s="395"/>
      <c r="K477" s="368"/>
      <c r="L477" s="368"/>
      <c r="M477" s="368"/>
      <c r="N477" s="368"/>
      <c r="O477" s="368"/>
    </row>
    <row r="478" spans="1:15" s="57" customFormat="1">
      <c r="A478" s="62" t="s">
        <v>53</v>
      </c>
      <c r="B478" s="60" t="s">
        <v>287</v>
      </c>
      <c r="C478" s="410"/>
      <c r="D478" s="68"/>
      <c r="E478" s="410"/>
      <c r="F478" s="410"/>
      <c r="G478" s="61"/>
      <c r="H478" s="393"/>
      <c r="I478" s="393"/>
      <c r="J478" s="393"/>
      <c r="K478" s="393"/>
      <c r="L478" s="393"/>
      <c r="M478" s="393"/>
      <c r="N478" s="393"/>
      <c r="O478" s="393"/>
    </row>
    <row r="479" spans="1:15" s="57" customFormat="1" ht="118.8">
      <c r="A479" s="74" t="s">
        <v>16</v>
      </c>
      <c r="B479" s="81" t="s">
        <v>1378</v>
      </c>
      <c r="C479" s="394">
        <v>360</v>
      </c>
      <c r="D479" s="280" t="s">
        <v>18</v>
      </c>
      <c r="E479" s="440">
        <v>61</v>
      </c>
      <c r="F479" s="109">
        <f>E479*C479</f>
        <v>21960</v>
      </c>
      <c r="G479" s="436"/>
      <c r="H479" s="438">
        <f>ROUND(G479,2)</f>
        <v>0</v>
      </c>
      <c r="I479" s="438">
        <f>H479*E479</f>
        <v>0</v>
      </c>
      <c r="J479" s="438">
        <f>G479-C479</f>
        <v>-360</v>
      </c>
      <c r="K479" s="438">
        <f>I479-F479</f>
        <v>-21960</v>
      </c>
      <c r="L479" s="438">
        <f>IF(F479&lt;I479,(I479-F479),0)</f>
        <v>0</v>
      </c>
      <c r="M479" s="438">
        <f>IF(F479&gt;I479,(I479-F479),0)</f>
        <v>-21960</v>
      </c>
      <c r="N479" s="438">
        <f>M479+L479</f>
        <v>-21960</v>
      </c>
      <c r="O479" s="368"/>
    </row>
    <row r="480" spans="1:15" s="57" customFormat="1">
      <c r="A480" s="74"/>
      <c r="B480" s="81"/>
      <c r="C480" s="395"/>
      <c r="D480" s="280"/>
      <c r="E480" s="395"/>
      <c r="F480" s="395"/>
      <c r="G480" s="395"/>
      <c r="H480" s="395"/>
      <c r="I480" s="395"/>
      <c r="J480" s="395"/>
      <c r="K480" s="368"/>
      <c r="L480" s="368"/>
      <c r="M480" s="368"/>
      <c r="N480" s="368"/>
      <c r="O480" s="368"/>
    </row>
    <row r="481" spans="1:15" s="57" customFormat="1">
      <c r="A481" s="363"/>
      <c r="B481" s="359" t="s">
        <v>288</v>
      </c>
      <c r="C481" s="417"/>
      <c r="D481" s="364"/>
      <c r="E481" s="417"/>
      <c r="F481" s="416">
        <f>SUM(F461:F479)</f>
        <v>69930</v>
      </c>
      <c r="G481" s="403"/>
      <c r="H481" s="416"/>
      <c r="I481" s="416">
        <f>SUM(I461:I479)</f>
        <v>79262</v>
      </c>
      <c r="J481" s="416"/>
      <c r="K481" s="416">
        <f>SUM(K461:K479)</f>
        <v>9332</v>
      </c>
      <c r="L481" s="416">
        <f>SUM(L461:L479)</f>
        <v>31362.25</v>
      </c>
      <c r="M481" s="416">
        <f>SUM(M461:M479)</f>
        <v>-22030.25</v>
      </c>
      <c r="N481" s="416">
        <f>SUM(N461:N479)</f>
        <v>9332</v>
      </c>
      <c r="O481" s="403"/>
    </row>
    <row r="482" spans="1:15" s="57" customFormat="1">
      <c r="A482" s="300"/>
      <c r="B482" s="300"/>
      <c r="C482" s="408"/>
      <c r="D482" s="316"/>
      <c r="E482" s="408"/>
      <c r="F482" s="408"/>
      <c r="G482" s="408"/>
      <c r="H482" s="408"/>
      <c r="I482" s="408"/>
      <c r="J482" s="408"/>
      <c r="K482" s="368"/>
      <c r="L482" s="368"/>
      <c r="M482" s="368"/>
      <c r="N482" s="368"/>
      <c r="O482" s="368"/>
    </row>
    <row r="483" spans="1:15" s="57" customFormat="1">
      <c r="A483" s="83" t="s">
        <v>7</v>
      </c>
      <c r="B483" s="58" t="s">
        <v>289</v>
      </c>
      <c r="C483" s="409"/>
      <c r="D483" s="84"/>
      <c r="E483" s="409"/>
      <c r="F483" s="409"/>
      <c r="G483" s="59"/>
      <c r="H483" s="392"/>
      <c r="I483" s="392"/>
      <c r="J483" s="392"/>
      <c r="K483" s="392"/>
      <c r="L483" s="392"/>
      <c r="M483" s="392"/>
      <c r="N483" s="392"/>
      <c r="O483" s="392"/>
    </row>
    <row r="484" spans="1:15" s="57" customFormat="1">
      <c r="A484" s="106"/>
      <c r="B484" s="65"/>
      <c r="C484" s="418"/>
      <c r="D484" s="323"/>
      <c r="E484" s="418"/>
      <c r="F484" s="418"/>
      <c r="G484" s="396"/>
      <c r="H484" s="418"/>
      <c r="I484" s="418"/>
      <c r="J484" s="418"/>
      <c r="K484" s="368"/>
      <c r="L484" s="368"/>
      <c r="M484" s="368"/>
      <c r="N484" s="368"/>
      <c r="O484" s="368"/>
    </row>
    <row r="485" spans="1:15" s="57" customFormat="1">
      <c r="A485" s="62">
        <v>1</v>
      </c>
      <c r="B485" s="60" t="s">
        <v>290</v>
      </c>
      <c r="C485" s="410"/>
      <c r="D485" s="68"/>
      <c r="E485" s="410"/>
      <c r="F485" s="410"/>
      <c r="G485" s="61"/>
      <c r="H485" s="393"/>
      <c r="I485" s="393"/>
      <c r="J485" s="393"/>
      <c r="K485" s="393"/>
      <c r="L485" s="393"/>
      <c r="M485" s="393"/>
      <c r="N485" s="393"/>
      <c r="O485" s="393"/>
    </row>
    <row r="486" spans="1:15" s="57" customFormat="1" ht="79.2">
      <c r="A486" s="74" t="s">
        <v>14</v>
      </c>
      <c r="B486" s="81" t="s">
        <v>1379</v>
      </c>
      <c r="C486" s="394">
        <v>200</v>
      </c>
      <c r="D486" s="280" t="s">
        <v>18</v>
      </c>
      <c r="E486" s="440">
        <v>144</v>
      </c>
      <c r="F486" s="109">
        <f>E486*C486</f>
        <v>28800</v>
      </c>
      <c r="G486" s="436"/>
      <c r="H486" s="438">
        <f>ROUND(G486,2)</f>
        <v>0</v>
      </c>
      <c r="I486" s="438">
        <f>H486*E486</f>
        <v>0</v>
      </c>
      <c r="J486" s="438">
        <f>G486-C486</f>
        <v>-200</v>
      </c>
      <c r="K486" s="438">
        <f>I486-F486</f>
        <v>-28800</v>
      </c>
      <c r="L486" s="438">
        <f>IF(F486&lt;I486,(I486-F486),0)</f>
        <v>0</v>
      </c>
      <c r="M486" s="438">
        <f>IF(F486&gt;I486,(I486-F486),0)</f>
        <v>-28800</v>
      </c>
      <c r="N486" s="438">
        <f>M486+L486</f>
        <v>-28800</v>
      </c>
      <c r="O486" s="368"/>
    </row>
    <row r="487" spans="1:15" s="57" customFormat="1">
      <c r="A487" s="62">
        <v>2</v>
      </c>
      <c r="B487" s="60" t="s">
        <v>291</v>
      </c>
      <c r="C487" s="410"/>
      <c r="D487" s="68"/>
      <c r="E487" s="410"/>
      <c r="F487" s="410"/>
      <c r="G487" s="61"/>
      <c r="H487" s="393"/>
      <c r="I487" s="393"/>
      <c r="J487" s="393"/>
      <c r="K487" s="393"/>
      <c r="L487" s="393"/>
      <c r="M487" s="393"/>
      <c r="N487" s="393"/>
      <c r="O487" s="393"/>
    </row>
    <row r="488" spans="1:15" s="57" customFormat="1" ht="145.19999999999999">
      <c r="A488" s="74" t="s">
        <v>14</v>
      </c>
      <c r="B488" s="81" t="s">
        <v>1380</v>
      </c>
      <c r="C488" s="394"/>
      <c r="D488" s="280" t="s">
        <v>292</v>
      </c>
      <c r="E488" s="440">
        <v>139</v>
      </c>
      <c r="F488" s="109">
        <f>E488*C488</f>
        <v>0</v>
      </c>
      <c r="G488" s="436"/>
      <c r="H488" s="438">
        <f>ROUND(G488,2)</f>
        <v>0</v>
      </c>
      <c r="I488" s="438">
        <f>H488*E488</f>
        <v>0</v>
      </c>
      <c r="J488" s="438">
        <f>G488-C488</f>
        <v>0</v>
      </c>
      <c r="K488" s="438">
        <f>I488-F488</f>
        <v>0</v>
      </c>
      <c r="L488" s="438">
        <f>IF(F488&lt;I488,(I488-F488),0)</f>
        <v>0</v>
      </c>
      <c r="M488" s="438">
        <f>IF(F488&gt;I488,(I488-F488),0)</f>
        <v>0</v>
      </c>
      <c r="N488" s="438">
        <f>M488+L488</f>
        <v>0</v>
      </c>
      <c r="O488" s="368"/>
    </row>
    <row r="489" spans="1:15" s="57" customFormat="1">
      <c r="A489" s="74"/>
      <c r="B489" s="81"/>
      <c r="C489" s="412"/>
      <c r="D489" s="76"/>
      <c r="E489" s="412"/>
      <c r="F489" s="412"/>
      <c r="G489" s="412"/>
      <c r="H489" s="412"/>
      <c r="I489" s="412"/>
      <c r="J489" s="412"/>
      <c r="K489" s="368"/>
      <c r="L489" s="368"/>
      <c r="M489" s="368"/>
      <c r="N489" s="368"/>
      <c r="O489" s="368"/>
    </row>
    <row r="490" spans="1:15" s="57" customFormat="1">
      <c r="A490" s="324">
        <v>3</v>
      </c>
      <c r="B490" s="60" t="s">
        <v>293</v>
      </c>
      <c r="C490" s="419"/>
      <c r="D490" s="86"/>
      <c r="E490" s="419"/>
      <c r="F490" s="419"/>
      <c r="G490" s="61"/>
      <c r="H490" s="393"/>
      <c r="I490" s="393"/>
      <c r="J490" s="393"/>
      <c r="K490" s="393"/>
      <c r="L490" s="393"/>
      <c r="M490" s="393"/>
      <c r="N490" s="393"/>
      <c r="O490" s="393"/>
    </row>
    <row r="491" spans="1:15" s="57" customFormat="1">
      <c r="A491" s="74"/>
      <c r="B491" s="81"/>
      <c r="C491" s="412"/>
      <c r="D491" s="76"/>
      <c r="E491" s="412"/>
      <c r="F491" s="412"/>
      <c r="G491" s="412"/>
      <c r="H491" s="412"/>
      <c r="I491" s="412"/>
      <c r="J491" s="412"/>
      <c r="K491" s="368"/>
      <c r="L491" s="368"/>
      <c r="M491" s="368"/>
      <c r="N491" s="368"/>
      <c r="O491" s="368"/>
    </row>
    <row r="492" spans="1:15" s="57" customFormat="1" ht="118.8">
      <c r="A492" s="74" t="s">
        <v>14</v>
      </c>
      <c r="B492" s="81" t="s">
        <v>1381</v>
      </c>
      <c r="C492" s="394"/>
      <c r="D492" s="76" t="s">
        <v>18</v>
      </c>
      <c r="E492" s="449">
        <v>247</v>
      </c>
      <c r="F492" s="109">
        <f>E492*C492</f>
        <v>0</v>
      </c>
      <c r="G492" s="436"/>
      <c r="H492" s="438">
        <f>ROUND(G492,2)</f>
        <v>0</v>
      </c>
      <c r="I492" s="438">
        <f>H492*E492</f>
        <v>0</v>
      </c>
      <c r="J492" s="438">
        <f>G492-C492</f>
        <v>0</v>
      </c>
      <c r="K492" s="438">
        <f>I492-F492</f>
        <v>0</v>
      </c>
      <c r="L492" s="438">
        <f>IF(F492&lt;I492,(I492-F492),0)</f>
        <v>0</v>
      </c>
      <c r="M492" s="438">
        <f>IF(F492&gt;I492,(I492-F492),0)</f>
        <v>0</v>
      </c>
      <c r="N492" s="438">
        <f>M492+L492</f>
        <v>0</v>
      </c>
      <c r="O492" s="368"/>
    </row>
    <row r="493" spans="1:15" s="57" customFormat="1">
      <c r="A493" s="74"/>
      <c r="B493" s="81"/>
      <c r="C493" s="412"/>
      <c r="D493" s="76"/>
      <c r="E493" s="412"/>
      <c r="F493" s="412"/>
      <c r="G493" s="412"/>
      <c r="H493" s="412"/>
      <c r="I493" s="412"/>
      <c r="J493" s="412"/>
      <c r="K493" s="368"/>
      <c r="L493" s="368"/>
      <c r="M493" s="368"/>
      <c r="N493" s="368"/>
      <c r="O493" s="368"/>
    </row>
    <row r="494" spans="1:15" s="57" customFormat="1" ht="26.4">
      <c r="A494" s="74" t="s">
        <v>44</v>
      </c>
      <c r="B494" s="81" t="s">
        <v>294</v>
      </c>
      <c r="C494" s="394"/>
      <c r="D494" s="76" t="s">
        <v>59</v>
      </c>
      <c r="E494" s="449">
        <v>7517</v>
      </c>
      <c r="F494" s="109">
        <f>E494*C494</f>
        <v>0</v>
      </c>
      <c r="G494" s="436"/>
      <c r="H494" s="438">
        <f>ROUND(G494,2)</f>
        <v>0</v>
      </c>
      <c r="I494" s="438">
        <f>H494*E494</f>
        <v>0</v>
      </c>
      <c r="J494" s="438">
        <f>G494-C494</f>
        <v>0</v>
      </c>
      <c r="K494" s="438">
        <f>I494-F494</f>
        <v>0</v>
      </c>
      <c r="L494" s="438">
        <f>IF(F494&lt;I494,(I494-F494),0)</f>
        <v>0</v>
      </c>
      <c r="M494" s="438">
        <f>IF(F494&gt;I494,(I494-F494),0)</f>
        <v>0</v>
      </c>
      <c r="N494" s="438">
        <f>M494+L494</f>
        <v>0</v>
      </c>
      <c r="O494" s="368"/>
    </row>
    <row r="495" spans="1:15" s="57" customFormat="1">
      <c r="A495" s="74"/>
      <c r="B495" s="81"/>
      <c r="C495" s="412"/>
      <c r="D495" s="76"/>
      <c r="E495" s="412"/>
      <c r="F495" s="412"/>
      <c r="G495" s="412"/>
      <c r="H495" s="412"/>
      <c r="I495" s="412"/>
      <c r="J495" s="412"/>
      <c r="K495" s="368"/>
      <c r="L495" s="368"/>
      <c r="M495" s="368"/>
      <c r="N495" s="368"/>
      <c r="O495" s="368"/>
    </row>
    <row r="496" spans="1:15" s="57" customFormat="1" ht="39.6">
      <c r="A496" s="74" t="s">
        <v>46</v>
      </c>
      <c r="B496" s="81" t="s">
        <v>295</v>
      </c>
      <c r="C496" s="394"/>
      <c r="D496" s="76" t="s">
        <v>18</v>
      </c>
      <c r="E496" s="449">
        <v>129</v>
      </c>
      <c r="F496" s="109">
        <f>E496*C496</f>
        <v>0</v>
      </c>
      <c r="G496" s="436"/>
      <c r="H496" s="438">
        <f>ROUND(G496,2)</f>
        <v>0</v>
      </c>
      <c r="I496" s="438">
        <f>H496*E496</f>
        <v>0</v>
      </c>
      <c r="J496" s="438">
        <f>G496-C496</f>
        <v>0</v>
      </c>
      <c r="K496" s="438">
        <f>I496-F496</f>
        <v>0</v>
      </c>
      <c r="L496" s="438">
        <f>IF(F496&lt;I496,(I496-F496),0)</f>
        <v>0</v>
      </c>
      <c r="M496" s="438">
        <f>IF(F496&gt;I496,(I496-F496),0)</f>
        <v>0</v>
      </c>
      <c r="N496" s="438">
        <f>M496+L496</f>
        <v>0</v>
      </c>
      <c r="O496" s="368"/>
    </row>
    <row r="497" spans="1:15" s="57" customFormat="1">
      <c r="A497" s="74"/>
      <c r="B497" s="81"/>
      <c r="C497" s="412"/>
      <c r="D497" s="76"/>
      <c r="E497" s="412"/>
      <c r="F497" s="412"/>
      <c r="G497" s="412"/>
      <c r="H497" s="412"/>
      <c r="I497" s="412"/>
      <c r="J497" s="412"/>
      <c r="K497" s="368"/>
      <c r="L497" s="368"/>
      <c r="M497" s="368"/>
      <c r="N497" s="368"/>
      <c r="O497" s="368"/>
    </row>
    <row r="498" spans="1:15" s="57" customFormat="1">
      <c r="A498" s="74" t="s">
        <v>47</v>
      </c>
      <c r="B498" s="81" t="s">
        <v>296</v>
      </c>
      <c r="C498" s="394"/>
      <c r="D498" s="76" t="s">
        <v>59</v>
      </c>
      <c r="E498" s="449">
        <v>7627</v>
      </c>
      <c r="F498" s="109">
        <f>E498*C498</f>
        <v>0</v>
      </c>
      <c r="G498" s="436"/>
      <c r="H498" s="438">
        <f>ROUND(G498,2)</f>
        <v>0</v>
      </c>
      <c r="I498" s="438">
        <f>H498*E498</f>
        <v>0</v>
      </c>
      <c r="J498" s="438">
        <f>G498-C498</f>
        <v>0</v>
      </c>
      <c r="K498" s="438">
        <f>I498-F498</f>
        <v>0</v>
      </c>
      <c r="L498" s="438">
        <f>IF(F498&lt;I498,(I498-F498),0)</f>
        <v>0</v>
      </c>
      <c r="M498" s="438">
        <f>IF(F498&gt;I498,(I498-F498),0)</f>
        <v>0</v>
      </c>
      <c r="N498" s="438">
        <f>M498+L498</f>
        <v>0</v>
      </c>
      <c r="O498" s="368"/>
    </row>
    <row r="499" spans="1:15" s="57" customFormat="1">
      <c r="A499" s="74"/>
      <c r="B499" s="81"/>
      <c r="C499" s="412"/>
      <c r="D499" s="76"/>
      <c r="E499" s="412"/>
      <c r="F499" s="412"/>
      <c r="G499" s="412"/>
      <c r="H499" s="412"/>
      <c r="I499" s="412"/>
      <c r="J499" s="412"/>
      <c r="K499" s="368"/>
      <c r="L499" s="368"/>
      <c r="M499" s="368"/>
      <c r="N499" s="368"/>
      <c r="O499" s="368"/>
    </row>
    <row r="500" spans="1:15" s="57" customFormat="1">
      <c r="A500" s="62">
        <v>4</v>
      </c>
      <c r="B500" s="60" t="s">
        <v>297</v>
      </c>
      <c r="C500" s="410"/>
      <c r="D500" s="68"/>
      <c r="E500" s="410"/>
      <c r="F500" s="410"/>
      <c r="G500" s="61"/>
      <c r="H500" s="393"/>
      <c r="I500" s="393"/>
      <c r="J500" s="393"/>
      <c r="K500" s="393"/>
      <c r="L500" s="393"/>
      <c r="M500" s="393"/>
      <c r="N500" s="393"/>
      <c r="O500" s="393"/>
    </row>
    <row r="501" spans="1:15" s="57" customFormat="1" ht="105.6">
      <c r="A501" s="74" t="s">
        <v>14</v>
      </c>
      <c r="B501" s="81" t="s">
        <v>1382</v>
      </c>
      <c r="C501" s="394"/>
      <c r="D501" s="76" t="s">
        <v>18</v>
      </c>
      <c r="E501" s="449">
        <v>239</v>
      </c>
      <c r="F501" s="109">
        <f>E501*C501</f>
        <v>0</v>
      </c>
      <c r="G501" s="436"/>
      <c r="H501" s="438">
        <f>ROUND(G501,2)</f>
        <v>0</v>
      </c>
      <c r="I501" s="438">
        <f>H501*E501</f>
        <v>0</v>
      </c>
      <c r="J501" s="438">
        <f>G501-C501</f>
        <v>0</v>
      </c>
      <c r="K501" s="438">
        <f>I501-F501</f>
        <v>0</v>
      </c>
      <c r="L501" s="438">
        <f>IF(F501&lt;I501,(I501-F501),0)</f>
        <v>0</v>
      </c>
      <c r="M501" s="438">
        <f>IF(F501&gt;I501,(I501-F501),0)</f>
        <v>0</v>
      </c>
      <c r="N501" s="438">
        <f>M501+L501</f>
        <v>0</v>
      </c>
      <c r="O501" s="368"/>
    </row>
    <row r="502" spans="1:15" s="57" customFormat="1">
      <c r="A502" s="74"/>
      <c r="B502" s="81"/>
      <c r="C502" s="412"/>
      <c r="D502" s="76"/>
      <c r="E502" s="412"/>
      <c r="F502" s="412"/>
      <c r="G502" s="412"/>
      <c r="H502" s="412"/>
      <c r="I502" s="412"/>
      <c r="J502" s="412"/>
      <c r="K502" s="368"/>
      <c r="L502" s="368"/>
      <c r="M502" s="368"/>
      <c r="N502" s="368"/>
      <c r="O502" s="368"/>
    </row>
    <row r="503" spans="1:15" s="57" customFormat="1">
      <c r="A503" s="62">
        <v>5</v>
      </c>
      <c r="B503" s="60" t="s">
        <v>298</v>
      </c>
      <c r="C503" s="410"/>
      <c r="D503" s="68"/>
      <c r="E503" s="410"/>
      <c r="F503" s="410"/>
      <c r="G503" s="61"/>
      <c r="H503" s="393"/>
      <c r="I503" s="393"/>
      <c r="J503" s="393"/>
      <c r="K503" s="393"/>
      <c r="L503" s="393"/>
      <c r="M503" s="393"/>
      <c r="N503" s="393"/>
      <c r="O503" s="393"/>
    </row>
    <row r="504" spans="1:15" s="57" customFormat="1">
      <c r="A504" s="74" t="s">
        <v>14</v>
      </c>
      <c r="B504" s="81" t="s">
        <v>1383</v>
      </c>
      <c r="C504" s="394"/>
      <c r="D504" s="280" t="s">
        <v>18</v>
      </c>
      <c r="E504" s="440">
        <v>466</v>
      </c>
      <c r="F504" s="109">
        <f>E504*C504</f>
        <v>0</v>
      </c>
      <c r="G504" s="436"/>
      <c r="H504" s="438">
        <f>ROUND(G504,2)</f>
        <v>0</v>
      </c>
      <c r="I504" s="438">
        <f>H504*E504</f>
        <v>0</v>
      </c>
      <c r="J504" s="438">
        <f>G504-C504</f>
        <v>0</v>
      </c>
      <c r="K504" s="438">
        <f>I504-F504</f>
        <v>0</v>
      </c>
      <c r="L504" s="438">
        <f>IF(F504&lt;I504,(I504-F504),0)</f>
        <v>0</v>
      </c>
      <c r="M504" s="438">
        <f>IF(F504&gt;I504,(I504-F504),0)</f>
        <v>0</v>
      </c>
      <c r="N504" s="438">
        <f>M504+L504</f>
        <v>0</v>
      </c>
      <c r="O504" s="368"/>
    </row>
    <row r="505" spans="1:15" s="57" customFormat="1">
      <c r="A505" s="74"/>
      <c r="B505" s="81"/>
      <c r="C505" s="395"/>
      <c r="D505" s="280"/>
      <c r="E505" s="395"/>
      <c r="F505" s="395"/>
      <c r="G505" s="395"/>
      <c r="H505" s="395"/>
      <c r="I505" s="395"/>
      <c r="J505" s="395"/>
      <c r="K505" s="368"/>
      <c r="L505" s="368"/>
      <c r="M505" s="368"/>
      <c r="N505" s="368"/>
      <c r="O505" s="368"/>
    </row>
    <row r="506" spans="1:15" s="57" customFormat="1">
      <c r="A506" s="62">
        <v>6</v>
      </c>
      <c r="B506" s="60" t="s">
        <v>299</v>
      </c>
      <c r="C506" s="410"/>
      <c r="D506" s="68"/>
      <c r="E506" s="410"/>
      <c r="F506" s="410"/>
      <c r="G506" s="61"/>
      <c r="H506" s="393"/>
      <c r="I506" s="393"/>
      <c r="J506" s="393"/>
      <c r="K506" s="393"/>
      <c r="L506" s="393"/>
      <c r="M506" s="393"/>
      <c r="N506" s="393"/>
      <c r="O506" s="393"/>
    </row>
    <row r="507" spans="1:15" s="57" customFormat="1" ht="132">
      <c r="A507" s="74" t="s">
        <v>14</v>
      </c>
      <c r="B507" s="81" t="s">
        <v>1384</v>
      </c>
      <c r="C507" s="394"/>
      <c r="D507" s="76" t="s">
        <v>18</v>
      </c>
      <c r="E507" s="449">
        <v>245</v>
      </c>
      <c r="F507" s="109">
        <f>E507*C507</f>
        <v>0</v>
      </c>
      <c r="G507" s="436"/>
      <c r="H507" s="438">
        <f>ROUND(G507,2)</f>
        <v>0</v>
      </c>
      <c r="I507" s="438">
        <f>H507*E507</f>
        <v>0</v>
      </c>
      <c r="J507" s="438">
        <f>G507-C507</f>
        <v>0</v>
      </c>
      <c r="K507" s="438">
        <f>I507-F507</f>
        <v>0</v>
      </c>
      <c r="L507" s="438">
        <f>IF(F507&lt;I507,(I507-F507),0)</f>
        <v>0</v>
      </c>
      <c r="M507" s="438">
        <f>IF(F507&gt;I507,(I507-F507),0)</f>
        <v>0</v>
      </c>
      <c r="N507" s="438">
        <f>M507+L507</f>
        <v>0</v>
      </c>
      <c r="O507" s="368"/>
    </row>
    <row r="508" spans="1:15" s="57" customFormat="1">
      <c r="A508" s="74"/>
      <c r="B508" s="81"/>
      <c r="C508" s="412"/>
      <c r="D508" s="76"/>
      <c r="E508" s="412"/>
      <c r="F508" s="412"/>
      <c r="G508" s="412"/>
      <c r="H508" s="412"/>
      <c r="I508" s="412"/>
      <c r="J508" s="412"/>
      <c r="K508" s="368"/>
      <c r="L508" s="368"/>
      <c r="M508" s="368"/>
      <c r="N508" s="368"/>
      <c r="O508" s="368"/>
    </row>
    <row r="509" spans="1:15" s="57" customFormat="1">
      <c r="A509" s="362"/>
      <c r="B509" s="359" t="s">
        <v>300</v>
      </c>
      <c r="C509" s="416"/>
      <c r="D509" s="299"/>
      <c r="E509" s="416"/>
      <c r="F509" s="416">
        <f>SUM(F486:F507)</f>
        <v>28800</v>
      </c>
      <c r="G509" s="403"/>
      <c r="H509" s="416"/>
      <c r="I509" s="416">
        <f>SUM(I486:I507)</f>
        <v>0</v>
      </c>
      <c r="J509" s="416"/>
      <c r="K509" s="416">
        <f>SUM(K486:K507)</f>
        <v>-28800</v>
      </c>
      <c r="L509" s="416">
        <f>SUM(L486:L507)</f>
        <v>0</v>
      </c>
      <c r="M509" s="416">
        <f>SUM(M486:M507)</f>
        <v>-28800</v>
      </c>
      <c r="N509" s="416">
        <f>SUM(N486:N507)</f>
        <v>-28800</v>
      </c>
      <c r="O509" s="403"/>
    </row>
    <row r="510" spans="1:15" s="57" customFormat="1">
      <c r="A510" s="300"/>
      <c r="B510" s="300"/>
      <c r="C510" s="408"/>
      <c r="D510" s="316"/>
      <c r="E510" s="408"/>
      <c r="F510" s="408"/>
      <c r="G510" s="408"/>
      <c r="H510" s="408"/>
      <c r="I510" s="408"/>
      <c r="J510" s="408"/>
      <c r="K510" s="368"/>
      <c r="L510" s="368"/>
      <c r="M510" s="368"/>
      <c r="N510" s="368"/>
      <c r="O510" s="368"/>
    </row>
    <row r="511" spans="1:15" s="57" customFormat="1">
      <c r="A511" s="83" t="s">
        <v>8</v>
      </c>
      <c r="B511" s="58" t="s">
        <v>301</v>
      </c>
      <c r="C511" s="409"/>
      <c r="D511" s="84"/>
      <c r="E511" s="409"/>
      <c r="F511" s="409"/>
      <c r="G511" s="59"/>
      <c r="H511" s="392"/>
      <c r="I511" s="392"/>
      <c r="J511" s="392"/>
      <c r="K511" s="392"/>
      <c r="L511" s="392"/>
      <c r="M511" s="392"/>
      <c r="N511" s="392"/>
      <c r="O511" s="392"/>
    </row>
    <row r="512" spans="1:15" s="57" customFormat="1">
      <c r="A512" s="281"/>
      <c r="B512" s="282"/>
      <c r="C512" s="420"/>
      <c r="D512" s="284"/>
      <c r="E512" s="420"/>
      <c r="F512" s="420"/>
      <c r="G512" s="431"/>
      <c r="H512" s="420"/>
      <c r="I512" s="420"/>
      <c r="J512" s="420"/>
      <c r="K512" s="368"/>
      <c r="L512" s="368"/>
      <c r="M512" s="368"/>
      <c r="N512" s="368"/>
      <c r="O512" s="368"/>
    </row>
    <row r="513" spans="1:15" s="57" customFormat="1">
      <c r="A513" s="325" t="s">
        <v>302</v>
      </c>
      <c r="B513" s="87" t="s">
        <v>303</v>
      </c>
      <c r="C513" s="421"/>
      <c r="D513" s="88"/>
      <c r="E513" s="421"/>
      <c r="F513" s="421"/>
      <c r="G513" s="421"/>
      <c r="H513" s="421"/>
      <c r="I513" s="421"/>
      <c r="J513" s="421"/>
      <c r="K513" s="421"/>
      <c r="L513" s="421"/>
      <c r="M513" s="421"/>
      <c r="N513" s="421"/>
      <c r="O513" s="421"/>
    </row>
    <row r="514" spans="1:15" s="57" customFormat="1" ht="118.8">
      <c r="A514" s="209"/>
      <c r="B514" s="326" t="s">
        <v>304</v>
      </c>
      <c r="C514" s="422"/>
      <c r="D514" s="212"/>
      <c r="E514" s="422"/>
      <c r="F514" s="422"/>
      <c r="G514" s="422"/>
      <c r="H514" s="422"/>
      <c r="I514" s="422"/>
      <c r="J514" s="422"/>
      <c r="K514" s="368"/>
      <c r="L514" s="368"/>
      <c r="M514" s="368"/>
      <c r="N514" s="368"/>
      <c r="O514" s="368"/>
    </row>
    <row r="515" spans="1:15" s="57" customFormat="1">
      <c r="A515" s="209" t="s">
        <v>305</v>
      </c>
      <c r="B515" s="224" t="s">
        <v>1385</v>
      </c>
      <c r="C515" s="394"/>
      <c r="D515" s="212" t="s">
        <v>27</v>
      </c>
      <c r="E515" s="452">
        <v>83902</v>
      </c>
      <c r="F515" s="109">
        <f>E515*C515</f>
        <v>0</v>
      </c>
      <c r="G515" s="436"/>
      <c r="H515" s="438">
        <f>ROUND(G515,2)</f>
        <v>0</v>
      </c>
      <c r="I515" s="438">
        <f>H515*E515</f>
        <v>0</v>
      </c>
      <c r="J515" s="438">
        <f>G515-C515</f>
        <v>0</v>
      </c>
      <c r="K515" s="438">
        <f>I515-F515</f>
        <v>0</v>
      </c>
      <c r="L515" s="438">
        <f>IF(F515&lt;I515,(I515-F515),0)</f>
        <v>0</v>
      </c>
      <c r="M515" s="438">
        <f>IF(F515&gt;I515,(I515-F515),0)</f>
        <v>0</v>
      </c>
      <c r="N515" s="438">
        <f>M515+L515</f>
        <v>0</v>
      </c>
      <c r="O515" s="368"/>
    </row>
    <row r="516" spans="1:15" s="57" customFormat="1" ht="26.4">
      <c r="A516" s="209"/>
      <c r="B516" s="92" t="s">
        <v>306</v>
      </c>
      <c r="C516" s="422"/>
      <c r="D516" s="212"/>
      <c r="E516" s="422"/>
      <c r="F516" s="422"/>
      <c r="G516" s="422"/>
      <c r="H516" s="422"/>
      <c r="I516" s="422"/>
      <c r="J516" s="422"/>
      <c r="K516" s="368"/>
      <c r="L516" s="368"/>
      <c r="M516" s="368"/>
      <c r="N516" s="368"/>
      <c r="O516" s="368"/>
    </row>
    <row r="517" spans="1:15" s="57" customFormat="1">
      <c r="A517" s="209"/>
      <c r="B517" s="326" t="s">
        <v>307</v>
      </c>
      <c r="C517" s="422"/>
      <c r="D517" s="212"/>
      <c r="E517" s="422"/>
      <c r="F517" s="422"/>
      <c r="G517" s="422"/>
      <c r="H517" s="422"/>
      <c r="I517" s="422"/>
      <c r="J517" s="422"/>
      <c r="K517" s="368"/>
      <c r="L517" s="368"/>
      <c r="M517" s="368"/>
      <c r="N517" s="368"/>
      <c r="O517" s="368"/>
    </row>
    <row r="518" spans="1:15" s="57" customFormat="1" ht="39.6">
      <c r="A518" s="209"/>
      <c r="B518" s="327" t="s">
        <v>308</v>
      </c>
      <c r="C518" s="422"/>
      <c r="D518" s="212"/>
      <c r="E518" s="422"/>
      <c r="F518" s="422"/>
      <c r="G518" s="422"/>
      <c r="H518" s="422"/>
      <c r="I518" s="422"/>
      <c r="J518" s="422"/>
      <c r="K518" s="368"/>
      <c r="L518" s="368"/>
      <c r="M518" s="368"/>
      <c r="N518" s="368"/>
      <c r="O518" s="368"/>
    </row>
    <row r="519" spans="1:15" s="57" customFormat="1" ht="26.4">
      <c r="A519" s="209"/>
      <c r="B519" s="328" t="s">
        <v>309</v>
      </c>
      <c r="C519" s="422"/>
      <c r="D519" s="212"/>
      <c r="E519" s="422"/>
      <c r="F519" s="422"/>
      <c r="G519" s="422"/>
      <c r="H519" s="422"/>
      <c r="I519" s="422"/>
      <c r="J519" s="422"/>
      <c r="K519" s="368"/>
      <c r="L519" s="368"/>
      <c r="M519" s="368"/>
      <c r="N519" s="368"/>
      <c r="O519" s="368"/>
    </row>
    <row r="520" spans="1:15" s="57" customFormat="1">
      <c r="A520" s="209"/>
      <c r="B520" s="326" t="s">
        <v>310</v>
      </c>
      <c r="C520" s="422"/>
      <c r="D520" s="212"/>
      <c r="E520" s="422"/>
      <c r="F520" s="422"/>
      <c r="G520" s="422"/>
      <c r="H520" s="422"/>
      <c r="I520" s="422"/>
      <c r="J520" s="422"/>
      <c r="K520" s="368"/>
      <c r="L520" s="368"/>
      <c r="M520" s="368"/>
      <c r="N520" s="368"/>
      <c r="O520" s="368"/>
    </row>
    <row r="521" spans="1:15" s="57" customFormat="1" ht="26.4">
      <c r="A521" s="209"/>
      <c r="B521" s="329" t="s">
        <v>311</v>
      </c>
      <c r="C521" s="422"/>
      <c r="D521" s="212"/>
      <c r="E521" s="422"/>
      <c r="F521" s="422"/>
      <c r="G521" s="422"/>
      <c r="H521" s="422"/>
      <c r="I521" s="422"/>
      <c r="J521" s="422"/>
      <c r="K521" s="368"/>
      <c r="L521" s="368"/>
      <c r="M521" s="368"/>
      <c r="N521" s="368"/>
      <c r="O521" s="368"/>
    </row>
    <row r="522" spans="1:15" s="57" customFormat="1">
      <c r="A522" s="209"/>
      <c r="B522" s="326" t="s">
        <v>312</v>
      </c>
      <c r="C522" s="422"/>
      <c r="D522" s="212"/>
      <c r="E522" s="422"/>
      <c r="F522" s="422"/>
      <c r="G522" s="422"/>
      <c r="H522" s="422"/>
      <c r="I522" s="422"/>
      <c r="J522" s="422"/>
      <c r="K522" s="368"/>
      <c r="L522" s="368"/>
      <c r="M522" s="368"/>
      <c r="N522" s="368"/>
      <c r="O522" s="368"/>
    </row>
    <row r="523" spans="1:15" s="57" customFormat="1">
      <c r="A523" s="209"/>
      <c r="B523" s="326" t="s">
        <v>313</v>
      </c>
      <c r="C523" s="422"/>
      <c r="D523" s="212"/>
      <c r="E523" s="422"/>
      <c r="F523" s="422"/>
      <c r="G523" s="422"/>
      <c r="H523" s="422"/>
      <c r="I523" s="422"/>
      <c r="J523" s="422"/>
      <c r="K523" s="368"/>
      <c r="L523" s="368"/>
      <c r="M523" s="368"/>
      <c r="N523" s="368"/>
      <c r="O523" s="368"/>
    </row>
    <row r="524" spans="1:15" s="57" customFormat="1">
      <c r="A524" s="209"/>
      <c r="B524" s="326" t="s">
        <v>314</v>
      </c>
      <c r="C524" s="422"/>
      <c r="D524" s="212"/>
      <c r="E524" s="422"/>
      <c r="F524" s="422"/>
      <c r="G524" s="422"/>
      <c r="H524" s="422"/>
      <c r="I524" s="422"/>
      <c r="J524" s="422"/>
      <c r="K524" s="368"/>
      <c r="L524" s="368"/>
      <c r="M524" s="368"/>
      <c r="N524" s="368"/>
      <c r="O524" s="368"/>
    </row>
    <row r="525" spans="1:15" s="57" customFormat="1">
      <c r="A525" s="209"/>
      <c r="B525" s="326" t="s">
        <v>315</v>
      </c>
      <c r="C525" s="422"/>
      <c r="D525" s="212"/>
      <c r="E525" s="422"/>
      <c r="F525" s="422"/>
      <c r="G525" s="422"/>
      <c r="H525" s="422"/>
      <c r="I525" s="422"/>
      <c r="J525" s="422"/>
      <c r="K525" s="368"/>
      <c r="L525" s="368"/>
      <c r="M525" s="368"/>
      <c r="N525" s="368"/>
      <c r="O525" s="368"/>
    </row>
    <row r="526" spans="1:15" s="57" customFormat="1">
      <c r="A526" s="209"/>
      <c r="B526" s="326" t="s">
        <v>316</v>
      </c>
      <c r="C526" s="422"/>
      <c r="D526" s="212"/>
      <c r="E526" s="422"/>
      <c r="F526" s="422"/>
      <c r="G526" s="422"/>
      <c r="H526" s="422"/>
      <c r="I526" s="422"/>
      <c r="J526" s="422"/>
      <c r="K526" s="368"/>
      <c r="L526" s="368"/>
      <c r="M526" s="368"/>
      <c r="N526" s="368"/>
      <c r="O526" s="368"/>
    </row>
    <row r="527" spans="1:15" s="57" customFormat="1">
      <c r="A527" s="209"/>
      <c r="B527" s="326" t="s">
        <v>317</v>
      </c>
      <c r="C527" s="422"/>
      <c r="D527" s="212"/>
      <c r="E527" s="422"/>
      <c r="F527" s="422"/>
      <c r="G527" s="422"/>
      <c r="H527" s="422"/>
      <c r="I527" s="422"/>
      <c r="J527" s="422"/>
      <c r="K527" s="368"/>
      <c r="L527" s="368"/>
      <c r="M527" s="368"/>
      <c r="N527" s="368"/>
      <c r="O527" s="368"/>
    </row>
    <row r="528" spans="1:15" s="57" customFormat="1">
      <c r="A528" s="209"/>
      <c r="B528" s="214"/>
      <c r="C528" s="422"/>
      <c r="D528" s="212"/>
      <c r="E528" s="422"/>
      <c r="F528" s="422"/>
      <c r="G528" s="422"/>
      <c r="H528" s="422"/>
      <c r="I528" s="422"/>
      <c r="J528" s="422"/>
      <c r="K528" s="368"/>
      <c r="L528" s="368"/>
      <c r="M528" s="368"/>
      <c r="N528" s="368"/>
      <c r="O528" s="368"/>
    </row>
    <row r="529" spans="1:15" s="57" customFormat="1">
      <c r="A529" s="209" t="s">
        <v>318</v>
      </c>
      <c r="B529" s="330" t="s">
        <v>1386</v>
      </c>
      <c r="C529" s="423"/>
      <c r="D529" s="212" t="s">
        <v>27</v>
      </c>
      <c r="E529" s="452">
        <v>127675</v>
      </c>
      <c r="F529" s="109">
        <f>E529*C529</f>
        <v>0</v>
      </c>
      <c r="G529" s="451"/>
      <c r="H529" s="438">
        <f>ROUND(G529,2)</f>
        <v>0</v>
      </c>
      <c r="I529" s="438">
        <f>H529*E529</f>
        <v>0</v>
      </c>
      <c r="J529" s="438">
        <f>G529-C529</f>
        <v>0</v>
      </c>
      <c r="K529" s="438">
        <f>I529-F529</f>
        <v>0</v>
      </c>
      <c r="L529" s="438">
        <f>IF(F529&lt;I529,(I529-F529),0)</f>
        <v>0</v>
      </c>
      <c r="M529" s="438">
        <f>IF(F529&gt;I529,(I529-F529),0)</f>
        <v>0</v>
      </c>
      <c r="N529" s="438">
        <f>M529+L529</f>
        <v>0</v>
      </c>
      <c r="O529" s="368"/>
    </row>
    <row r="530" spans="1:15" s="57" customFormat="1" ht="26.4">
      <c r="A530" s="209"/>
      <c r="B530" s="331" t="s">
        <v>319</v>
      </c>
      <c r="C530" s="422"/>
      <c r="D530" s="212"/>
      <c r="E530" s="422"/>
      <c r="F530" s="422"/>
      <c r="G530" s="422"/>
      <c r="H530" s="422"/>
      <c r="I530" s="422"/>
      <c r="J530" s="422"/>
      <c r="K530" s="368"/>
      <c r="L530" s="368"/>
      <c r="M530" s="368"/>
      <c r="N530" s="368"/>
      <c r="O530" s="368"/>
    </row>
    <row r="531" spans="1:15" s="57" customFormat="1">
      <c r="A531" s="209"/>
      <c r="B531" s="332" t="s">
        <v>307</v>
      </c>
      <c r="C531" s="422"/>
      <c r="D531" s="212"/>
      <c r="E531" s="422"/>
      <c r="F531" s="422"/>
      <c r="G531" s="422"/>
      <c r="H531" s="422"/>
      <c r="I531" s="422"/>
      <c r="J531" s="422"/>
      <c r="K531" s="368"/>
      <c r="L531" s="368"/>
      <c r="M531" s="368"/>
      <c r="N531" s="368"/>
      <c r="O531" s="368"/>
    </row>
    <row r="532" spans="1:15" s="57" customFormat="1" ht="39.6">
      <c r="A532" s="209"/>
      <c r="B532" s="327" t="s">
        <v>308</v>
      </c>
      <c r="C532" s="422"/>
      <c r="D532" s="212"/>
      <c r="E532" s="422"/>
      <c r="F532" s="422"/>
      <c r="G532" s="422"/>
      <c r="H532" s="422"/>
      <c r="I532" s="422"/>
      <c r="J532" s="422"/>
      <c r="K532" s="368"/>
      <c r="L532" s="368"/>
      <c r="M532" s="368"/>
      <c r="N532" s="368"/>
      <c r="O532" s="368"/>
    </row>
    <row r="533" spans="1:15" s="57" customFormat="1">
      <c r="A533" s="209"/>
      <c r="B533" s="333" t="s">
        <v>320</v>
      </c>
      <c r="C533" s="422"/>
      <c r="D533" s="212"/>
      <c r="E533" s="422"/>
      <c r="F533" s="422"/>
      <c r="G533" s="422"/>
      <c r="H533" s="422"/>
      <c r="I533" s="422"/>
      <c r="J533" s="422"/>
      <c r="K533" s="368"/>
      <c r="L533" s="368"/>
      <c r="M533" s="368"/>
      <c r="N533" s="368"/>
      <c r="O533" s="368"/>
    </row>
    <row r="534" spans="1:15" s="57" customFormat="1">
      <c r="A534" s="209"/>
      <c r="B534" s="332" t="s">
        <v>310</v>
      </c>
      <c r="C534" s="422"/>
      <c r="D534" s="212"/>
      <c r="E534" s="422"/>
      <c r="F534" s="422"/>
      <c r="G534" s="422"/>
      <c r="H534" s="422"/>
      <c r="I534" s="422"/>
      <c r="J534" s="422"/>
      <c r="K534" s="368"/>
      <c r="L534" s="368"/>
      <c r="M534" s="368"/>
      <c r="N534" s="368"/>
      <c r="O534" s="368"/>
    </row>
    <row r="535" spans="1:15" s="57" customFormat="1" ht="26.4">
      <c r="A535" s="209"/>
      <c r="B535" s="332" t="s">
        <v>321</v>
      </c>
      <c r="C535" s="422"/>
      <c r="D535" s="212"/>
      <c r="E535" s="422"/>
      <c r="F535" s="422"/>
      <c r="G535" s="422"/>
      <c r="H535" s="422"/>
      <c r="I535" s="422"/>
      <c r="J535" s="422"/>
      <c r="K535" s="368"/>
      <c r="L535" s="368"/>
      <c r="M535" s="368"/>
      <c r="N535" s="368"/>
      <c r="O535" s="368"/>
    </row>
    <row r="536" spans="1:15" s="57" customFormat="1">
      <c r="A536" s="209"/>
      <c r="B536" s="332" t="s">
        <v>322</v>
      </c>
      <c r="C536" s="422"/>
      <c r="D536" s="212"/>
      <c r="E536" s="422"/>
      <c r="F536" s="422"/>
      <c r="G536" s="422"/>
      <c r="H536" s="422"/>
      <c r="I536" s="422"/>
      <c r="J536" s="422"/>
      <c r="K536" s="368"/>
      <c r="L536" s="368"/>
      <c r="M536" s="368"/>
      <c r="N536" s="368"/>
      <c r="O536" s="368"/>
    </row>
    <row r="537" spans="1:15" s="57" customFormat="1">
      <c r="A537" s="209"/>
      <c r="B537" s="332" t="s">
        <v>323</v>
      </c>
      <c r="C537" s="422"/>
      <c r="D537" s="212"/>
      <c r="E537" s="422"/>
      <c r="F537" s="422"/>
      <c r="G537" s="422"/>
      <c r="H537" s="422"/>
      <c r="I537" s="422"/>
      <c r="J537" s="422"/>
      <c r="K537" s="368"/>
      <c r="L537" s="368"/>
      <c r="M537" s="368"/>
      <c r="N537" s="368"/>
      <c r="O537" s="368"/>
    </row>
    <row r="538" spans="1:15" s="57" customFormat="1">
      <c r="A538" s="209"/>
      <c r="B538" s="332" t="s">
        <v>324</v>
      </c>
      <c r="C538" s="422"/>
      <c r="D538" s="212"/>
      <c r="E538" s="422"/>
      <c r="F538" s="422"/>
      <c r="G538" s="422"/>
      <c r="H538" s="422"/>
      <c r="I538" s="422"/>
      <c r="J538" s="422"/>
      <c r="K538" s="368"/>
      <c r="L538" s="368"/>
      <c r="M538" s="368"/>
      <c r="N538" s="368"/>
      <c r="O538" s="368"/>
    </row>
    <row r="539" spans="1:15" s="57" customFormat="1">
      <c r="A539" s="209"/>
      <c r="B539" s="332" t="s">
        <v>325</v>
      </c>
      <c r="C539" s="422"/>
      <c r="D539" s="212"/>
      <c r="E539" s="422"/>
      <c r="F539" s="422"/>
      <c r="G539" s="422"/>
      <c r="H539" s="422"/>
      <c r="I539" s="422"/>
      <c r="J539" s="422"/>
      <c r="K539" s="368"/>
      <c r="L539" s="368"/>
      <c r="M539" s="368"/>
      <c r="N539" s="368"/>
      <c r="O539" s="368"/>
    </row>
    <row r="540" spans="1:15" s="57" customFormat="1">
      <c r="A540" s="209"/>
      <c r="B540" s="332" t="s">
        <v>326</v>
      </c>
      <c r="C540" s="422"/>
      <c r="D540" s="212"/>
      <c r="E540" s="422"/>
      <c r="F540" s="422"/>
      <c r="G540" s="422"/>
      <c r="H540" s="422"/>
      <c r="I540" s="422"/>
      <c r="J540" s="422"/>
      <c r="K540" s="368"/>
      <c r="L540" s="368"/>
      <c r="M540" s="368"/>
      <c r="N540" s="368"/>
      <c r="O540" s="368"/>
    </row>
    <row r="541" spans="1:15" s="57" customFormat="1">
      <c r="A541" s="209"/>
      <c r="B541" s="334" t="s">
        <v>327</v>
      </c>
      <c r="C541" s="422"/>
      <c r="D541" s="212"/>
      <c r="E541" s="422"/>
      <c r="F541" s="422"/>
      <c r="G541" s="422"/>
      <c r="H541" s="422"/>
      <c r="I541" s="422"/>
      <c r="J541" s="422"/>
      <c r="K541" s="368"/>
      <c r="L541" s="368"/>
      <c r="M541" s="368"/>
      <c r="N541" s="368"/>
      <c r="O541" s="368"/>
    </row>
    <row r="542" spans="1:15" s="57" customFormat="1">
      <c r="A542" s="209"/>
      <c r="B542" s="332" t="s">
        <v>328</v>
      </c>
      <c r="C542" s="422"/>
      <c r="D542" s="212"/>
      <c r="E542" s="422"/>
      <c r="F542" s="422"/>
      <c r="G542" s="422"/>
      <c r="H542" s="422"/>
      <c r="I542" s="422"/>
      <c r="J542" s="422"/>
      <c r="K542" s="368"/>
      <c r="L542" s="368"/>
      <c r="M542" s="368"/>
      <c r="N542" s="368"/>
      <c r="O542" s="368"/>
    </row>
    <row r="543" spans="1:15" s="57" customFormat="1">
      <c r="A543" s="209"/>
      <c r="B543" s="332" t="s">
        <v>329</v>
      </c>
      <c r="C543" s="422"/>
      <c r="D543" s="212"/>
      <c r="E543" s="422"/>
      <c r="F543" s="422"/>
      <c r="G543" s="422"/>
      <c r="H543" s="422"/>
      <c r="I543" s="422"/>
      <c r="J543" s="422"/>
      <c r="K543" s="368"/>
      <c r="L543" s="368"/>
      <c r="M543" s="368"/>
      <c r="N543" s="368"/>
      <c r="O543" s="368"/>
    </row>
    <row r="544" spans="1:15" s="57" customFormat="1">
      <c r="A544" s="209"/>
      <c r="B544" s="332" t="s">
        <v>330</v>
      </c>
      <c r="C544" s="422"/>
      <c r="D544" s="212"/>
      <c r="E544" s="422"/>
      <c r="F544" s="422"/>
      <c r="G544" s="422"/>
      <c r="H544" s="422"/>
      <c r="I544" s="422"/>
      <c r="J544" s="422"/>
      <c r="K544" s="368"/>
      <c r="L544" s="368"/>
      <c r="M544" s="368"/>
      <c r="N544" s="368"/>
      <c r="O544" s="368"/>
    </row>
    <row r="545" spans="1:15" s="57" customFormat="1">
      <c r="A545" s="209"/>
      <c r="B545" s="214"/>
      <c r="C545" s="422"/>
      <c r="D545" s="212"/>
      <c r="E545" s="422"/>
      <c r="F545" s="422"/>
      <c r="G545" s="422"/>
      <c r="H545" s="422"/>
      <c r="I545" s="422"/>
      <c r="J545" s="422"/>
      <c r="K545" s="368"/>
      <c r="L545" s="368"/>
      <c r="M545" s="368"/>
      <c r="N545" s="368"/>
      <c r="O545" s="368"/>
    </row>
    <row r="546" spans="1:15" s="57" customFormat="1">
      <c r="A546" s="209" t="s">
        <v>318</v>
      </c>
      <c r="B546" s="210" t="s">
        <v>1387</v>
      </c>
      <c r="C546" s="423">
        <v>1</v>
      </c>
      <c r="D546" s="212" t="s">
        <v>27</v>
      </c>
      <c r="E546" s="452">
        <v>155313</v>
      </c>
      <c r="F546" s="109">
        <f>E546*C546</f>
        <v>155313</v>
      </c>
      <c r="G546" s="453">
        <f>'Measurement sheet'!F650</f>
        <v>1</v>
      </c>
      <c r="H546" s="438">
        <f>ROUND(G546,2)</f>
        <v>1</v>
      </c>
      <c r="I546" s="438">
        <f>H546*E546</f>
        <v>155313</v>
      </c>
      <c r="J546" s="438">
        <f>G546-C546</f>
        <v>0</v>
      </c>
      <c r="K546" s="438">
        <f>I546-F546</f>
        <v>0</v>
      </c>
      <c r="L546" s="438">
        <f>IF(F546&lt;I546,(I546-F546),0)</f>
        <v>0</v>
      </c>
      <c r="M546" s="438">
        <f>IF(F546&gt;I546,(I546-F546),0)</f>
        <v>0</v>
      </c>
      <c r="N546" s="438">
        <f>M546+L546</f>
        <v>0</v>
      </c>
      <c r="O546" s="368"/>
    </row>
    <row r="547" spans="1:15" s="57" customFormat="1" ht="26.4">
      <c r="A547" s="209"/>
      <c r="B547" s="335" t="s">
        <v>319</v>
      </c>
      <c r="C547" s="422"/>
      <c r="D547" s="212"/>
      <c r="E547" s="422"/>
      <c r="F547" s="422"/>
      <c r="G547" s="422"/>
      <c r="H547" s="422"/>
      <c r="I547" s="422"/>
      <c r="J547" s="422"/>
      <c r="K547" s="368"/>
      <c r="L547" s="368"/>
      <c r="M547" s="368"/>
      <c r="N547" s="368"/>
      <c r="O547" s="368"/>
    </row>
    <row r="548" spans="1:15" s="57" customFormat="1">
      <c r="A548" s="209"/>
      <c r="B548" s="214" t="s">
        <v>307</v>
      </c>
      <c r="C548" s="422"/>
      <c r="D548" s="212"/>
      <c r="E548" s="422"/>
      <c r="F548" s="422"/>
      <c r="G548" s="422"/>
      <c r="H548" s="422"/>
      <c r="I548" s="422"/>
      <c r="J548" s="422"/>
      <c r="K548" s="368"/>
      <c r="L548" s="368"/>
      <c r="M548" s="368"/>
      <c r="N548" s="368"/>
      <c r="O548" s="368"/>
    </row>
    <row r="549" spans="1:15" s="57" customFormat="1" ht="39.6">
      <c r="A549" s="209"/>
      <c r="B549" s="327" t="s">
        <v>308</v>
      </c>
      <c r="C549" s="422"/>
      <c r="D549" s="212"/>
      <c r="E549" s="422"/>
      <c r="F549" s="422"/>
      <c r="G549" s="422"/>
      <c r="H549" s="422"/>
      <c r="I549" s="422"/>
      <c r="J549" s="422"/>
      <c r="K549" s="368"/>
      <c r="L549" s="368"/>
      <c r="M549" s="368"/>
      <c r="N549" s="368"/>
      <c r="O549" s="368"/>
    </row>
    <row r="550" spans="1:15" s="57" customFormat="1">
      <c r="A550" s="209"/>
      <c r="B550" s="292" t="s">
        <v>320</v>
      </c>
      <c r="C550" s="422"/>
      <c r="D550" s="212"/>
      <c r="E550" s="422"/>
      <c r="F550" s="422"/>
      <c r="G550" s="422"/>
      <c r="H550" s="422"/>
      <c r="I550" s="422"/>
      <c r="J550" s="422"/>
      <c r="K550" s="368"/>
      <c r="L550" s="368"/>
      <c r="M550" s="368"/>
      <c r="N550" s="368"/>
      <c r="O550" s="368"/>
    </row>
    <row r="551" spans="1:15" s="57" customFormat="1">
      <c r="A551" s="209"/>
      <c r="B551" s="214" t="s">
        <v>310</v>
      </c>
      <c r="C551" s="422"/>
      <c r="D551" s="212"/>
      <c r="E551" s="422"/>
      <c r="F551" s="422"/>
      <c r="G551" s="422"/>
      <c r="H551" s="422"/>
      <c r="I551" s="422"/>
      <c r="J551" s="422"/>
      <c r="K551" s="368"/>
      <c r="L551" s="368"/>
      <c r="M551" s="368"/>
      <c r="N551" s="368"/>
      <c r="O551" s="368"/>
    </row>
    <row r="552" spans="1:15" s="57" customFormat="1" ht="26.4">
      <c r="A552" s="209"/>
      <c r="B552" s="332" t="s">
        <v>331</v>
      </c>
      <c r="C552" s="422"/>
      <c r="D552" s="212"/>
      <c r="E552" s="422"/>
      <c r="F552" s="422"/>
      <c r="G552" s="422"/>
      <c r="H552" s="422"/>
      <c r="I552" s="422"/>
      <c r="J552" s="422"/>
      <c r="K552" s="368"/>
      <c r="L552" s="368"/>
      <c r="M552" s="368"/>
      <c r="N552" s="368"/>
      <c r="O552" s="368"/>
    </row>
    <row r="553" spans="1:15" s="57" customFormat="1">
      <c r="A553" s="209"/>
      <c r="B553" s="214" t="s">
        <v>332</v>
      </c>
      <c r="C553" s="422"/>
      <c r="D553" s="212"/>
      <c r="E553" s="422"/>
      <c r="F553" s="422"/>
      <c r="G553" s="422"/>
      <c r="H553" s="422"/>
      <c r="I553" s="422"/>
      <c r="J553" s="422"/>
      <c r="K553" s="368"/>
      <c r="L553" s="368"/>
      <c r="M553" s="368"/>
      <c r="N553" s="368"/>
      <c r="O553" s="368"/>
    </row>
    <row r="554" spans="1:15" s="57" customFormat="1">
      <c r="A554" s="209"/>
      <c r="B554" s="214" t="s">
        <v>323</v>
      </c>
      <c r="C554" s="422"/>
      <c r="D554" s="212"/>
      <c r="E554" s="422"/>
      <c r="F554" s="422"/>
      <c r="G554" s="422"/>
      <c r="H554" s="422"/>
      <c r="I554" s="422"/>
      <c r="J554" s="422"/>
      <c r="K554" s="368"/>
      <c r="L554" s="368"/>
      <c r="M554" s="368"/>
      <c r="N554" s="368"/>
      <c r="O554" s="368"/>
    </row>
    <row r="555" spans="1:15" s="57" customFormat="1">
      <c r="A555" s="209"/>
      <c r="B555" s="214" t="s">
        <v>333</v>
      </c>
      <c r="C555" s="422"/>
      <c r="D555" s="212"/>
      <c r="E555" s="422"/>
      <c r="F555" s="422"/>
      <c r="G555" s="422"/>
      <c r="H555" s="422"/>
      <c r="I555" s="422"/>
      <c r="J555" s="422"/>
      <c r="K555" s="368"/>
      <c r="L555" s="368"/>
      <c r="M555" s="368"/>
      <c r="N555" s="368"/>
      <c r="O555" s="368"/>
    </row>
    <row r="556" spans="1:15" s="57" customFormat="1">
      <c r="A556" s="209"/>
      <c r="B556" s="214" t="s">
        <v>313</v>
      </c>
      <c r="C556" s="422"/>
      <c r="D556" s="212" t="s">
        <v>1439</v>
      </c>
      <c r="E556" s="422"/>
      <c r="F556" s="422"/>
      <c r="G556" s="451"/>
      <c r="H556" s="438">
        <f>ROUND(G556,2)</f>
        <v>0</v>
      </c>
      <c r="I556" s="438">
        <f>H556*E556</f>
        <v>0</v>
      </c>
      <c r="J556" s="438">
        <f>G556-C556</f>
        <v>0</v>
      </c>
      <c r="K556" s="438">
        <f>I556-F556</f>
        <v>0</v>
      </c>
      <c r="L556" s="438">
        <f>IF(F556&lt;I556,(I556-F556),0)</f>
        <v>0</v>
      </c>
      <c r="M556" s="438">
        <f>IF(F556&gt;I556,(I556-F556),0)</f>
        <v>0</v>
      </c>
      <c r="N556" s="438">
        <f>M556+L556</f>
        <v>0</v>
      </c>
      <c r="O556" s="368"/>
    </row>
    <row r="557" spans="1:15" s="57" customFormat="1">
      <c r="A557" s="209"/>
      <c r="B557" s="214" t="s">
        <v>334</v>
      </c>
      <c r="C557" s="422"/>
      <c r="D557" s="212" t="s">
        <v>1439</v>
      </c>
      <c r="E557" s="422"/>
      <c r="F557" s="422"/>
      <c r="G557" s="451"/>
      <c r="H557" s="438">
        <f>ROUND(G557,2)</f>
        <v>0</v>
      </c>
      <c r="I557" s="438">
        <f>H557*E557</f>
        <v>0</v>
      </c>
      <c r="J557" s="438">
        <f>G557-C557</f>
        <v>0</v>
      </c>
      <c r="K557" s="438">
        <f>I557-F557</f>
        <v>0</v>
      </c>
      <c r="L557" s="438">
        <f>IF(F557&lt;I557,(I557-F557),0)</f>
        <v>0</v>
      </c>
      <c r="M557" s="438">
        <f>IF(F557&gt;I557,(I557-F557),0)</f>
        <v>0</v>
      </c>
      <c r="N557" s="438">
        <f>M557+L557</f>
        <v>0</v>
      </c>
      <c r="O557" s="368"/>
    </row>
    <row r="558" spans="1:15" s="57" customFormat="1">
      <c r="A558" s="209"/>
      <c r="B558" s="214" t="s">
        <v>326</v>
      </c>
      <c r="C558" s="422"/>
      <c r="D558" s="212" t="s">
        <v>1439</v>
      </c>
      <c r="E558" s="422"/>
      <c r="F558" s="422"/>
      <c r="G558" s="451"/>
      <c r="H558" s="438">
        <f>ROUND(G558,2)</f>
        <v>0</v>
      </c>
      <c r="I558" s="438">
        <f>H558*E558</f>
        <v>0</v>
      </c>
      <c r="J558" s="438">
        <f>G558-C558</f>
        <v>0</v>
      </c>
      <c r="K558" s="438">
        <f>I558-F558</f>
        <v>0</v>
      </c>
      <c r="L558" s="438">
        <f>IF(F558&lt;I558,(I558-F558),0)</f>
        <v>0</v>
      </c>
      <c r="M558" s="438">
        <f>IF(F558&gt;I558,(I558-F558),0)</f>
        <v>0</v>
      </c>
      <c r="N558" s="438">
        <f>M558+L558</f>
        <v>0</v>
      </c>
      <c r="O558" s="368"/>
    </row>
    <row r="559" spans="1:15" s="57" customFormat="1">
      <c r="A559" s="209"/>
      <c r="B559" s="336" t="s">
        <v>327</v>
      </c>
      <c r="C559" s="422"/>
      <c r="D559" s="212"/>
      <c r="E559" s="422"/>
      <c r="F559" s="422"/>
      <c r="G559" s="422"/>
      <c r="H559" s="422"/>
      <c r="I559" s="422"/>
      <c r="J559" s="422"/>
      <c r="K559" s="368"/>
      <c r="L559" s="368"/>
      <c r="M559" s="368"/>
      <c r="N559" s="368"/>
      <c r="O559" s="368"/>
    </row>
    <row r="560" spans="1:15" s="57" customFormat="1">
      <c r="A560" s="209"/>
      <c r="B560" s="214" t="s">
        <v>335</v>
      </c>
      <c r="C560" s="422"/>
      <c r="D560" s="212"/>
      <c r="E560" s="422"/>
      <c r="F560" s="422"/>
      <c r="G560" s="422"/>
      <c r="H560" s="422"/>
      <c r="I560" s="422"/>
      <c r="J560" s="422"/>
      <c r="K560" s="368"/>
      <c r="L560" s="368"/>
      <c r="M560" s="368"/>
      <c r="N560" s="368"/>
      <c r="O560" s="368"/>
    </row>
    <row r="561" spans="1:15" s="57" customFormat="1">
      <c r="A561" s="209"/>
      <c r="B561" s="214" t="s">
        <v>336</v>
      </c>
      <c r="C561" s="422"/>
      <c r="D561" s="212" t="s">
        <v>1439</v>
      </c>
      <c r="E561" s="422"/>
      <c r="F561" s="422"/>
      <c r="G561" s="451"/>
      <c r="H561" s="438">
        <f>ROUND(G561,2)</f>
        <v>0</v>
      </c>
      <c r="I561" s="438">
        <f>H561*E561</f>
        <v>0</v>
      </c>
      <c r="J561" s="438">
        <f>G561-C561</f>
        <v>0</v>
      </c>
      <c r="K561" s="438">
        <f>I561-F561</f>
        <v>0</v>
      </c>
      <c r="L561" s="438">
        <f>IF(F561&lt;I561,(I561-F561),0)</f>
        <v>0</v>
      </c>
      <c r="M561" s="438">
        <f>IF(F561&gt;I561,(I561-F561),0)</f>
        <v>0</v>
      </c>
      <c r="N561" s="438">
        <f>M561+L561</f>
        <v>0</v>
      </c>
      <c r="O561" s="368"/>
    </row>
    <row r="562" spans="1:15" s="57" customFormat="1">
      <c r="A562" s="209"/>
      <c r="B562" s="214" t="s">
        <v>337</v>
      </c>
      <c r="C562" s="422"/>
      <c r="D562" s="212" t="s">
        <v>1439</v>
      </c>
      <c r="E562" s="422"/>
      <c r="F562" s="422"/>
      <c r="G562" s="451"/>
      <c r="H562" s="438">
        <f>ROUND(G562,2)</f>
        <v>0</v>
      </c>
      <c r="I562" s="438">
        <f>H562*E562</f>
        <v>0</v>
      </c>
      <c r="J562" s="438">
        <f>G562-C562</f>
        <v>0</v>
      </c>
      <c r="K562" s="438">
        <f>I562-F562</f>
        <v>0</v>
      </c>
      <c r="L562" s="438">
        <f>IF(F562&lt;I562,(I562-F562),0)</f>
        <v>0</v>
      </c>
      <c r="M562" s="438">
        <f>IF(F562&gt;I562,(I562-F562),0)</f>
        <v>0</v>
      </c>
      <c r="N562" s="438">
        <f>M562+L562</f>
        <v>0</v>
      </c>
      <c r="O562" s="368"/>
    </row>
    <row r="563" spans="1:15" s="57" customFormat="1">
      <c r="A563" s="209"/>
      <c r="B563" s="214" t="s">
        <v>338</v>
      </c>
      <c r="C563" s="422"/>
      <c r="D563" s="212" t="s">
        <v>1439</v>
      </c>
      <c r="E563" s="422"/>
      <c r="F563" s="422"/>
      <c r="G563" s="451"/>
      <c r="H563" s="438">
        <f>ROUND(G563,2)</f>
        <v>0</v>
      </c>
      <c r="I563" s="438">
        <f>H563*E563</f>
        <v>0</v>
      </c>
      <c r="J563" s="438">
        <f>G563-C563</f>
        <v>0</v>
      </c>
      <c r="K563" s="438">
        <f>I563-F563</f>
        <v>0</v>
      </c>
      <c r="L563" s="438">
        <f>IF(F563&lt;I563,(I563-F563),0)</f>
        <v>0</v>
      </c>
      <c r="M563" s="438">
        <f>IF(F563&gt;I563,(I563-F563),0)</f>
        <v>0</v>
      </c>
      <c r="N563" s="438">
        <f>M563+L563</f>
        <v>0</v>
      </c>
      <c r="O563" s="368"/>
    </row>
    <row r="564" spans="1:15" s="57" customFormat="1">
      <c r="A564" s="209"/>
      <c r="B564" s="214"/>
      <c r="C564" s="422"/>
      <c r="D564" s="212"/>
      <c r="E564" s="422"/>
      <c r="F564" s="422"/>
      <c r="G564" s="422"/>
      <c r="H564" s="422"/>
      <c r="I564" s="422"/>
      <c r="J564" s="422"/>
      <c r="K564" s="368"/>
      <c r="L564" s="368"/>
      <c r="M564" s="368"/>
      <c r="N564" s="368"/>
      <c r="O564" s="368"/>
    </row>
    <row r="565" spans="1:15" s="57" customFormat="1">
      <c r="A565" s="209" t="s">
        <v>339</v>
      </c>
      <c r="B565" s="210" t="s">
        <v>1388</v>
      </c>
      <c r="C565" s="423"/>
      <c r="D565" s="212" t="s">
        <v>27</v>
      </c>
      <c r="E565" s="454">
        <v>161759</v>
      </c>
      <c r="F565" s="109">
        <f>E565*C565</f>
        <v>0</v>
      </c>
      <c r="G565" s="451">
        <v>0</v>
      </c>
      <c r="H565" s="438">
        <f>ROUND(G565,2)</f>
        <v>0</v>
      </c>
      <c r="I565" s="438">
        <f>H565*E565</f>
        <v>0</v>
      </c>
      <c r="J565" s="438">
        <f>G565-C565</f>
        <v>0</v>
      </c>
      <c r="K565" s="438">
        <f>I565-F565</f>
        <v>0</v>
      </c>
      <c r="L565" s="438">
        <f>IF(F565&lt;I565,(I565-F565),0)</f>
        <v>0</v>
      </c>
      <c r="M565" s="438">
        <f>IF(F565&gt;I565,(I565-F565),0)</f>
        <v>0</v>
      </c>
      <c r="N565" s="438">
        <f>M565+L565</f>
        <v>0</v>
      </c>
      <c r="O565" s="368"/>
    </row>
    <row r="566" spans="1:15" s="57" customFormat="1" ht="26.4">
      <c r="A566" s="209"/>
      <c r="B566" s="335" t="s">
        <v>319</v>
      </c>
      <c r="C566" s="422"/>
      <c r="D566" s="212"/>
      <c r="E566" s="422"/>
      <c r="F566" s="422"/>
      <c r="G566" s="422"/>
      <c r="H566" s="422"/>
      <c r="I566" s="422"/>
      <c r="J566" s="422"/>
      <c r="K566" s="368"/>
      <c r="L566" s="368"/>
      <c r="M566" s="368"/>
      <c r="N566" s="368"/>
      <c r="O566" s="368"/>
    </row>
    <row r="567" spans="1:15" s="57" customFormat="1">
      <c r="A567" s="209"/>
      <c r="B567" s="214" t="s">
        <v>307</v>
      </c>
      <c r="C567" s="422"/>
      <c r="D567" s="212"/>
      <c r="E567" s="422"/>
      <c r="F567" s="422"/>
      <c r="G567" s="422"/>
      <c r="H567" s="422"/>
      <c r="I567" s="422"/>
      <c r="J567" s="422"/>
      <c r="K567" s="368"/>
      <c r="L567" s="368"/>
      <c r="M567" s="368"/>
      <c r="N567" s="368"/>
      <c r="O567" s="368"/>
    </row>
    <row r="568" spans="1:15" s="57" customFormat="1" ht="39.6">
      <c r="A568" s="209"/>
      <c r="B568" s="327" t="s">
        <v>308</v>
      </c>
      <c r="C568" s="422"/>
      <c r="D568" s="212"/>
      <c r="E568" s="422"/>
      <c r="F568" s="422"/>
      <c r="G568" s="422"/>
      <c r="H568" s="422"/>
      <c r="I568" s="422"/>
      <c r="J568" s="422"/>
      <c r="K568" s="368"/>
      <c r="L568" s="368"/>
      <c r="M568" s="368"/>
      <c r="N568" s="368"/>
      <c r="O568" s="368"/>
    </row>
    <row r="569" spans="1:15" s="57" customFormat="1">
      <c r="A569" s="209"/>
      <c r="B569" s="292" t="s">
        <v>320</v>
      </c>
      <c r="C569" s="422"/>
      <c r="D569" s="212"/>
      <c r="E569" s="422"/>
      <c r="F569" s="422"/>
      <c r="G569" s="422"/>
      <c r="H569" s="422"/>
      <c r="I569" s="422"/>
      <c r="J569" s="422"/>
      <c r="K569" s="368"/>
      <c r="L569" s="368"/>
      <c r="M569" s="368"/>
      <c r="N569" s="368"/>
      <c r="O569" s="368"/>
    </row>
    <row r="570" spans="1:15" s="57" customFormat="1">
      <c r="A570" s="209"/>
      <c r="B570" s="214" t="s">
        <v>310</v>
      </c>
      <c r="C570" s="422"/>
      <c r="D570" s="212"/>
      <c r="E570" s="422"/>
      <c r="F570" s="422"/>
      <c r="G570" s="422"/>
      <c r="H570" s="422"/>
      <c r="I570" s="422"/>
      <c r="J570" s="422"/>
      <c r="K570" s="368"/>
      <c r="L570" s="368"/>
      <c r="M570" s="368"/>
      <c r="N570" s="368"/>
      <c r="O570" s="368"/>
    </row>
    <row r="571" spans="1:15" s="57" customFormat="1" ht="26.4">
      <c r="A571" s="209"/>
      <c r="B571" s="332" t="s">
        <v>340</v>
      </c>
      <c r="C571" s="422"/>
      <c r="D571" s="212"/>
      <c r="E571" s="422"/>
      <c r="F571" s="422"/>
      <c r="G571" s="422"/>
      <c r="H571" s="422"/>
      <c r="I571" s="422"/>
      <c r="J571" s="422"/>
      <c r="K571" s="368"/>
      <c r="L571" s="368"/>
      <c r="M571" s="368"/>
      <c r="N571" s="368"/>
      <c r="O571" s="368"/>
    </row>
    <row r="572" spans="1:15" s="57" customFormat="1">
      <c r="A572" s="209"/>
      <c r="B572" s="214" t="s">
        <v>341</v>
      </c>
      <c r="C572" s="422"/>
      <c r="D572" s="212"/>
      <c r="E572" s="422"/>
      <c r="F572" s="422"/>
      <c r="G572" s="422"/>
      <c r="H572" s="422"/>
      <c r="I572" s="422"/>
      <c r="J572" s="422"/>
      <c r="K572" s="368"/>
      <c r="L572" s="368"/>
      <c r="M572" s="368"/>
      <c r="N572" s="368"/>
      <c r="O572" s="368"/>
    </row>
    <row r="573" spans="1:15" s="57" customFormat="1">
      <c r="A573" s="209"/>
      <c r="B573" s="214" t="s">
        <v>323</v>
      </c>
      <c r="C573" s="422"/>
      <c r="D573" s="212"/>
      <c r="E573" s="422"/>
      <c r="F573" s="422"/>
      <c r="G573" s="422"/>
      <c r="H573" s="422"/>
      <c r="I573" s="422"/>
      <c r="J573" s="422"/>
      <c r="K573" s="368"/>
      <c r="L573" s="368"/>
      <c r="M573" s="368"/>
      <c r="N573" s="368"/>
      <c r="O573" s="368"/>
    </row>
    <row r="574" spans="1:15" s="57" customFormat="1">
      <c r="A574" s="209"/>
      <c r="B574" s="214" t="s">
        <v>333</v>
      </c>
      <c r="C574" s="422"/>
      <c r="D574" s="212"/>
      <c r="E574" s="422"/>
      <c r="F574" s="422"/>
      <c r="G574" s="422"/>
      <c r="H574" s="422"/>
      <c r="I574" s="422"/>
      <c r="J574" s="422"/>
      <c r="K574" s="368"/>
      <c r="L574" s="368"/>
      <c r="M574" s="368"/>
      <c r="N574" s="368"/>
      <c r="O574" s="368"/>
    </row>
    <row r="575" spans="1:15" s="57" customFormat="1">
      <c r="A575" s="209"/>
      <c r="B575" s="214" t="s">
        <v>342</v>
      </c>
      <c r="C575" s="422"/>
      <c r="D575" s="212"/>
      <c r="E575" s="422"/>
      <c r="F575" s="422"/>
      <c r="G575" s="422"/>
      <c r="H575" s="422"/>
      <c r="I575" s="422"/>
      <c r="J575" s="422"/>
      <c r="K575" s="368"/>
      <c r="L575" s="368"/>
      <c r="M575" s="368"/>
      <c r="N575" s="368"/>
      <c r="O575" s="368"/>
    </row>
    <row r="576" spans="1:15" s="57" customFormat="1">
      <c r="A576" s="209"/>
      <c r="B576" s="214" t="s">
        <v>334</v>
      </c>
      <c r="C576" s="422"/>
      <c r="D576" s="212"/>
      <c r="E576" s="422"/>
      <c r="F576" s="422"/>
      <c r="G576" s="422"/>
      <c r="H576" s="422"/>
      <c r="I576" s="422"/>
      <c r="J576" s="422"/>
      <c r="K576" s="368"/>
      <c r="L576" s="368"/>
      <c r="M576" s="368"/>
      <c r="N576" s="368"/>
      <c r="O576" s="368"/>
    </row>
    <row r="577" spans="1:15" s="57" customFormat="1">
      <c r="A577" s="209"/>
      <c r="B577" s="214" t="s">
        <v>326</v>
      </c>
      <c r="C577" s="422"/>
      <c r="D577" s="212"/>
      <c r="E577" s="422"/>
      <c r="F577" s="422"/>
      <c r="G577" s="422"/>
      <c r="H577" s="422"/>
      <c r="I577" s="422"/>
      <c r="J577" s="422"/>
      <c r="K577" s="368"/>
      <c r="L577" s="368"/>
      <c r="M577" s="368"/>
      <c r="N577" s="368"/>
      <c r="O577" s="368"/>
    </row>
    <row r="578" spans="1:15" s="57" customFormat="1">
      <c r="A578" s="209"/>
      <c r="B578" s="336" t="s">
        <v>327</v>
      </c>
      <c r="C578" s="422"/>
      <c r="D578" s="212"/>
      <c r="E578" s="422"/>
      <c r="F578" s="422"/>
      <c r="G578" s="422"/>
      <c r="H578" s="422"/>
      <c r="I578" s="422"/>
      <c r="J578" s="422"/>
      <c r="K578" s="368"/>
      <c r="L578" s="368"/>
      <c r="M578" s="368"/>
      <c r="N578" s="368"/>
      <c r="O578" s="368"/>
    </row>
    <row r="579" spans="1:15" s="57" customFormat="1">
      <c r="A579" s="209"/>
      <c r="B579" s="214" t="s">
        <v>335</v>
      </c>
      <c r="C579" s="422"/>
      <c r="D579" s="212"/>
      <c r="E579" s="422"/>
      <c r="F579" s="422"/>
      <c r="G579" s="422"/>
      <c r="H579" s="422"/>
      <c r="I579" s="422"/>
      <c r="J579" s="422"/>
      <c r="K579" s="368"/>
      <c r="L579" s="368"/>
      <c r="M579" s="368"/>
      <c r="N579" s="368"/>
      <c r="O579" s="368"/>
    </row>
    <row r="580" spans="1:15" s="57" customFormat="1">
      <c r="A580" s="209"/>
      <c r="B580" s="214" t="s">
        <v>336</v>
      </c>
      <c r="C580" s="422"/>
      <c r="D580" s="212"/>
      <c r="E580" s="422"/>
      <c r="F580" s="422"/>
      <c r="G580" s="422"/>
      <c r="H580" s="422"/>
      <c r="I580" s="422"/>
      <c r="J580" s="422"/>
      <c r="K580" s="368"/>
      <c r="L580" s="368"/>
      <c r="M580" s="368"/>
      <c r="N580" s="368"/>
      <c r="O580" s="368"/>
    </row>
    <row r="581" spans="1:15" s="57" customFormat="1">
      <c r="A581" s="209"/>
      <c r="B581" s="214" t="s">
        <v>337</v>
      </c>
      <c r="C581" s="422"/>
      <c r="D581" s="212"/>
      <c r="E581" s="422"/>
      <c r="F581" s="422"/>
      <c r="G581" s="422"/>
      <c r="H581" s="422"/>
      <c r="I581" s="422"/>
      <c r="J581" s="422"/>
      <c r="K581" s="368"/>
      <c r="L581" s="368"/>
      <c r="M581" s="368"/>
      <c r="N581" s="368"/>
      <c r="O581" s="368"/>
    </row>
    <row r="582" spans="1:15" s="57" customFormat="1">
      <c r="A582" s="209"/>
      <c r="B582" s="214" t="s">
        <v>338</v>
      </c>
      <c r="C582" s="422"/>
      <c r="D582" s="212"/>
      <c r="E582" s="422"/>
      <c r="F582" s="422"/>
      <c r="G582" s="422"/>
      <c r="H582" s="422"/>
      <c r="I582" s="422"/>
      <c r="J582" s="422"/>
      <c r="K582" s="368"/>
      <c r="L582" s="368"/>
      <c r="M582" s="368"/>
      <c r="N582" s="368"/>
      <c r="O582" s="368"/>
    </row>
    <row r="583" spans="1:15" s="57" customFormat="1">
      <c r="A583" s="209"/>
      <c r="B583" s="214"/>
      <c r="C583" s="422"/>
      <c r="D583" s="212"/>
      <c r="E583" s="422"/>
      <c r="F583" s="422"/>
      <c r="G583" s="422"/>
      <c r="H583" s="422"/>
      <c r="I583" s="422"/>
      <c r="J583" s="422"/>
      <c r="K583" s="368"/>
      <c r="L583" s="368"/>
      <c r="M583" s="368"/>
      <c r="N583" s="368"/>
      <c r="O583" s="368"/>
    </row>
    <row r="584" spans="1:15" s="57" customFormat="1" ht="132">
      <c r="A584" s="209" t="s">
        <v>343</v>
      </c>
      <c r="B584" s="214" t="s">
        <v>1389</v>
      </c>
      <c r="C584" s="423">
        <v>2</v>
      </c>
      <c r="D584" s="212" t="s">
        <v>27</v>
      </c>
      <c r="E584" s="452">
        <v>28612</v>
      </c>
      <c r="F584" s="109">
        <f>E584*C584</f>
        <v>57224</v>
      </c>
      <c r="G584" s="453">
        <f>'Measurement sheet'!F651</f>
        <v>2</v>
      </c>
      <c r="H584" s="438">
        <f>ROUND(G584,2)</f>
        <v>2</v>
      </c>
      <c r="I584" s="438">
        <f>H584*E584</f>
        <v>57224</v>
      </c>
      <c r="J584" s="438">
        <f>G584-C584</f>
        <v>0</v>
      </c>
      <c r="K584" s="438">
        <f>I584-F584</f>
        <v>0</v>
      </c>
      <c r="L584" s="438">
        <f>IF(F584&lt;I584,(I584-F584),0)</f>
        <v>0</v>
      </c>
      <c r="M584" s="438">
        <f>IF(F584&gt;I584,(I584-F584),0)</f>
        <v>0</v>
      </c>
      <c r="N584" s="438">
        <f>M584+L584</f>
        <v>0</v>
      </c>
      <c r="O584" s="368"/>
    </row>
    <row r="585" spans="1:15" s="57" customFormat="1">
      <c r="A585" s="209"/>
      <c r="B585" s="292"/>
      <c r="C585" s="422"/>
      <c r="D585" s="212"/>
      <c r="E585" s="422"/>
      <c r="F585" s="422"/>
      <c r="G585" s="422"/>
      <c r="H585" s="422"/>
      <c r="I585" s="422"/>
      <c r="J585" s="422"/>
      <c r="K585" s="368"/>
      <c r="L585" s="368"/>
      <c r="M585" s="368"/>
      <c r="N585" s="368"/>
      <c r="O585" s="368"/>
    </row>
    <row r="586" spans="1:15" s="57" customFormat="1" ht="39.6">
      <c r="A586" s="209">
        <v>1.2</v>
      </c>
      <c r="B586" s="214" t="s">
        <v>344</v>
      </c>
      <c r="C586" s="422"/>
      <c r="D586" s="212"/>
      <c r="E586" s="422"/>
      <c r="F586" s="422"/>
      <c r="G586" s="422"/>
      <c r="H586" s="422"/>
      <c r="I586" s="422"/>
      <c r="J586" s="422"/>
      <c r="K586" s="368"/>
      <c r="L586" s="368"/>
      <c r="M586" s="368"/>
      <c r="N586" s="368"/>
      <c r="O586" s="368"/>
    </row>
    <row r="587" spans="1:15" s="57" customFormat="1">
      <c r="A587" s="209"/>
      <c r="B587" s="214"/>
      <c r="C587" s="422"/>
      <c r="D587" s="212"/>
      <c r="E587" s="422"/>
      <c r="F587" s="422"/>
      <c r="G587" s="422"/>
      <c r="H587" s="422"/>
      <c r="I587" s="422"/>
      <c r="J587" s="422"/>
      <c r="K587" s="368"/>
      <c r="L587" s="368"/>
      <c r="M587" s="368"/>
      <c r="N587" s="368"/>
      <c r="O587" s="368"/>
    </row>
    <row r="588" spans="1:15" s="57" customFormat="1">
      <c r="A588" s="209" t="s">
        <v>345</v>
      </c>
      <c r="B588" s="222" t="s">
        <v>346</v>
      </c>
      <c r="C588" s="423"/>
      <c r="D588" s="212" t="s">
        <v>27</v>
      </c>
      <c r="E588" s="452">
        <v>9175</v>
      </c>
      <c r="F588" s="109">
        <f>E588*C588</f>
        <v>0</v>
      </c>
      <c r="G588" s="451"/>
      <c r="H588" s="438">
        <f>ROUND(G588,2)</f>
        <v>0</v>
      </c>
      <c r="I588" s="438">
        <f>H588*E588</f>
        <v>0</v>
      </c>
      <c r="J588" s="438">
        <f>G588-C588</f>
        <v>0</v>
      </c>
      <c r="K588" s="438">
        <f>I588-F588</f>
        <v>0</v>
      </c>
      <c r="L588" s="438">
        <f>IF(F588&lt;I588,(I588-F588),0)</f>
        <v>0</v>
      </c>
      <c r="M588" s="438">
        <f>IF(F588&gt;I588,(I588-F588),0)</f>
        <v>0</v>
      </c>
      <c r="N588" s="438">
        <f>M588+L588</f>
        <v>0</v>
      </c>
      <c r="O588" s="368"/>
    </row>
    <row r="589" spans="1:15" s="57" customFormat="1">
      <c r="A589" s="209"/>
      <c r="B589" s="222"/>
      <c r="C589" s="422"/>
      <c r="D589" s="212"/>
      <c r="E589" s="422"/>
      <c r="F589" s="422"/>
      <c r="G589" s="422"/>
      <c r="H589" s="422"/>
      <c r="I589" s="422"/>
      <c r="J589" s="422"/>
      <c r="K589" s="368"/>
      <c r="L589" s="368"/>
      <c r="M589" s="368"/>
      <c r="N589" s="368"/>
      <c r="O589" s="368"/>
    </row>
    <row r="590" spans="1:15" s="57" customFormat="1">
      <c r="A590" s="209" t="s">
        <v>347</v>
      </c>
      <c r="B590" s="222" t="s">
        <v>348</v>
      </c>
      <c r="C590" s="423"/>
      <c r="D590" s="212" t="s">
        <v>27</v>
      </c>
      <c r="E590" s="452">
        <v>10137</v>
      </c>
      <c r="F590" s="109">
        <f>E590*C590</f>
        <v>0</v>
      </c>
      <c r="G590" s="451"/>
      <c r="H590" s="438">
        <f>ROUND(G590,2)</f>
        <v>0</v>
      </c>
      <c r="I590" s="438">
        <f>H590*E590</f>
        <v>0</v>
      </c>
      <c r="J590" s="438">
        <f>G590-C590</f>
        <v>0</v>
      </c>
      <c r="K590" s="438">
        <f>I590-F590</f>
        <v>0</v>
      </c>
      <c r="L590" s="438">
        <f>IF(F590&lt;I590,(I590-F590),0)</f>
        <v>0</v>
      </c>
      <c r="M590" s="438">
        <f>IF(F590&gt;I590,(I590-F590),0)</f>
        <v>0</v>
      </c>
      <c r="N590" s="438">
        <f>M590+L590</f>
        <v>0</v>
      </c>
      <c r="O590" s="368"/>
    </row>
    <row r="591" spans="1:15" s="57" customFormat="1">
      <c r="A591" s="209"/>
      <c r="B591" s="214"/>
      <c r="C591" s="422"/>
      <c r="D591" s="212"/>
      <c r="E591" s="422"/>
      <c r="F591" s="422"/>
      <c r="G591" s="422"/>
      <c r="H591" s="422"/>
      <c r="I591" s="422"/>
      <c r="J591" s="422"/>
      <c r="K591" s="368"/>
      <c r="L591" s="368"/>
      <c r="M591" s="368"/>
      <c r="N591" s="368"/>
      <c r="O591" s="368"/>
    </row>
    <row r="592" spans="1:15" s="57" customFormat="1">
      <c r="A592" s="209" t="s">
        <v>349</v>
      </c>
      <c r="B592" s="214" t="s">
        <v>350</v>
      </c>
      <c r="C592" s="423"/>
      <c r="D592" s="212" t="s">
        <v>27</v>
      </c>
      <c r="E592" s="452">
        <v>11624</v>
      </c>
      <c r="F592" s="109">
        <f>E592*C592</f>
        <v>0</v>
      </c>
      <c r="G592" s="451"/>
      <c r="H592" s="438">
        <f>ROUND(G592,2)</f>
        <v>0</v>
      </c>
      <c r="I592" s="438">
        <f>H592*E592</f>
        <v>0</v>
      </c>
      <c r="J592" s="438">
        <f>G592-C592</f>
        <v>0</v>
      </c>
      <c r="K592" s="438">
        <f>I592-F592</f>
        <v>0</v>
      </c>
      <c r="L592" s="438">
        <f>IF(F592&lt;I592,(I592-F592),0)</f>
        <v>0</v>
      </c>
      <c r="M592" s="438">
        <f>IF(F592&gt;I592,(I592-F592),0)</f>
        <v>0</v>
      </c>
      <c r="N592" s="438">
        <f>M592+L592</f>
        <v>0</v>
      </c>
      <c r="O592" s="368"/>
    </row>
    <row r="593" spans="1:15" s="57" customFormat="1">
      <c r="A593" s="209"/>
      <c r="B593" s="214"/>
      <c r="C593" s="424"/>
      <c r="D593" s="337"/>
      <c r="E593" s="424"/>
      <c r="F593" s="424"/>
      <c r="G593" s="422"/>
      <c r="H593" s="424"/>
      <c r="I593" s="424"/>
      <c r="J593" s="424"/>
      <c r="K593" s="368"/>
      <c r="L593" s="368"/>
      <c r="M593" s="368"/>
      <c r="N593" s="368"/>
      <c r="O593" s="368"/>
    </row>
    <row r="594" spans="1:15" s="57" customFormat="1">
      <c r="A594" s="209" t="s">
        <v>351</v>
      </c>
      <c r="B594" s="214" t="s">
        <v>352</v>
      </c>
      <c r="C594" s="423">
        <v>2</v>
      </c>
      <c r="D594" s="212" t="s">
        <v>27</v>
      </c>
      <c r="E594" s="452">
        <v>12602</v>
      </c>
      <c r="F594" s="109">
        <f>E594*C594</f>
        <v>25204</v>
      </c>
      <c r="G594" s="451"/>
      <c r="H594" s="438">
        <f>ROUND(G594,2)</f>
        <v>0</v>
      </c>
      <c r="I594" s="438">
        <f>H594*E594</f>
        <v>0</v>
      </c>
      <c r="J594" s="438">
        <f>G594-C594</f>
        <v>-2</v>
      </c>
      <c r="K594" s="438">
        <f>I594-F594</f>
        <v>-25204</v>
      </c>
      <c r="L594" s="438">
        <f>IF(F594&lt;I594,(I594-F594),0)</f>
        <v>0</v>
      </c>
      <c r="M594" s="438">
        <f>IF(F594&gt;I594,(I594-F594),0)</f>
        <v>-25204</v>
      </c>
      <c r="N594" s="438">
        <f>M594+L594</f>
        <v>-25204</v>
      </c>
      <c r="O594" s="368"/>
    </row>
    <row r="595" spans="1:15" s="57" customFormat="1">
      <c r="A595" s="209"/>
      <c r="B595" s="214"/>
      <c r="C595" s="422"/>
      <c r="D595" s="212"/>
      <c r="E595" s="422"/>
      <c r="F595" s="422"/>
      <c r="G595" s="422"/>
      <c r="H595" s="422"/>
      <c r="I595" s="422"/>
      <c r="J595" s="422"/>
      <c r="K595" s="368"/>
      <c r="L595" s="368"/>
      <c r="M595" s="368"/>
      <c r="N595" s="368"/>
      <c r="O595" s="368"/>
    </row>
    <row r="596" spans="1:15" s="57" customFormat="1">
      <c r="A596" s="209" t="s">
        <v>353</v>
      </c>
      <c r="B596" s="214" t="s">
        <v>354</v>
      </c>
      <c r="C596" s="423"/>
      <c r="D596" s="212" t="s">
        <v>27</v>
      </c>
      <c r="E596" s="452">
        <v>15784</v>
      </c>
      <c r="F596" s="109">
        <f>E596*C596</f>
        <v>0</v>
      </c>
      <c r="G596" s="451"/>
      <c r="H596" s="438">
        <f>ROUND(G596,2)</f>
        <v>0</v>
      </c>
      <c r="I596" s="438">
        <f>H596*E596</f>
        <v>0</v>
      </c>
      <c r="J596" s="438">
        <f>G596-C596</f>
        <v>0</v>
      </c>
      <c r="K596" s="438">
        <f>I596-F596</f>
        <v>0</v>
      </c>
      <c r="L596" s="438">
        <f>IF(F596&lt;I596,(I596-F596),0)</f>
        <v>0</v>
      </c>
      <c r="M596" s="438">
        <f>IF(F596&gt;I596,(I596-F596),0)</f>
        <v>0</v>
      </c>
      <c r="N596" s="438">
        <f>M596+L596</f>
        <v>0</v>
      </c>
      <c r="O596" s="368"/>
    </row>
    <row r="597" spans="1:15" s="57" customFormat="1">
      <c r="A597" s="209"/>
      <c r="B597" s="214"/>
      <c r="C597" s="422"/>
      <c r="D597" s="212"/>
      <c r="E597" s="422"/>
      <c r="F597" s="422"/>
      <c r="G597" s="109"/>
      <c r="H597" s="422"/>
      <c r="I597" s="422"/>
      <c r="J597" s="422"/>
      <c r="K597" s="368"/>
      <c r="L597" s="368"/>
      <c r="M597" s="368"/>
      <c r="N597" s="368"/>
      <c r="O597" s="368"/>
    </row>
    <row r="598" spans="1:15" s="57" customFormat="1" ht="26.4">
      <c r="A598" s="209" t="s">
        <v>355</v>
      </c>
      <c r="B598" s="214" t="s">
        <v>356</v>
      </c>
      <c r="C598" s="423"/>
      <c r="D598" s="212" t="s">
        <v>27</v>
      </c>
      <c r="E598" s="452">
        <v>3457</v>
      </c>
      <c r="F598" s="109">
        <f>E598*C598</f>
        <v>0</v>
      </c>
      <c r="G598" s="451"/>
      <c r="H598" s="438">
        <f>ROUND(G598,2)</f>
        <v>0</v>
      </c>
      <c r="I598" s="438">
        <f>H598*E598</f>
        <v>0</v>
      </c>
      <c r="J598" s="438">
        <f>G598-C598</f>
        <v>0</v>
      </c>
      <c r="K598" s="438">
        <f>I598-F598</f>
        <v>0</v>
      </c>
      <c r="L598" s="438">
        <f>IF(F598&lt;I598,(I598-F598),0)</f>
        <v>0</v>
      </c>
      <c r="M598" s="438">
        <f>IF(F598&gt;I598,(I598-F598),0)</f>
        <v>0</v>
      </c>
      <c r="N598" s="438">
        <f>M598+L598</f>
        <v>0</v>
      </c>
      <c r="O598" s="368"/>
    </row>
    <row r="599" spans="1:15" s="57" customFormat="1">
      <c r="A599" s="209"/>
      <c r="B599" s="214"/>
      <c r="C599" s="422"/>
      <c r="D599" s="212"/>
      <c r="E599" s="422"/>
      <c r="F599" s="422"/>
      <c r="G599" s="109"/>
      <c r="H599" s="422"/>
      <c r="I599" s="422"/>
      <c r="J599" s="422"/>
      <c r="K599" s="368"/>
      <c r="L599" s="368"/>
      <c r="M599" s="368"/>
      <c r="N599" s="368"/>
      <c r="O599" s="368"/>
    </row>
    <row r="600" spans="1:15" s="57" customFormat="1" ht="26.4">
      <c r="A600" s="209" t="s">
        <v>357</v>
      </c>
      <c r="B600" s="214" t="s">
        <v>358</v>
      </c>
      <c r="C600" s="423"/>
      <c r="D600" s="212" t="s">
        <v>27</v>
      </c>
      <c r="E600" s="452">
        <v>4237</v>
      </c>
      <c r="F600" s="109">
        <f>E600*C600</f>
        <v>0</v>
      </c>
      <c r="G600" s="451"/>
      <c r="H600" s="438">
        <f>ROUND(G600,2)</f>
        <v>0</v>
      </c>
      <c r="I600" s="438">
        <f>H600*E600</f>
        <v>0</v>
      </c>
      <c r="J600" s="438">
        <f>G600-C600</f>
        <v>0</v>
      </c>
      <c r="K600" s="438">
        <f>I600-F600</f>
        <v>0</v>
      </c>
      <c r="L600" s="438">
        <f>IF(F600&lt;I600,(I600-F600),0)</f>
        <v>0</v>
      </c>
      <c r="M600" s="438">
        <f>IF(F600&gt;I600,(I600-F600),0)</f>
        <v>0</v>
      </c>
      <c r="N600" s="438">
        <f>M600+L600</f>
        <v>0</v>
      </c>
      <c r="O600" s="368"/>
    </row>
    <row r="601" spans="1:15" s="57" customFormat="1">
      <c r="A601" s="209"/>
      <c r="B601" s="214"/>
      <c r="C601" s="422"/>
      <c r="D601" s="212"/>
      <c r="E601" s="422"/>
      <c r="F601" s="422"/>
      <c r="G601" s="109"/>
      <c r="H601" s="422"/>
      <c r="I601" s="422"/>
      <c r="J601" s="422"/>
      <c r="K601" s="368"/>
      <c r="L601" s="368"/>
      <c r="M601" s="368"/>
      <c r="N601" s="368"/>
      <c r="O601" s="368"/>
    </row>
    <row r="602" spans="1:15" s="57" customFormat="1">
      <c r="A602" s="366"/>
      <c r="B602" s="365" t="s">
        <v>359</v>
      </c>
      <c r="C602" s="425"/>
      <c r="D602" s="367"/>
      <c r="E602" s="425"/>
      <c r="F602" s="425">
        <f>SUM(F514:F601)</f>
        <v>237741</v>
      </c>
      <c r="G602" s="425"/>
      <c r="H602" s="425"/>
      <c r="I602" s="425">
        <f>SUM(I514:I601)</f>
        <v>212537</v>
      </c>
      <c r="J602" s="425"/>
      <c r="K602" s="425">
        <f>SUM(K514:K601)</f>
        <v>-25204</v>
      </c>
      <c r="L602" s="425">
        <f>SUM(L514:L601)</f>
        <v>0</v>
      </c>
      <c r="M602" s="425">
        <f>SUM(M514:M601)</f>
        <v>-25204</v>
      </c>
      <c r="N602" s="425">
        <f>SUM(N514:N601)</f>
        <v>-25204</v>
      </c>
      <c r="O602" s="425"/>
    </row>
    <row r="603" spans="1:15" s="57" customFormat="1">
      <c r="A603" s="209"/>
      <c r="B603" s="210"/>
      <c r="C603" s="422"/>
      <c r="D603" s="212"/>
      <c r="E603" s="422"/>
      <c r="F603" s="422"/>
      <c r="G603" s="109"/>
      <c r="H603" s="422"/>
      <c r="I603" s="422"/>
      <c r="J603" s="422"/>
      <c r="K603" s="368"/>
      <c r="L603" s="368"/>
      <c r="M603" s="368"/>
      <c r="N603" s="368"/>
      <c r="O603" s="368"/>
    </row>
    <row r="604" spans="1:15" s="57" customFormat="1">
      <c r="A604" s="325" t="s">
        <v>302</v>
      </c>
      <c r="B604" s="87" t="s">
        <v>360</v>
      </c>
      <c r="C604" s="421"/>
      <c r="D604" s="88"/>
      <c r="E604" s="421"/>
      <c r="F604" s="421"/>
      <c r="G604" s="421"/>
      <c r="H604" s="421"/>
      <c r="I604" s="421"/>
      <c r="J604" s="421"/>
      <c r="K604" s="421"/>
      <c r="L604" s="421"/>
      <c r="M604" s="421"/>
      <c r="N604" s="421"/>
      <c r="O604" s="421"/>
    </row>
    <row r="605" spans="1:15" s="57" customFormat="1">
      <c r="A605" s="209"/>
      <c r="B605" s="210"/>
      <c r="C605" s="422"/>
      <c r="D605" s="212"/>
      <c r="E605" s="422"/>
      <c r="F605" s="422"/>
      <c r="G605" s="422"/>
      <c r="H605" s="422"/>
      <c r="I605" s="422"/>
      <c r="J605" s="422"/>
      <c r="K605" s="368"/>
      <c r="L605" s="368"/>
      <c r="M605" s="368"/>
      <c r="N605" s="368"/>
      <c r="O605" s="368"/>
    </row>
    <row r="606" spans="1:15" s="57" customFormat="1">
      <c r="A606" s="223">
        <v>2.1</v>
      </c>
      <c r="B606" s="224" t="s">
        <v>361</v>
      </c>
      <c r="C606" s="423"/>
      <c r="D606" s="212" t="s">
        <v>27</v>
      </c>
      <c r="E606" s="452">
        <v>35086</v>
      </c>
      <c r="F606" s="109">
        <f>E606*C606</f>
        <v>0</v>
      </c>
      <c r="G606" s="451"/>
      <c r="H606" s="438">
        <f>ROUND(G606,2)</f>
        <v>0</v>
      </c>
      <c r="I606" s="438">
        <f>H606*E606</f>
        <v>0</v>
      </c>
      <c r="J606" s="438">
        <f>G606-C606</f>
        <v>0</v>
      </c>
      <c r="K606" s="438">
        <f>I606-F606</f>
        <v>0</v>
      </c>
      <c r="L606" s="438">
        <f>IF(F606&lt;I606,(I606-F606),0)</f>
        <v>0</v>
      </c>
      <c r="M606" s="438">
        <f>IF(F606&gt;I606,(I606-F606),0)</f>
        <v>0</v>
      </c>
      <c r="N606" s="438">
        <f>M606+L606</f>
        <v>0</v>
      </c>
      <c r="O606" s="368"/>
    </row>
    <row r="607" spans="1:15" s="57" customFormat="1">
      <c r="A607" s="223"/>
      <c r="B607" s="92" t="s">
        <v>362</v>
      </c>
      <c r="C607" s="338"/>
      <c r="D607" s="212"/>
      <c r="E607" s="338"/>
      <c r="F607" s="338"/>
      <c r="G607" s="422"/>
      <c r="H607" s="338"/>
      <c r="I607" s="338"/>
      <c r="J607" s="338"/>
      <c r="K607" s="368"/>
      <c r="L607" s="368"/>
      <c r="M607" s="368"/>
      <c r="N607" s="368"/>
      <c r="O607" s="368"/>
    </row>
    <row r="608" spans="1:15" s="57" customFormat="1">
      <c r="A608" s="223"/>
      <c r="B608" s="326" t="s">
        <v>363</v>
      </c>
      <c r="C608" s="338"/>
      <c r="D608" s="212"/>
      <c r="E608" s="338"/>
      <c r="F608" s="338"/>
      <c r="G608" s="422"/>
      <c r="H608" s="338"/>
      <c r="I608" s="338"/>
      <c r="J608" s="338"/>
      <c r="K608" s="368"/>
      <c r="L608" s="368"/>
      <c r="M608" s="368"/>
      <c r="N608" s="368"/>
      <c r="O608" s="368"/>
    </row>
    <row r="609" spans="1:15" s="57" customFormat="1">
      <c r="A609" s="223"/>
      <c r="B609" s="326" t="s">
        <v>364</v>
      </c>
      <c r="C609" s="338"/>
      <c r="D609" s="212"/>
      <c r="E609" s="338"/>
      <c r="F609" s="338"/>
      <c r="G609" s="422"/>
      <c r="H609" s="338"/>
      <c r="I609" s="338"/>
      <c r="J609" s="338"/>
      <c r="K609" s="368"/>
      <c r="L609" s="368"/>
      <c r="M609" s="368"/>
      <c r="N609" s="368"/>
      <c r="O609" s="368"/>
    </row>
    <row r="610" spans="1:15" s="57" customFormat="1">
      <c r="A610" s="223"/>
      <c r="B610" s="326" t="s">
        <v>365</v>
      </c>
      <c r="C610" s="338"/>
      <c r="D610" s="212"/>
      <c r="E610" s="338"/>
      <c r="F610" s="338"/>
      <c r="G610" s="422"/>
      <c r="H610" s="338"/>
      <c r="I610" s="338"/>
      <c r="J610" s="338"/>
      <c r="K610" s="368"/>
      <c r="L610" s="368"/>
      <c r="M610" s="368"/>
      <c r="N610" s="368"/>
      <c r="O610" s="368"/>
    </row>
    <row r="611" spans="1:15" s="57" customFormat="1">
      <c r="A611" s="223"/>
      <c r="B611" s="326" t="s">
        <v>366</v>
      </c>
      <c r="C611" s="338"/>
      <c r="D611" s="212"/>
      <c r="E611" s="338"/>
      <c r="F611" s="338"/>
      <c r="G611" s="422"/>
      <c r="H611" s="338"/>
      <c r="I611" s="338"/>
      <c r="J611" s="338"/>
      <c r="K611" s="368"/>
      <c r="L611" s="368"/>
      <c r="M611" s="368"/>
      <c r="N611" s="368"/>
      <c r="O611" s="368"/>
    </row>
    <row r="612" spans="1:15" s="57" customFormat="1">
      <c r="A612" s="223"/>
      <c r="B612" s="326" t="s">
        <v>367</v>
      </c>
      <c r="C612" s="338"/>
      <c r="D612" s="212"/>
      <c r="E612" s="338"/>
      <c r="F612" s="338"/>
      <c r="G612" s="422"/>
      <c r="H612" s="338"/>
      <c r="I612" s="338"/>
      <c r="J612" s="338"/>
      <c r="K612" s="368"/>
      <c r="L612" s="368"/>
      <c r="M612" s="368"/>
      <c r="N612" s="368"/>
      <c r="O612" s="368"/>
    </row>
    <row r="613" spans="1:15" s="57" customFormat="1">
      <c r="A613" s="223"/>
      <c r="B613" s="326" t="s">
        <v>368</v>
      </c>
      <c r="C613" s="338"/>
      <c r="D613" s="212"/>
      <c r="E613" s="338"/>
      <c r="F613" s="338"/>
      <c r="G613" s="422"/>
      <c r="H613" s="338"/>
      <c r="I613" s="338"/>
      <c r="J613" s="338"/>
      <c r="K613" s="368"/>
      <c r="L613" s="368"/>
      <c r="M613" s="368"/>
      <c r="N613" s="368"/>
      <c r="O613" s="368"/>
    </row>
    <row r="614" spans="1:15" s="57" customFormat="1">
      <c r="A614" s="223"/>
      <c r="B614" s="326" t="s">
        <v>369</v>
      </c>
      <c r="C614" s="338"/>
      <c r="D614" s="212"/>
      <c r="E614" s="338"/>
      <c r="F614" s="338"/>
      <c r="G614" s="422"/>
      <c r="H614" s="338"/>
      <c r="I614" s="338"/>
      <c r="J614" s="338"/>
      <c r="K614" s="368"/>
      <c r="L614" s="368"/>
      <c r="M614" s="368"/>
      <c r="N614" s="368"/>
      <c r="O614" s="368"/>
    </row>
    <row r="615" spans="1:15" s="57" customFormat="1">
      <c r="A615" s="223"/>
      <c r="B615" s="326" t="s">
        <v>370</v>
      </c>
      <c r="C615" s="338"/>
      <c r="D615" s="212"/>
      <c r="E615" s="338"/>
      <c r="F615" s="338"/>
      <c r="G615" s="422"/>
      <c r="H615" s="338"/>
      <c r="I615" s="338"/>
      <c r="J615" s="338"/>
      <c r="K615" s="368"/>
      <c r="L615" s="368"/>
      <c r="M615" s="368"/>
      <c r="N615" s="368"/>
      <c r="O615" s="368"/>
    </row>
    <row r="616" spans="1:15" s="57" customFormat="1">
      <c r="A616" s="223"/>
      <c r="B616" s="326" t="s">
        <v>371</v>
      </c>
      <c r="C616" s="338"/>
      <c r="D616" s="212"/>
      <c r="E616" s="338"/>
      <c r="F616" s="338"/>
      <c r="G616" s="422"/>
      <c r="H616" s="338"/>
      <c r="I616" s="338"/>
      <c r="J616" s="338"/>
      <c r="K616" s="368"/>
      <c r="L616" s="368"/>
      <c r="M616" s="368"/>
      <c r="N616" s="368"/>
      <c r="O616" s="368"/>
    </row>
    <row r="617" spans="1:15" s="57" customFormat="1">
      <c r="A617" s="223"/>
      <c r="B617" s="326" t="s">
        <v>372</v>
      </c>
      <c r="C617" s="339"/>
      <c r="D617" s="340"/>
      <c r="E617" s="339"/>
      <c r="F617" s="339"/>
      <c r="G617" s="422"/>
      <c r="H617" s="339"/>
      <c r="I617" s="339"/>
      <c r="J617" s="339"/>
      <c r="K617" s="368"/>
      <c r="L617" s="368"/>
      <c r="M617" s="368"/>
      <c r="N617" s="368"/>
      <c r="O617" s="368"/>
    </row>
    <row r="618" spans="1:15" s="57" customFormat="1">
      <c r="A618" s="223"/>
      <c r="B618" s="326" t="s">
        <v>373</v>
      </c>
      <c r="C618" s="338"/>
      <c r="D618" s="212"/>
      <c r="E618" s="338"/>
      <c r="F618" s="338"/>
      <c r="G618" s="422"/>
      <c r="H618" s="338"/>
      <c r="I618" s="338"/>
      <c r="J618" s="338"/>
      <c r="K618" s="368"/>
      <c r="L618" s="368"/>
      <c r="M618" s="368"/>
      <c r="N618" s="368"/>
      <c r="O618" s="368"/>
    </row>
    <row r="619" spans="1:15" s="57" customFormat="1">
      <c r="A619" s="223"/>
      <c r="B619" s="326" t="s">
        <v>374</v>
      </c>
      <c r="C619" s="338"/>
      <c r="D619" s="212"/>
      <c r="E619" s="338"/>
      <c r="F619" s="338"/>
      <c r="G619" s="422"/>
      <c r="H619" s="338"/>
      <c r="I619" s="338"/>
      <c r="J619" s="338"/>
      <c r="K619" s="368"/>
      <c r="L619" s="368"/>
      <c r="M619" s="368"/>
      <c r="N619" s="368"/>
      <c r="O619" s="368"/>
    </row>
    <row r="620" spans="1:15" s="57" customFormat="1">
      <c r="A620" s="209"/>
      <c r="B620" s="210"/>
      <c r="C620" s="422"/>
      <c r="D620" s="212"/>
      <c r="E620" s="422"/>
      <c r="F620" s="422"/>
      <c r="G620" s="422"/>
      <c r="H620" s="422"/>
      <c r="I620" s="422"/>
      <c r="J620" s="422"/>
      <c r="K620" s="368"/>
      <c r="L620" s="368"/>
      <c r="M620" s="368"/>
      <c r="N620" s="368"/>
      <c r="O620" s="368"/>
    </row>
    <row r="621" spans="1:15" s="57" customFormat="1">
      <c r="A621" s="234">
        <v>2.2000000000000002</v>
      </c>
      <c r="B621" s="210" t="s">
        <v>375</v>
      </c>
      <c r="C621" s="423">
        <v>1</v>
      </c>
      <c r="D621" s="212" t="s">
        <v>27</v>
      </c>
      <c r="E621" s="452">
        <v>55333</v>
      </c>
      <c r="F621" s="109">
        <f>E621*C621</f>
        <v>55333</v>
      </c>
      <c r="G621" s="451"/>
      <c r="H621" s="438">
        <f>ROUND(G621,2)</f>
        <v>0</v>
      </c>
      <c r="I621" s="438">
        <f>H621*E621</f>
        <v>0</v>
      </c>
      <c r="J621" s="438">
        <f>G621-C621</f>
        <v>-1</v>
      </c>
      <c r="K621" s="438">
        <f>I621-F621</f>
        <v>-55333</v>
      </c>
      <c r="L621" s="438">
        <f>IF(F621&lt;I621,(I621-F621),0)</f>
        <v>0</v>
      </c>
      <c r="M621" s="438">
        <f>IF(F621&gt;I621,(I621-F621),0)</f>
        <v>-55333</v>
      </c>
      <c r="N621" s="438">
        <f>M621+L621</f>
        <v>-55333</v>
      </c>
      <c r="O621" s="368"/>
    </row>
    <row r="622" spans="1:15" s="57" customFormat="1">
      <c r="A622" s="234"/>
      <c r="B622" s="335" t="s">
        <v>376</v>
      </c>
      <c r="C622" s="422"/>
      <c r="D622" s="212"/>
      <c r="E622" s="422"/>
      <c r="F622" s="422"/>
      <c r="G622" s="422"/>
      <c r="H622" s="422"/>
      <c r="I622" s="422"/>
      <c r="J622" s="422"/>
      <c r="K622" s="368"/>
      <c r="L622" s="368"/>
      <c r="M622" s="368"/>
      <c r="N622" s="368"/>
      <c r="O622" s="368"/>
    </row>
    <row r="623" spans="1:15" s="57" customFormat="1">
      <c r="A623" s="234"/>
      <c r="B623" s="214" t="s">
        <v>363</v>
      </c>
      <c r="C623" s="422"/>
      <c r="D623" s="212"/>
      <c r="E623" s="422"/>
      <c r="F623" s="422"/>
      <c r="G623" s="422"/>
      <c r="H623" s="422"/>
      <c r="I623" s="422"/>
      <c r="J623" s="422"/>
      <c r="K623" s="368"/>
      <c r="L623" s="368"/>
      <c r="M623" s="368"/>
      <c r="N623" s="368"/>
      <c r="O623" s="368"/>
    </row>
    <row r="624" spans="1:15" s="57" customFormat="1">
      <c r="A624" s="234"/>
      <c r="B624" s="214" t="s">
        <v>364</v>
      </c>
      <c r="C624" s="422"/>
      <c r="D624" s="212"/>
      <c r="E624" s="422"/>
      <c r="F624" s="422"/>
      <c r="G624" s="422"/>
      <c r="H624" s="422"/>
      <c r="I624" s="422"/>
      <c r="J624" s="422"/>
      <c r="K624" s="368"/>
      <c r="L624" s="368"/>
      <c r="M624" s="368"/>
      <c r="N624" s="368"/>
      <c r="O624" s="368"/>
    </row>
    <row r="625" spans="1:15" s="57" customFormat="1">
      <c r="A625" s="234"/>
      <c r="B625" s="214" t="s">
        <v>365</v>
      </c>
      <c r="C625" s="422"/>
      <c r="D625" s="212"/>
      <c r="E625" s="422"/>
      <c r="F625" s="422"/>
      <c r="G625" s="422"/>
      <c r="H625" s="422"/>
      <c r="I625" s="422"/>
      <c r="J625" s="422"/>
      <c r="K625" s="368"/>
      <c r="L625" s="368"/>
      <c r="M625" s="368"/>
      <c r="N625" s="368"/>
      <c r="O625" s="368"/>
    </row>
    <row r="626" spans="1:15" s="57" customFormat="1">
      <c r="A626" s="234"/>
      <c r="B626" s="214" t="s">
        <v>366</v>
      </c>
      <c r="C626" s="422"/>
      <c r="D626" s="212"/>
      <c r="E626" s="422"/>
      <c r="F626" s="422"/>
      <c r="G626" s="422"/>
      <c r="H626" s="422"/>
      <c r="I626" s="422"/>
      <c r="J626" s="422"/>
      <c r="K626" s="368"/>
      <c r="L626" s="368"/>
      <c r="M626" s="368"/>
      <c r="N626" s="368"/>
      <c r="O626" s="368"/>
    </row>
    <row r="627" spans="1:15" s="57" customFormat="1">
      <c r="A627" s="234"/>
      <c r="B627" s="214" t="s">
        <v>367</v>
      </c>
      <c r="C627" s="422"/>
      <c r="D627" s="212"/>
      <c r="E627" s="422"/>
      <c r="F627" s="422"/>
      <c r="G627" s="422"/>
      <c r="H627" s="422"/>
      <c r="I627" s="422"/>
      <c r="J627" s="422"/>
      <c r="K627" s="368"/>
      <c r="L627" s="368"/>
      <c r="M627" s="368"/>
      <c r="N627" s="368"/>
      <c r="O627" s="368"/>
    </row>
    <row r="628" spans="1:15" s="57" customFormat="1">
      <c r="A628" s="234"/>
      <c r="B628" s="214" t="s">
        <v>368</v>
      </c>
      <c r="C628" s="422"/>
      <c r="D628" s="212"/>
      <c r="E628" s="422"/>
      <c r="F628" s="422"/>
      <c r="G628" s="422"/>
      <c r="H628" s="422"/>
      <c r="I628" s="422"/>
      <c r="J628" s="422"/>
      <c r="K628" s="368"/>
      <c r="L628" s="368"/>
      <c r="M628" s="368"/>
      <c r="N628" s="368"/>
      <c r="O628" s="368"/>
    </row>
    <row r="629" spans="1:15" s="57" customFormat="1">
      <c r="A629" s="234"/>
      <c r="B629" s="214" t="s">
        <v>369</v>
      </c>
      <c r="C629" s="422"/>
      <c r="D629" s="212"/>
      <c r="E629" s="422"/>
      <c r="F629" s="422"/>
      <c r="G629" s="422"/>
      <c r="H629" s="422"/>
      <c r="I629" s="422"/>
      <c r="J629" s="422"/>
      <c r="K629" s="368"/>
      <c r="L629" s="368"/>
      <c r="M629" s="368"/>
      <c r="N629" s="368"/>
      <c r="O629" s="368"/>
    </row>
    <row r="630" spans="1:15" s="57" customFormat="1">
      <c r="A630" s="234"/>
      <c r="B630" s="214" t="s">
        <v>377</v>
      </c>
      <c r="C630" s="422"/>
      <c r="D630" s="212"/>
      <c r="E630" s="422"/>
      <c r="F630" s="422"/>
      <c r="G630" s="422"/>
      <c r="H630" s="422"/>
      <c r="I630" s="422"/>
      <c r="J630" s="422"/>
      <c r="K630" s="368"/>
      <c r="L630" s="368"/>
      <c r="M630" s="368"/>
      <c r="N630" s="368"/>
      <c r="O630" s="368"/>
    </row>
    <row r="631" spans="1:15" s="57" customFormat="1">
      <c r="A631" s="234"/>
      <c r="B631" s="214" t="s">
        <v>378</v>
      </c>
      <c r="C631" s="422"/>
      <c r="D631" s="212"/>
      <c r="E631" s="422"/>
      <c r="F631" s="422"/>
      <c r="G631" s="422"/>
      <c r="H631" s="422"/>
      <c r="I631" s="422"/>
      <c r="J631" s="422"/>
      <c r="K631" s="368"/>
      <c r="L631" s="368"/>
      <c r="M631" s="368"/>
      <c r="N631" s="368"/>
      <c r="O631" s="368"/>
    </row>
    <row r="632" spans="1:15" s="57" customFormat="1">
      <c r="A632" s="234"/>
      <c r="B632" s="214" t="s">
        <v>379</v>
      </c>
      <c r="C632" s="426"/>
      <c r="D632" s="340"/>
      <c r="E632" s="426"/>
      <c r="F632" s="426"/>
      <c r="G632" s="422"/>
      <c r="H632" s="426"/>
      <c r="I632" s="426"/>
      <c r="J632" s="426"/>
      <c r="K632" s="368"/>
      <c r="L632" s="368"/>
      <c r="M632" s="368"/>
      <c r="N632" s="368"/>
      <c r="O632" s="368"/>
    </row>
    <row r="633" spans="1:15" s="57" customFormat="1">
      <c r="A633" s="234"/>
      <c r="B633" s="214" t="s">
        <v>373</v>
      </c>
      <c r="C633" s="422"/>
      <c r="D633" s="212"/>
      <c r="E633" s="422"/>
      <c r="F633" s="422"/>
      <c r="G633" s="422"/>
      <c r="H633" s="422"/>
      <c r="I633" s="422"/>
      <c r="J633" s="422"/>
      <c r="K633" s="368"/>
      <c r="L633" s="368"/>
      <c r="M633" s="368"/>
      <c r="N633" s="368"/>
      <c r="O633" s="368"/>
    </row>
    <row r="634" spans="1:15" s="57" customFormat="1">
      <c r="A634" s="234"/>
      <c r="B634" s="214" t="s">
        <v>380</v>
      </c>
      <c r="C634" s="422"/>
      <c r="D634" s="212"/>
      <c r="E634" s="422"/>
      <c r="F634" s="422"/>
      <c r="G634" s="422"/>
      <c r="H634" s="422"/>
      <c r="I634" s="422"/>
      <c r="J634" s="422"/>
      <c r="K634" s="368"/>
      <c r="L634" s="368"/>
      <c r="M634" s="368"/>
      <c r="N634" s="368"/>
      <c r="O634" s="368"/>
    </row>
    <row r="635" spans="1:15" s="57" customFormat="1">
      <c r="A635" s="234"/>
      <c r="B635" s="214"/>
      <c r="C635" s="422"/>
      <c r="D635" s="212"/>
      <c r="E635" s="422"/>
      <c r="F635" s="422"/>
      <c r="G635" s="422"/>
      <c r="H635" s="422"/>
      <c r="I635" s="422"/>
      <c r="J635" s="422"/>
      <c r="K635" s="368"/>
      <c r="L635" s="368"/>
      <c r="M635" s="368"/>
      <c r="N635" s="368"/>
      <c r="O635" s="368"/>
    </row>
    <row r="636" spans="1:15" s="57" customFormat="1">
      <c r="A636" s="234">
        <v>2.2999999999999998</v>
      </c>
      <c r="B636" s="210" t="s">
        <v>381</v>
      </c>
      <c r="C636" s="423"/>
      <c r="D636" s="212" t="s">
        <v>27</v>
      </c>
      <c r="E636" s="452">
        <v>90152</v>
      </c>
      <c r="F636" s="109">
        <f>E636*C636</f>
        <v>0</v>
      </c>
      <c r="G636" s="451"/>
      <c r="H636" s="438">
        <f>ROUND(G636,2)</f>
        <v>0</v>
      </c>
      <c r="I636" s="438">
        <f>H636*E636</f>
        <v>0</v>
      </c>
      <c r="J636" s="438">
        <f>G636-C636</f>
        <v>0</v>
      </c>
      <c r="K636" s="438">
        <f>I636-F636</f>
        <v>0</v>
      </c>
      <c r="L636" s="438">
        <f>IF(F636&lt;I636,(I636-F636),0)</f>
        <v>0</v>
      </c>
      <c r="M636" s="438">
        <f>IF(F636&gt;I636,(I636-F636),0)</f>
        <v>0</v>
      </c>
      <c r="N636" s="438">
        <f>M636+L636</f>
        <v>0</v>
      </c>
      <c r="O636" s="368"/>
    </row>
    <row r="637" spans="1:15" s="57" customFormat="1">
      <c r="A637" s="234"/>
      <c r="B637" s="335" t="s">
        <v>382</v>
      </c>
      <c r="C637" s="422"/>
      <c r="D637" s="212"/>
      <c r="E637" s="422"/>
      <c r="F637" s="422"/>
      <c r="G637" s="422"/>
      <c r="H637" s="422"/>
      <c r="I637" s="422"/>
      <c r="J637" s="422"/>
      <c r="K637" s="368"/>
      <c r="L637" s="368"/>
      <c r="M637" s="368"/>
      <c r="N637" s="368"/>
      <c r="O637" s="368"/>
    </row>
    <row r="638" spans="1:15" s="57" customFormat="1">
      <c r="A638" s="234"/>
      <c r="B638" s="214" t="s">
        <v>363</v>
      </c>
      <c r="C638" s="422"/>
      <c r="D638" s="212"/>
      <c r="E638" s="422"/>
      <c r="F638" s="422"/>
      <c r="G638" s="422"/>
      <c r="H638" s="422"/>
      <c r="I638" s="422"/>
      <c r="J638" s="422"/>
      <c r="K638" s="368"/>
      <c r="L638" s="368"/>
      <c r="M638" s="368"/>
      <c r="N638" s="368"/>
      <c r="O638" s="368"/>
    </row>
    <row r="639" spans="1:15" s="57" customFormat="1">
      <c r="A639" s="234"/>
      <c r="B639" s="214" t="s">
        <v>383</v>
      </c>
      <c r="C639" s="422"/>
      <c r="D639" s="212"/>
      <c r="E639" s="422"/>
      <c r="F639" s="422"/>
      <c r="G639" s="422"/>
      <c r="H639" s="422"/>
      <c r="I639" s="422"/>
      <c r="J639" s="422"/>
      <c r="K639" s="368"/>
      <c r="L639" s="368"/>
      <c r="M639" s="368"/>
      <c r="N639" s="368"/>
      <c r="O639" s="368"/>
    </row>
    <row r="640" spans="1:15" s="57" customFormat="1">
      <c r="A640" s="234"/>
      <c r="B640" s="214" t="s">
        <v>365</v>
      </c>
      <c r="C640" s="422"/>
      <c r="D640" s="212"/>
      <c r="E640" s="422"/>
      <c r="F640" s="422"/>
      <c r="G640" s="422"/>
      <c r="H640" s="422"/>
      <c r="I640" s="422"/>
      <c r="J640" s="422"/>
      <c r="K640" s="368"/>
      <c r="L640" s="368"/>
      <c r="M640" s="368"/>
      <c r="N640" s="368"/>
      <c r="O640" s="368"/>
    </row>
    <row r="641" spans="1:15" s="57" customFormat="1">
      <c r="A641" s="234"/>
      <c r="B641" s="214" t="s">
        <v>366</v>
      </c>
      <c r="C641" s="422"/>
      <c r="D641" s="212"/>
      <c r="E641" s="422"/>
      <c r="F641" s="422"/>
      <c r="G641" s="422"/>
      <c r="H641" s="422"/>
      <c r="I641" s="422"/>
      <c r="J641" s="422"/>
      <c r="K641" s="368"/>
      <c r="L641" s="368"/>
      <c r="M641" s="368"/>
      <c r="N641" s="368"/>
      <c r="O641" s="368"/>
    </row>
    <row r="642" spans="1:15" s="57" customFormat="1">
      <c r="A642" s="234"/>
      <c r="B642" s="214" t="s">
        <v>367</v>
      </c>
      <c r="C642" s="422"/>
      <c r="D642" s="212"/>
      <c r="E642" s="422"/>
      <c r="F642" s="422"/>
      <c r="G642" s="422"/>
      <c r="H642" s="422"/>
      <c r="I642" s="422"/>
      <c r="J642" s="422"/>
      <c r="K642" s="368"/>
      <c r="L642" s="368"/>
      <c r="M642" s="368"/>
      <c r="N642" s="368"/>
      <c r="O642" s="368"/>
    </row>
    <row r="643" spans="1:15" s="57" customFormat="1">
      <c r="A643" s="234"/>
      <c r="B643" s="214" t="s">
        <v>368</v>
      </c>
      <c r="C643" s="422"/>
      <c r="D643" s="212"/>
      <c r="E643" s="422"/>
      <c r="F643" s="422"/>
      <c r="G643" s="422"/>
      <c r="H643" s="422"/>
      <c r="I643" s="422"/>
      <c r="J643" s="422"/>
      <c r="K643" s="368"/>
      <c r="L643" s="368"/>
      <c r="M643" s="368"/>
      <c r="N643" s="368"/>
      <c r="O643" s="368"/>
    </row>
    <row r="644" spans="1:15" s="57" customFormat="1">
      <c r="A644" s="234"/>
      <c r="B644" s="214" t="s">
        <v>369</v>
      </c>
      <c r="C644" s="422"/>
      <c r="D644" s="212"/>
      <c r="E644" s="422"/>
      <c r="F644" s="422"/>
      <c r="G644" s="422"/>
      <c r="H644" s="422"/>
      <c r="I644" s="422"/>
      <c r="J644" s="422"/>
      <c r="K644" s="368"/>
      <c r="L644" s="368"/>
      <c r="M644" s="368"/>
      <c r="N644" s="368"/>
      <c r="O644" s="368"/>
    </row>
    <row r="645" spans="1:15" s="57" customFormat="1">
      <c r="A645" s="234"/>
      <c r="B645" s="214" t="s">
        <v>370</v>
      </c>
      <c r="C645" s="422"/>
      <c r="D645" s="212"/>
      <c r="E645" s="422"/>
      <c r="F645" s="422"/>
      <c r="G645" s="422"/>
      <c r="H645" s="422"/>
      <c r="I645" s="422"/>
      <c r="J645" s="422"/>
      <c r="K645" s="368"/>
      <c r="L645" s="368"/>
      <c r="M645" s="368"/>
      <c r="N645" s="368"/>
      <c r="O645" s="368"/>
    </row>
    <row r="646" spans="1:15" s="57" customFormat="1">
      <c r="A646" s="234"/>
      <c r="B646" s="214" t="s">
        <v>371</v>
      </c>
      <c r="C646" s="422"/>
      <c r="D646" s="212"/>
      <c r="E646" s="422"/>
      <c r="F646" s="422"/>
      <c r="G646" s="422"/>
      <c r="H646" s="422"/>
      <c r="I646" s="422"/>
      <c r="J646" s="422"/>
      <c r="K646" s="368"/>
      <c r="L646" s="368"/>
      <c r="M646" s="368"/>
      <c r="N646" s="368"/>
      <c r="O646" s="368"/>
    </row>
    <row r="647" spans="1:15" s="57" customFormat="1">
      <c r="A647" s="234"/>
      <c r="B647" s="214" t="s">
        <v>384</v>
      </c>
      <c r="C647" s="422"/>
      <c r="D647" s="212"/>
      <c r="E647" s="422"/>
      <c r="F647" s="422"/>
      <c r="G647" s="422"/>
      <c r="H647" s="422"/>
      <c r="I647" s="422"/>
      <c r="J647" s="422"/>
      <c r="K647" s="368"/>
      <c r="L647" s="368"/>
      <c r="M647" s="368"/>
      <c r="N647" s="368"/>
      <c r="O647" s="368"/>
    </row>
    <row r="648" spans="1:15" s="57" customFormat="1">
      <c r="A648" s="234"/>
      <c r="B648" s="214" t="s">
        <v>385</v>
      </c>
      <c r="C648" s="422"/>
      <c r="D648" s="212"/>
      <c r="E648" s="422"/>
      <c r="F648" s="422"/>
      <c r="G648" s="422"/>
      <c r="H648" s="422"/>
      <c r="I648" s="422"/>
      <c r="J648" s="422"/>
      <c r="K648" s="368"/>
      <c r="L648" s="368"/>
      <c r="M648" s="368"/>
      <c r="N648" s="368"/>
      <c r="O648" s="368"/>
    </row>
    <row r="649" spans="1:15" s="57" customFormat="1">
      <c r="A649" s="234"/>
      <c r="B649" s="214" t="s">
        <v>386</v>
      </c>
      <c r="C649" s="422"/>
      <c r="D649" s="212"/>
      <c r="E649" s="422"/>
      <c r="F649" s="422"/>
      <c r="G649" s="422"/>
      <c r="H649" s="422"/>
      <c r="I649" s="422"/>
      <c r="J649" s="422"/>
      <c r="K649" s="368"/>
      <c r="L649" s="368"/>
      <c r="M649" s="368"/>
      <c r="N649" s="368"/>
      <c r="O649" s="368"/>
    </row>
    <row r="650" spans="1:15" s="57" customFormat="1">
      <c r="A650" s="234"/>
      <c r="B650" s="214" t="s">
        <v>387</v>
      </c>
      <c r="C650" s="422"/>
      <c r="D650" s="212"/>
      <c r="E650" s="422"/>
      <c r="F650" s="422"/>
      <c r="G650" s="422"/>
      <c r="H650" s="422"/>
      <c r="I650" s="422"/>
      <c r="J650" s="422"/>
      <c r="K650" s="368"/>
      <c r="L650" s="368"/>
      <c r="M650" s="368"/>
      <c r="N650" s="368"/>
      <c r="O650" s="368"/>
    </row>
    <row r="651" spans="1:15" s="57" customFormat="1">
      <c r="A651" s="234"/>
      <c r="B651" s="214" t="s">
        <v>388</v>
      </c>
      <c r="C651" s="422"/>
      <c r="D651" s="212"/>
      <c r="E651" s="422"/>
      <c r="F651" s="422"/>
      <c r="G651" s="422"/>
      <c r="H651" s="422"/>
      <c r="I651" s="422"/>
      <c r="J651" s="422"/>
      <c r="K651" s="368"/>
      <c r="L651" s="368"/>
      <c r="M651" s="368"/>
      <c r="N651" s="368"/>
      <c r="O651" s="368"/>
    </row>
    <row r="652" spans="1:15" s="57" customFormat="1">
      <c r="A652" s="234"/>
      <c r="B652" s="214" t="s">
        <v>389</v>
      </c>
      <c r="C652" s="422"/>
      <c r="D652" s="212"/>
      <c r="E652" s="422"/>
      <c r="F652" s="422"/>
      <c r="G652" s="422"/>
      <c r="H652" s="422"/>
      <c r="I652" s="422"/>
      <c r="J652" s="422"/>
      <c r="K652" s="368"/>
      <c r="L652" s="368"/>
      <c r="M652" s="368"/>
      <c r="N652" s="368"/>
      <c r="O652" s="368"/>
    </row>
    <row r="653" spans="1:15" s="57" customFormat="1">
      <c r="A653" s="209"/>
      <c r="B653" s="214" t="s">
        <v>385</v>
      </c>
      <c r="C653" s="422"/>
      <c r="D653" s="212"/>
      <c r="E653" s="422"/>
      <c r="F653" s="422"/>
      <c r="G653" s="422"/>
      <c r="H653" s="422"/>
      <c r="I653" s="422"/>
      <c r="J653" s="422"/>
      <c r="K653" s="368"/>
      <c r="L653" s="368"/>
      <c r="M653" s="368"/>
      <c r="N653" s="368"/>
      <c r="O653" s="368"/>
    </row>
    <row r="654" spans="1:15" s="57" customFormat="1">
      <c r="A654" s="209"/>
      <c r="B654" s="214" t="s">
        <v>390</v>
      </c>
      <c r="C654" s="422"/>
      <c r="D654" s="212"/>
      <c r="E654" s="422"/>
      <c r="F654" s="422"/>
      <c r="G654" s="422"/>
      <c r="H654" s="422"/>
      <c r="I654" s="422"/>
      <c r="J654" s="422"/>
      <c r="K654" s="368"/>
      <c r="L654" s="368"/>
      <c r="M654" s="368"/>
      <c r="N654" s="368"/>
      <c r="O654" s="368"/>
    </row>
    <row r="655" spans="1:15" s="57" customFormat="1">
      <c r="A655" s="209"/>
      <c r="B655" s="214"/>
      <c r="C655" s="422"/>
      <c r="D655" s="212"/>
      <c r="E655" s="422"/>
      <c r="F655" s="422"/>
      <c r="G655" s="109"/>
      <c r="H655" s="422"/>
      <c r="I655" s="422"/>
      <c r="J655" s="422"/>
      <c r="K655" s="368"/>
      <c r="L655" s="368"/>
      <c r="M655" s="368"/>
      <c r="N655" s="368"/>
      <c r="O655" s="368"/>
    </row>
    <row r="656" spans="1:15" s="57" customFormat="1">
      <c r="A656" s="366"/>
      <c r="B656" s="365" t="s">
        <v>391</v>
      </c>
      <c r="C656" s="425"/>
      <c r="D656" s="367"/>
      <c r="E656" s="425"/>
      <c r="F656" s="425">
        <f>SUM(F605:F655)</f>
        <v>55333</v>
      </c>
      <c r="G656" s="425"/>
      <c r="H656" s="425"/>
      <c r="I656" s="425">
        <f>SUM(I605:I655)</f>
        <v>0</v>
      </c>
      <c r="J656" s="425"/>
      <c r="K656" s="425">
        <f>SUM(K605:K655)</f>
        <v>-55333</v>
      </c>
      <c r="L656" s="425">
        <f>SUM(L605:L655)</f>
        <v>0</v>
      </c>
      <c r="M656" s="425">
        <f>SUM(M605:M655)</f>
        <v>-55333</v>
      </c>
      <c r="N656" s="425">
        <f>SUM(N605:N655)</f>
        <v>-55333</v>
      </c>
      <c r="O656" s="425"/>
    </row>
    <row r="657" spans="1:15" s="57" customFormat="1">
      <c r="A657" s="291"/>
      <c r="B657" s="210"/>
      <c r="C657" s="427"/>
      <c r="D657" s="225"/>
      <c r="E657" s="427"/>
      <c r="F657" s="427"/>
      <c r="G657" s="109"/>
      <c r="H657" s="427"/>
      <c r="I657" s="427"/>
      <c r="J657" s="427"/>
      <c r="K657" s="368"/>
      <c r="L657" s="368"/>
      <c r="M657" s="368"/>
      <c r="N657" s="368"/>
      <c r="O657" s="368"/>
    </row>
    <row r="658" spans="1:15" s="57" customFormat="1">
      <c r="A658" s="89" t="s">
        <v>302</v>
      </c>
      <c r="B658" s="90" t="s">
        <v>392</v>
      </c>
      <c r="C658" s="428"/>
      <c r="D658" s="93"/>
      <c r="E658" s="428"/>
      <c r="F658" s="428"/>
      <c r="G658" s="61"/>
      <c r="H658" s="393"/>
      <c r="I658" s="393"/>
      <c r="J658" s="393"/>
      <c r="K658" s="393"/>
      <c r="L658" s="393"/>
      <c r="M658" s="393"/>
      <c r="N658" s="393"/>
      <c r="O658" s="393"/>
    </row>
    <row r="659" spans="1:15" s="57" customFormat="1" ht="26.4">
      <c r="A659" s="91"/>
      <c r="B659" s="92" t="s">
        <v>393</v>
      </c>
      <c r="C659" s="422"/>
      <c r="D659" s="212" t="s">
        <v>394</v>
      </c>
      <c r="E659" s="422"/>
      <c r="F659" s="422"/>
      <c r="G659" s="422"/>
      <c r="H659" s="422"/>
      <c r="I659" s="422"/>
      <c r="J659" s="422"/>
      <c r="K659" s="368"/>
      <c r="L659" s="368"/>
      <c r="M659" s="368"/>
      <c r="N659" s="368"/>
      <c r="O659" s="368"/>
    </row>
    <row r="660" spans="1:15" s="57" customFormat="1" ht="26.4">
      <c r="A660" s="91"/>
      <c r="B660" s="92" t="s">
        <v>395</v>
      </c>
      <c r="C660" s="422"/>
      <c r="D660" s="212" t="s">
        <v>394</v>
      </c>
      <c r="E660" s="422"/>
      <c r="F660" s="422"/>
      <c r="G660" s="422"/>
      <c r="H660" s="422"/>
      <c r="I660" s="422"/>
      <c r="J660" s="422"/>
      <c r="K660" s="368"/>
      <c r="L660" s="368"/>
      <c r="M660" s="368"/>
      <c r="N660" s="368"/>
      <c r="O660" s="368"/>
    </row>
    <row r="661" spans="1:15" s="57" customFormat="1">
      <c r="A661" s="223">
        <v>3.1</v>
      </c>
      <c r="B661" s="224" t="s">
        <v>396</v>
      </c>
      <c r="C661" s="427"/>
      <c r="D661" s="212"/>
      <c r="E661" s="427"/>
      <c r="F661" s="427"/>
      <c r="G661" s="422"/>
      <c r="H661" s="427"/>
      <c r="I661" s="427"/>
      <c r="J661" s="427"/>
      <c r="K661" s="368"/>
      <c r="L661" s="368"/>
      <c r="M661" s="368"/>
      <c r="N661" s="368"/>
      <c r="O661" s="368"/>
    </row>
    <row r="662" spans="1:15" s="57" customFormat="1" ht="66">
      <c r="A662" s="223"/>
      <c r="B662" s="341" t="s">
        <v>397</v>
      </c>
      <c r="C662" s="427"/>
      <c r="D662" s="212"/>
      <c r="E662" s="427"/>
      <c r="F662" s="427"/>
      <c r="G662" s="422"/>
      <c r="H662" s="427"/>
      <c r="I662" s="427"/>
      <c r="J662" s="427"/>
      <c r="K662" s="368"/>
      <c r="L662" s="368"/>
      <c r="M662" s="368"/>
      <c r="N662" s="368"/>
      <c r="O662" s="368"/>
    </row>
    <row r="663" spans="1:15" s="57" customFormat="1">
      <c r="A663" s="342" t="s">
        <v>398</v>
      </c>
      <c r="B663" s="327" t="s">
        <v>1390</v>
      </c>
      <c r="C663" s="423"/>
      <c r="D663" s="212" t="s">
        <v>27</v>
      </c>
      <c r="E663" s="452">
        <v>22119</v>
      </c>
      <c r="F663" s="109">
        <f>E663*C663</f>
        <v>0</v>
      </c>
      <c r="G663" s="451"/>
      <c r="H663" s="438">
        <f>ROUND(G663,2)</f>
        <v>0</v>
      </c>
      <c r="I663" s="438">
        <f>H663*E663</f>
        <v>0</v>
      </c>
      <c r="J663" s="438">
        <f>G663-C663</f>
        <v>0</v>
      </c>
      <c r="K663" s="438">
        <f>I663-F663</f>
        <v>0</v>
      </c>
      <c r="L663" s="438">
        <f>IF(F663&lt;I663,(I663-F663),0)</f>
        <v>0</v>
      </c>
      <c r="M663" s="438">
        <f>IF(F663&gt;I663,(I663-F663),0)</f>
        <v>0</v>
      </c>
      <c r="N663" s="438">
        <f>M663+L663</f>
        <v>0</v>
      </c>
      <c r="O663" s="368"/>
    </row>
    <row r="664" spans="1:15" s="57" customFormat="1">
      <c r="A664" s="223"/>
      <c r="B664" s="329" t="s">
        <v>399</v>
      </c>
      <c r="C664" s="427"/>
      <c r="D664" s="212"/>
      <c r="E664" s="427"/>
      <c r="F664" s="427"/>
      <c r="G664" s="422"/>
      <c r="H664" s="427"/>
      <c r="I664" s="427"/>
      <c r="J664" s="427"/>
      <c r="K664" s="368"/>
      <c r="L664" s="368"/>
      <c r="M664" s="368"/>
      <c r="N664" s="368"/>
      <c r="O664" s="368"/>
    </row>
    <row r="665" spans="1:15" s="57" customFormat="1">
      <c r="A665" s="223"/>
      <c r="B665" s="329" t="s">
        <v>400</v>
      </c>
      <c r="C665" s="427"/>
      <c r="D665" s="212"/>
      <c r="E665" s="427"/>
      <c r="F665" s="427"/>
      <c r="G665" s="422"/>
      <c r="H665" s="427"/>
      <c r="I665" s="427"/>
      <c r="J665" s="427"/>
      <c r="K665" s="368"/>
      <c r="L665" s="368"/>
      <c r="M665" s="368"/>
      <c r="N665" s="368"/>
      <c r="O665" s="368"/>
    </row>
    <row r="666" spans="1:15" s="57" customFormat="1">
      <c r="A666" s="223"/>
      <c r="B666" s="329" t="s">
        <v>401</v>
      </c>
      <c r="C666" s="427"/>
      <c r="D666" s="212"/>
      <c r="E666" s="427"/>
      <c r="F666" s="427"/>
      <c r="G666" s="422"/>
      <c r="H666" s="427"/>
      <c r="I666" s="427"/>
      <c r="J666" s="427"/>
      <c r="K666" s="368"/>
      <c r="L666" s="368"/>
      <c r="M666" s="368"/>
      <c r="N666" s="368"/>
      <c r="O666" s="368"/>
    </row>
    <row r="667" spans="1:15" s="57" customFormat="1">
      <c r="A667" s="223"/>
      <c r="B667" s="329" t="s">
        <v>402</v>
      </c>
      <c r="C667" s="427"/>
      <c r="D667" s="212"/>
      <c r="E667" s="427"/>
      <c r="F667" s="427"/>
      <c r="G667" s="422"/>
      <c r="H667" s="427"/>
      <c r="I667" s="427"/>
      <c r="J667" s="427"/>
      <c r="K667" s="368"/>
      <c r="L667" s="368"/>
      <c r="M667" s="368"/>
      <c r="N667" s="368"/>
      <c r="O667" s="368"/>
    </row>
    <row r="668" spans="1:15" s="57" customFormat="1">
      <c r="A668" s="223"/>
      <c r="B668" s="329" t="s">
        <v>403</v>
      </c>
      <c r="C668" s="427"/>
      <c r="D668" s="212"/>
      <c r="E668" s="427"/>
      <c r="F668" s="427"/>
      <c r="G668" s="422"/>
      <c r="H668" s="427"/>
      <c r="I668" s="427"/>
      <c r="J668" s="427"/>
      <c r="K668" s="368"/>
      <c r="L668" s="368"/>
      <c r="M668" s="368"/>
      <c r="N668" s="368"/>
      <c r="O668" s="368"/>
    </row>
    <row r="669" spans="1:15" s="57" customFormat="1">
      <c r="A669" s="342" t="s">
        <v>404</v>
      </c>
      <c r="B669" s="327" t="s">
        <v>1391</v>
      </c>
      <c r="C669" s="427"/>
      <c r="D669" s="212"/>
      <c r="E669" s="427"/>
      <c r="F669" s="427"/>
      <c r="G669" s="422"/>
      <c r="H669" s="427"/>
      <c r="I669" s="427"/>
      <c r="J669" s="427"/>
      <c r="K669" s="368"/>
      <c r="L669" s="368"/>
      <c r="M669" s="368"/>
      <c r="N669" s="368"/>
      <c r="O669" s="368"/>
    </row>
    <row r="670" spans="1:15" s="57" customFormat="1">
      <c r="A670" s="223"/>
      <c r="B670" s="329" t="s">
        <v>405</v>
      </c>
      <c r="C670" s="427"/>
      <c r="D670" s="212"/>
      <c r="E670" s="427"/>
      <c r="F670" s="427"/>
      <c r="G670" s="422"/>
      <c r="H670" s="427"/>
      <c r="I670" s="427"/>
      <c r="J670" s="427"/>
      <c r="K670" s="368"/>
      <c r="L670" s="368"/>
      <c r="M670" s="368"/>
      <c r="N670" s="368"/>
      <c r="O670" s="368"/>
    </row>
    <row r="671" spans="1:15" s="57" customFormat="1">
      <c r="A671" s="223"/>
      <c r="B671" s="329" t="s">
        <v>406</v>
      </c>
      <c r="C671" s="423"/>
      <c r="D671" s="212" t="s">
        <v>27</v>
      </c>
      <c r="E671" s="452">
        <v>31188</v>
      </c>
      <c r="F671" s="109">
        <f>E671*C671</f>
        <v>0</v>
      </c>
      <c r="G671" s="451"/>
      <c r="H671" s="438">
        <f>ROUND(G671,2)</f>
        <v>0</v>
      </c>
      <c r="I671" s="438">
        <f>H671*E671</f>
        <v>0</v>
      </c>
      <c r="J671" s="438">
        <f>G671-C671</f>
        <v>0</v>
      </c>
      <c r="K671" s="438">
        <f>I671-F671</f>
        <v>0</v>
      </c>
      <c r="L671" s="438">
        <f>IF(F671&lt;I671,(I671-F671),0)</f>
        <v>0</v>
      </c>
      <c r="M671" s="438">
        <f>IF(F671&gt;I671,(I671-F671),0)</f>
        <v>0</v>
      </c>
      <c r="N671" s="438">
        <f>M671+L671</f>
        <v>0</v>
      </c>
      <c r="O671" s="368"/>
    </row>
    <row r="672" spans="1:15" s="57" customFormat="1">
      <c r="A672" s="223"/>
      <c r="B672" s="329" t="s">
        <v>401</v>
      </c>
      <c r="C672" s="427"/>
      <c r="D672" s="212"/>
      <c r="E672" s="427"/>
      <c r="F672" s="427"/>
      <c r="G672" s="422"/>
      <c r="H672" s="427"/>
      <c r="I672" s="427"/>
      <c r="J672" s="427"/>
      <c r="K672" s="368"/>
      <c r="L672" s="368"/>
      <c r="M672" s="368"/>
      <c r="N672" s="368"/>
      <c r="O672" s="368"/>
    </row>
    <row r="673" spans="1:15" s="57" customFormat="1">
      <c r="A673" s="223"/>
      <c r="B673" s="329" t="s">
        <v>402</v>
      </c>
      <c r="C673" s="427"/>
      <c r="D673" s="212"/>
      <c r="E673" s="427"/>
      <c r="F673" s="427"/>
      <c r="G673" s="422"/>
      <c r="H673" s="427"/>
      <c r="I673" s="427"/>
      <c r="J673" s="427"/>
      <c r="K673" s="368"/>
      <c r="L673" s="368"/>
      <c r="M673" s="368"/>
      <c r="N673" s="368"/>
      <c r="O673" s="368"/>
    </row>
    <row r="674" spans="1:15" s="57" customFormat="1">
      <c r="A674" s="223"/>
      <c r="B674" s="329" t="s">
        <v>403</v>
      </c>
      <c r="C674" s="427"/>
      <c r="D674" s="212"/>
      <c r="E674" s="427"/>
      <c r="F674" s="427"/>
      <c r="G674" s="422"/>
      <c r="H674" s="427"/>
      <c r="I674" s="427"/>
      <c r="J674" s="427"/>
      <c r="K674" s="368"/>
      <c r="L674" s="368"/>
      <c r="M674" s="368"/>
      <c r="N674" s="368"/>
      <c r="O674" s="368"/>
    </row>
    <row r="675" spans="1:15" s="57" customFormat="1">
      <c r="A675" s="342" t="s">
        <v>407</v>
      </c>
      <c r="B675" s="327" t="s">
        <v>1392</v>
      </c>
      <c r="C675" s="423"/>
      <c r="D675" s="212" t="s">
        <v>27</v>
      </c>
      <c r="E675" s="452">
        <v>36612</v>
      </c>
      <c r="F675" s="109">
        <f>E675*C675</f>
        <v>0</v>
      </c>
      <c r="G675" s="451"/>
      <c r="H675" s="438">
        <f>ROUND(G675,2)</f>
        <v>0</v>
      </c>
      <c r="I675" s="438">
        <f>H675*E675</f>
        <v>0</v>
      </c>
      <c r="J675" s="438">
        <f>G675-C675</f>
        <v>0</v>
      </c>
      <c r="K675" s="438">
        <f>I675-F675</f>
        <v>0</v>
      </c>
      <c r="L675" s="438">
        <f>IF(F675&lt;I675,(I675-F675),0)</f>
        <v>0</v>
      </c>
      <c r="M675" s="438">
        <f>IF(F675&gt;I675,(I675-F675),0)</f>
        <v>0</v>
      </c>
      <c r="N675" s="438">
        <f>M675+L675</f>
        <v>0</v>
      </c>
      <c r="O675" s="368"/>
    </row>
    <row r="676" spans="1:15" s="57" customFormat="1">
      <c r="A676" s="223"/>
      <c r="B676" s="329" t="s">
        <v>408</v>
      </c>
      <c r="C676" s="427"/>
      <c r="D676" s="212"/>
      <c r="E676" s="427"/>
      <c r="F676" s="427"/>
      <c r="G676" s="422"/>
      <c r="H676" s="427"/>
      <c r="I676" s="427"/>
      <c r="J676" s="427"/>
      <c r="K676" s="368"/>
      <c r="L676" s="368"/>
      <c r="M676" s="368"/>
      <c r="N676" s="368"/>
      <c r="O676" s="368"/>
    </row>
    <row r="677" spans="1:15" s="57" customFormat="1">
      <c r="A677" s="223"/>
      <c r="B677" s="329" t="s">
        <v>400</v>
      </c>
      <c r="C677" s="427"/>
      <c r="D677" s="212"/>
      <c r="E677" s="427"/>
      <c r="F677" s="427"/>
      <c r="G677" s="422"/>
      <c r="H677" s="427"/>
      <c r="I677" s="427"/>
      <c r="J677" s="427"/>
      <c r="K677" s="368"/>
      <c r="L677" s="368"/>
      <c r="M677" s="368"/>
      <c r="N677" s="368"/>
      <c r="O677" s="368"/>
    </row>
    <row r="678" spans="1:15" s="57" customFormat="1">
      <c r="A678" s="223"/>
      <c r="B678" s="329" t="s">
        <v>401</v>
      </c>
      <c r="C678" s="427"/>
      <c r="D678" s="212"/>
      <c r="E678" s="427"/>
      <c r="F678" s="427"/>
      <c r="G678" s="422"/>
      <c r="H678" s="427"/>
      <c r="I678" s="427"/>
      <c r="J678" s="427"/>
      <c r="K678" s="368"/>
      <c r="L678" s="368"/>
      <c r="M678" s="368"/>
      <c r="N678" s="368"/>
      <c r="O678" s="368"/>
    </row>
    <row r="679" spans="1:15" s="57" customFormat="1">
      <c r="A679" s="223"/>
      <c r="B679" s="329" t="s">
        <v>402</v>
      </c>
      <c r="C679" s="427"/>
      <c r="D679" s="212"/>
      <c r="E679" s="427"/>
      <c r="F679" s="427"/>
      <c r="G679" s="422"/>
      <c r="H679" s="427"/>
      <c r="I679" s="427"/>
      <c r="J679" s="427"/>
      <c r="K679" s="368"/>
      <c r="L679" s="368"/>
      <c r="M679" s="368"/>
      <c r="N679" s="368"/>
      <c r="O679" s="368"/>
    </row>
    <row r="680" spans="1:15" s="57" customFormat="1">
      <c r="A680" s="223"/>
      <c r="B680" s="329" t="s">
        <v>403</v>
      </c>
      <c r="C680" s="427"/>
      <c r="D680" s="212"/>
      <c r="E680" s="427"/>
      <c r="F680" s="427"/>
      <c r="G680" s="422"/>
      <c r="H680" s="427"/>
      <c r="I680" s="427"/>
      <c r="J680" s="427"/>
      <c r="K680" s="368"/>
      <c r="L680" s="368"/>
      <c r="M680" s="368"/>
      <c r="N680" s="368"/>
      <c r="O680" s="368"/>
    </row>
    <row r="681" spans="1:15" s="57" customFormat="1">
      <c r="A681" s="342" t="s">
        <v>409</v>
      </c>
      <c r="B681" s="327" t="s">
        <v>1393</v>
      </c>
      <c r="C681" s="423"/>
      <c r="D681" s="212" t="s">
        <v>27</v>
      </c>
      <c r="E681" s="452">
        <v>41951</v>
      </c>
      <c r="F681" s="109">
        <f>E681*C681</f>
        <v>0</v>
      </c>
      <c r="G681" s="451"/>
      <c r="H681" s="438">
        <f>ROUND(G681,2)</f>
        <v>0</v>
      </c>
      <c r="I681" s="438">
        <f>H681*E681</f>
        <v>0</v>
      </c>
      <c r="J681" s="438">
        <f>G681-C681</f>
        <v>0</v>
      </c>
      <c r="K681" s="438">
        <f>I681-F681</f>
        <v>0</v>
      </c>
      <c r="L681" s="438">
        <f>IF(F681&lt;I681,(I681-F681),0)</f>
        <v>0</v>
      </c>
      <c r="M681" s="438">
        <f>IF(F681&gt;I681,(I681-F681),0)</f>
        <v>0</v>
      </c>
      <c r="N681" s="438">
        <f>M681+L681</f>
        <v>0</v>
      </c>
      <c r="O681" s="368"/>
    </row>
    <row r="682" spans="1:15" s="57" customFormat="1">
      <c r="A682" s="223"/>
      <c r="B682" s="329" t="s">
        <v>410</v>
      </c>
      <c r="C682" s="427"/>
      <c r="D682" s="212"/>
      <c r="E682" s="427"/>
      <c r="F682" s="427"/>
      <c r="G682" s="422"/>
      <c r="H682" s="427"/>
      <c r="I682" s="427"/>
      <c r="J682" s="427"/>
      <c r="K682" s="368"/>
      <c r="L682" s="368"/>
      <c r="M682" s="368"/>
      <c r="N682" s="368"/>
      <c r="O682" s="368"/>
    </row>
    <row r="683" spans="1:15" s="57" customFormat="1">
      <c r="A683" s="223"/>
      <c r="B683" s="329" t="s">
        <v>406</v>
      </c>
      <c r="C683" s="427"/>
      <c r="D683" s="212"/>
      <c r="E683" s="427"/>
      <c r="F683" s="427"/>
      <c r="G683" s="422"/>
      <c r="H683" s="427"/>
      <c r="I683" s="427"/>
      <c r="J683" s="427"/>
      <c r="K683" s="368"/>
      <c r="L683" s="368"/>
      <c r="M683" s="368"/>
      <c r="N683" s="368"/>
      <c r="O683" s="368"/>
    </row>
    <row r="684" spans="1:15" s="57" customFormat="1">
      <c r="A684" s="223"/>
      <c r="B684" s="329" t="s">
        <v>401</v>
      </c>
      <c r="C684" s="427"/>
      <c r="D684" s="212"/>
      <c r="E684" s="427"/>
      <c r="F684" s="427"/>
      <c r="G684" s="422"/>
      <c r="H684" s="427"/>
      <c r="I684" s="427"/>
      <c r="J684" s="427"/>
      <c r="K684" s="368"/>
      <c r="L684" s="368"/>
      <c r="M684" s="368"/>
      <c r="N684" s="368"/>
      <c r="O684" s="368"/>
    </row>
    <row r="685" spans="1:15" s="57" customFormat="1">
      <c r="A685" s="223"/>
      <c r="B685" s="329" t="s">
        <v>402</v>
      </c>
      <c r="C685" s="427"/>
      <c r="D685" s="212"/>
      <c r="E685" s="427"/>
      <c r="F685" s="427"/>
      <c r="G685" s="422"/>
      <c r="H685" s="427"/>
      <c r="I685" s="427"/>
      <c r="J685" s="427"/>
      <c r="K685" s="368"/>
      <c r="L685" s="368"/>
      <c r="M685" s="368"/>
      <c r="N685" s="368"/>
      <c r="O685" s="368"/>
    </row>
    <row r="686" spans="1:15" s="57" customFormat="1">
      <c r="A686" s="223"/>
      <c r="B686" s="329" t="s">
        <v>403</v>
      </c>
      <c r="C686" s="427"/>
      <c r="D686" s="212"/>
      <c r="E686" s="427"/>
      <c r="F686" s="427"/>
      <c r="G686" s="422"/>
      <c r="H686" s="427"/>
      <c r="I686" s="427"/>
      <c r="J686" s="427"/>
      <c r="K686" s="368"/>
      <c r="L686" s="368"/>
      <c r="M686" s="368"/>
      <c r="N686" s="368"/>
      <c r="O686" s="368"/>
    </row>
    <row r="687" spans="1:15" s="57" customFormat="1">
      <c r="A687" s="223"/>
      <c r="B687" s="326"/>
      <c r="C687" s="427"/>
      <c r="D687" s="212"/>
      <c r="E687" s="427"/>
      <c r="F687" s="427"/>
      <c r="G687" s="422"/>
      <c r="H687" s="427"/>
      <c r="I687" s="427"/>
      <c r="J687" s="427"/>
      <c r="K687" s="368"/>
      <c r="L687" s="368"/>
      <c r="M687" s="368"/>
      <c r="N687" s="368"/>
      <c r="O687" s="368"/>
    </row>
    <row r="688" spans="1:15" s="57" customFormat="1" ht="26.4">
      <c r="A688" s="223">
        <v>3.2</v>
      </c>
      <c r="B688" s="343" t="s">
        <v>411</v>
      </c>
      <c r="C688" s="427"/>
      <c r="D688" s="212"/>
      <c r="E688" s="427"/>
      <c r="F688" s="427"/>
      <c r="G688" s="422"/>
      <c r="H688" s="427"/>
      <c r="I688" s="427"/>
      <c r="J688" s="427"/>
      <c r="K688" s="368"/>
      <c r="L688" s="368"/>
      <c r="M688" s="368"/>
      <c r="N688" s="368"/>
      <c r="O688" s="368"/>
    </row>
    <row r="689" spans="1:15" s="57" customFormat="1" ht="66">
      <c r="A689" s="223"/>
      <c r="B689" s="341" t="s">
        <v>397</v>
      </c>
      <c r="C689" s="427"/>
      <c r="D689" s="212"/>
      <c r="E689" s="427"/>
      <c r="F689" s="427"/>
      <c r="G689" s="422"/>
      <c r="H689" s="427"/>
      <c r="I689" s="427"/>
      <c r="J689" s="427"/>
      <c r="K689" s="368"/>
      <c r="L689" s="368"/>
      <c r="M689" s="368"/>
      <c r="N689" s="368"/>
      <c r="O689" s="368"/>
    </row>
    <row r="690" spans="1:15" s="57" customFormat="1">
      <c r="A690" s="342" t="s">
        <v>412</v>
      </c>
      <c r="B690" s="224" t="s">
        <v>413</v>
      </c>
      <c r="C690" s="423"/>
      <c r="D690" s="212" t="s">
        <v>27</v>
      </c>
      <c r="E690" s="452">
        <v>23263</v>
      </c>
      <c r="F690" s="109">
        <f>E690*C690</f>
        <v>0</v>
      </c>
      <c r="G690" s="451"/>
      <c r="H690" s="438">
        <f>ROUND(G690,2)</f>
        <v>0</v>
      </c>
      <c r="I690" s="438">
        <f>H690*E690</f>
        <v>0</v>
      </c>
      <c r="J690" s="438">
        <f>G690-C690</f>
        <v>0</v>
      </c>
      <c r="K690" s="438">
        <f>I690-F690</f>
        <v>0</v>
      </c>
      <c r="L690" s="438">
        <f>IF(F690&lt;I690,(I690-F690),0)</f>
        <v>0</v>
      </c>
      <c r="M690" s="438">
        <f>IF(F690&gt;I690,(I690-F690),0)</f>
        <v>0</v>
      </c>
      <c r="N690" s="438">
        <f>M690+L690</f>
        <v>0</v>
      </c>
      <c r="O690" s="368"/>
    </row>
    <row r="691" spans="1:15" s="57" customFormat="1">
      <c r="A691" s="223"/>
      <c r="B691" s="326" t="s">
        <v>414</v>
      </c>
      <c r="C691" s="427"/>
      <c r="D691" s="212"/>
      <c r="E691" s="427"/>
      <c r="F691" s="427"/>
      <c r="G691" s="422"/>
      <c r="H691" s="427"/>
      <c r="I691" s="427"/>
      <c r="J691" s="427"/>
      <c r="K691" s="368"/>
      <c r="L691" s="368"/>
      <c r="M691" s="368"/>
      <c r="N691" s="368"/>
      <c r="O691" s="368"/>
    </row>
    <row r="692" spans="1:15" s="57" customFormat="1">
      <c r="A692" s="223"/>
      <c r="B692" s="326" t="s">
        <v>415</v>
      </c>
      <c r="C692" s="427"/>
      <c r="D692" s="212"/>
      <c r="E692" s="427"/>
      <c r="F692" s="427"/>
      <c r="G692" s="422"/>
      <c r="H692" s="427"/>
      <c r="I692" s="427"/>
      <c r="J692" s="427"/>
      <c r="K692" s="368"/>
      <c r="L692" s="368"/>
      <c r="M692" s="368"/>
      <c r="N692" s="368"/>
      <c r="O692" s="368"/>
    </row>
    <row r="693" spans="1:15" s="57" customFormat="1">
      <c r="A693" s="223"/>
      <c r="B693" s="326" t="s">
        <v>416</v>
      </c>
      <c r="C693" s="427"/>
      <c r="D693" s="212"/>
      <c r="E693" s="427"/>
      <c r="F693" s="427"/>
      <c r="G693" s="422"/>
      <c r="H693" s="427"/>
      <c r="I693" s="427"/>
      <c r="J693" s="427"/>
      <c r="K693" s="368"/>
      <c r="L693" s="368"/>
      <c r="M693" s="368"/>
      <c r="N693" s="368"/>
      <c r="O693" s="368"/>
    </row>
    <row r="694" spans="1:15" s="57" customFormat="1">
      <c r="A694" s="223"/>
      <c r="B694" s="326" t="s">
        <v>417</v>
      </c>
      <c r="C694" s="427"/>
      <c r="D694" s="212"/>
      <c r="E694" s="427"/>
      <c r="F694" s="427"/>
      <c r="G694" s="422"/>
      <c r="H694" s="427"/>
      <c r="I694" s="427"/>
      <c r="J694" s="427"/>
      <c r="K694" s="368"/>
      <c r="L694" s="368"/>
      <c r="M694" s="368"/>
      <c r="N694" s="368"/>
      <c r="O694" s="368"/>
    </row>
    <row r="695" spans="1:15" s="57" customFormat="1">
      <c r="A695" s="223"/>
      <c r="B695" s="326" t="s">
        <v>400</v>
      </c>
      <c r="C695" s="427"/>
      <c r="D695" s="212"/>
      <c r="E695" s="427"/>
      <c r="F695" s="427"/>
      <c r="G695" s="422"/>
      <c r="H695" s="427"/>
      <c r="I695" s="427"/>
      <c r="J695" s="427"/>
      <c r="K695" s="368"/>
      <c r="L695" s="368"/>
      <c r="M695" s="368"/>
      <c r="N695" s="368"/>
      <c r="O695" s="368"/>
    </row>
    <row r="696" spans="1:15" s="57" customFormat="1">
      <c r="A696" s="223"/>
      <c r="B696" s="326" t="s">
        <v>401</v>
      </c>
      <c r="C696" s="427"/>
      <c r="D696" s="212"/>
      <c r="E696" s="427"/>
      <c r="F696" s="427"/>
      <c r="G696" s="422"/>
      <c r="H696" s="427"/>
      <c r="I696" s="427"/>
      <c r="J696" s="427"/>
      <c r="K696" s="368"/>
      <c r="L696" s="368"/>
      <c r="M696" s="368"/>
      <c r="N696" s="368"/>
      <c r="O696" s="368"/>
    </row>
    <row r="697" spans="1:15" s="57" customFormat="1">
      <c r="A697" s="223"/>
      <c r="B697" s="326" t="s">
        <v>402</v>
      </c>
      <c r="C697" s="427"/>
      <c r="D697" s="212"/>
      <c r="E697" s="427"/>
      <c r="F697" s="427"/>
      <c r="G697" s="422"/>
      <c r="H697" s="427"/>
      <c r="I697" s="427"/>
      <c r="J697" s="427"/>
      <c r="K697" s="368"/>
      <c r="L697" s="368"/>
      <c r="M697" s="368"/>
      <c r="N697" s="368"/>
      <c r="O697" s="368"/>
    </row>
    <row r="698" spans="1:15" s="57" customFormat="1">
      <c r="A698" s="223"/>
      <c r="B698" s="326" t="s">
        <v>418</v>
      </c>
      <c r="C698" s="427"/>
      <c r="D698" s="212"/>
      <c r="E698" s="427"/>
      <c r="F698" s="427"/>
      <c r="G698" s="422"/>
      <c r="H698" s="427"/>
      <c r="I698" s="427"/>
      <c r="J698" s="427"/>
      <c r="K698" s="368"/>
      <c r="L698" s="368"/>
      <c r="M698" s="368"/>
      <c r="N698" s="368"/>
      <c r="O698" s="368"/>
    </row>
    <row r="699" spans="1:15" s="57" customFormat="1">
      <c r="A699" s="223"/>
      <c r="B699" s="326" t="s">
        <v>403</v>
      </c>
      <c r="C699" s="427"/>
      <c r="D699" s="212"/>
      <c r="E699" s="427"/>
      <c r="F699" s="427"/>
      <c r="G699" s="422"/>
      <c r="H699" s="427"/>
      <c r="I699" s="427"/>
      <c r="J699" s="427"/>
      <c r="K699" s="368"/>
      <c r="L699" s="368"/>
      <c r="M699" s="368"/>
      <c r="N699" s="368"/>
      <c r="O699" s="368"/>
    </row>
    <row r="700" spans="1:15" s="57" customFormat="1">
      <c r="A700" s="342" t="s">
        <v>419</v>
      </c>
      <c r="B700" s="224" t="s">
        <v>420</v>
      </c>
      <c r="C700" s="423"/>
      <c r="D700" s="212" t="s">
        <v>27</v>
      </c>
      <c r="E700" s="452">
        <v>30510</v>
      </c>
      <c r="F700" s="109">
        <f>E700*C700</f>
        <v>0</v>
      </c>
      <c r="G700" s="451"/>
      <c r="H700" s="438">
        <f>ROUND(G700,2)</f>
        <v>0</v>
      </c>
      <c r="I700" s="438">
        <f>H700*E700</f>
        <v>0</v>
      </c>
      <c r="J700" s="438">
        <f>G700-C700</f>
        <v>0</v>
      </c>
      <c r="K700" s="438">
        <f>I700-F700</f>
        <v>0</v>
      </c>
      <c r="L700" s="438">
        <f>IF(F700&lt;I700,(I700-F700),0)</f>
        <v>0</v>
      </c>
      <c r="M700" s="438">
        <f>IF(F700&gt;I700,(I700-F700),0)</f>
        <v>0</v>
      </c>
      <c r="N700" s="438">
        <f>M700+L700</f>
        <v>0</v>
      </c>
      <c r="O700" s="368"/>
    </row>
    <row r="701" spans="1:15" s="57" customFormat="1">
      <c r="A701" s="223"/>
      <c r="B701" s="326" t="s">
        <v>421</v>
      </c>
      <c r="C701" s="427"/>
      <c r="D701" s="212"/>
      <c r="E701" s="427"/>
      <c r="F701" s="427"/>
      <c r="G701" s="422"/>
      <c r="H701" s="427"/>
      <c r="I701" s="427"/>
      <c r="J701" s="427"/>
      <c r="K701" s="368"/>
      <c r="L701" s="368"/>
      <c r="M701" s="368"/>
      <c r="N701" s="368"/>
      <c r="O701" s="368"/>
    </row>
    <row r="702" spans="1:15" s="57" customFormat="1">
      <c r="A702" s="223"/>
      <c r="B702" s="326" t="s">
        <v>422</v>
      </c>
      <c r="C702" s="427"/>
      <c r="D702" s="212"/>
      <c r="E702" s="427"/>
      <c r="F702" s="427"/>
      <c r="G702" s="422"/>
      <c r="H702" s="427"/>
      <c r="I702" s="427"/>
      <c r="J702" s="427"/>
      <c r="K702" s="368"/>
      <c r="L702" s="368"/>
      <c r="M702" s="368"/>
      <c r="N702" s="368"/>
      <c r="O702" s="368"/>
    </row>
    <row r="703" spans="1:15" s="57" customFormat="1">
      <c r="A703" s="223"/>
      <c r="B703" s="326" t="s">
        <v>416</v>
      </c>
      <c r="C703" s="427"/>
      <c r="D703" s="212"/>
      <c r="E703" s="427"/>
      <c r="F703" s="427"/>
      <c r="G703" s="422"/>
      <c r="H703" s="427"/>
      <c r="I703" s="427"/>
      <c r="J703" s="427"/>
      <c r="K703" s="368"/>
      <c r="L703" s="368"/>
      <c r="M703" s="368"/>
      <c r="N703" s="368"/>
      <c r="O703" s="368"/>
    </row>
    <row r="704" spans="1:15" s="57" customFormat="1">
      <c r="A704" s="223"/>
      <c r="B704" s="326" t="s">
        <v>417</v>
      </c>
      <c r="C704" s="427"/>
      <c r="D704" s="212"/>
      <c r="E704" s="427"/>
      <c r="F704" s="427"/>
      <c r="G704" s="422"/>
      <c r="H704" s="427"/>
      <c r="I704" s="427"/>
      <c r="J704" s="427"/>
      <c r="K704" s="368"/>
      <c r="L704" s="368"/>
      <c r="M704" s="368"/>
      <c r="N704" s="368"/>
      <c r="O704" s="368"/>
    </row>
    <row r="705" spans="1:15" s="57" customFormat="1">
      <c r="A705" s="223"/>
      <c r="B705" s="326" t="s">
        <v>406</v>
      </c>
      <c r="C705" s="427"/>
      <c r="D705" s="212"/>
      <c r="E705" s="427"/>
      <c r="F705" s="427"/>
      <c r="G705" s="422"/>
      <c r="H705" s="427"/>
      <c r="I705" s="427"/>
      <c r="J705" s="427"/>
      <c r="K705" s="368"/>
      <c r="L705" s="368"/>
      <c r="M705" s="368"/>
      <c r="N705" s="368"/>
      <c r="O705" s="368"/>
    </row>
    <row r="706" spans="1:15" s="57" customFormat="1">
      <c r="A706" s="223"/>
      <c r="B706" s="326" t="s">
        <v>401</v>
      </c>
      <c r="C706" s="427"/>
      <c r="D706" s="212"/>
      <c r="E706" s="427"/>
      <c r="F706" s="427"/>
      <c r="G706" s="422"/>
      <c r="H706" s="427"/>
      <c r="I706" s="427"/>
      <c r="J706" s="427"/>
      <c r="K706" s="368"/>
      <c r="L706" s="368"/>
      <c r="M706" s="368"/>
      <c r="N706" s="368"/>
      <c r="O706" s="368"/>
    </row>
    <row r="707" spans="1:15" s="57" customFormat="1">
      <c r="A707" s="223"/>
      <c r="B707" s="326" t="s">
        <v>402</v>
      </c>
      <c r="C707" s="427"/>
      <c r="D707" s="212"/>
      <c r="E707" s="427"/>
      <c r="F707" s="427"/>
      <c r="G707" s="422"/>
      <c r="H707" s="427"/>
      <c r="I707" s="427"/>
      <c r="J707" s="427"/>
      <c r="K707" s="368"/>
      <c r="L707" s="368"/>
      <c r="M707" s="368"/>
      <c r="N707" s="368"/>
      <c r="O707" s="368"/>
    </row>
    <row r="708" spans="1:15" s="57" customFormat="1">
      <c r="A708" s="223"/>
      <c r="B708" s="326" t="s">
        <v>418</v>
      </c>
      <c r="C708" s="427"/>
      <c r="D708" s="212"/>
      <c r="E708" s="427"/>
      <c r="F708" s="427"/>
      <c r="G708" s="422"/>
      <c r="H708" s="427"/>
      <c r="I708" s="427"/>
      <c r="J708" s="427"/>
      <c r="K708" s="368"/>
      <c r="L708" s="368"/>
      <c r="M708" s="368"/>
      <c r="N708" s="368"/>
      <c r="O708" s="368"/>
    </row>
    <row r="709" spans="1:15" s="57" customFormat="1">
      <c r="A709" s="223"/>
      <c r="B709" s="326" t="s">
        <v>403</v>
      </c>
      <c r="C709" s="427"/>
      <c r="D709" s="212"/>
      <c r="E709" s="427"/>
      <c r="F709" s="427"/>
      <c r="G709" s="422"/>
      <c r="H709" s="427"/>
      <c r="I709" s="427"/>
      <c r="J709" s="427"/>
      <c r="K709" s="368"/>
      <c r="L709" s="368"/>
      <c r="M709" s="368"/>
      <c r="N709" s="368"/>
      <c r="O709" s="368"/>
    </row>
    <row r="710" spans="1:15" s="57" customFormat="1">
      <c r="A710" s="223"/>
      <c r="B710" s="326"/>
      <c r="C710" s="427"/>
      <c r="D710" s="212"/>
      <c r="E710" s="427"/>
      <c r="F710" s="427"/>
      <c r="G710" s="422"/>
      <c r="H710" s="427"/>
      <c r="I710" s="427"/>
      <c r="J710" s="427"/>
      <c r="K710" s="368"/>
      <c r="L710" s="368"/>
      <c r="M710" s="368"/>
      <c r="N710" s="368"/>
      <c r="O710" s="368"/>
    </row>
    <row r="711" spans="1:15" s="57" customFormat="1">
      <c r="A711" s="342" t="s">
        <v>423</v>
      </c>
      <c r="B711" s="327" t="s">
        <v>1392</v>
      </c>
      <c r="C711" s="423"/>
      <c r="D711" s="212" t="s">
        <v>27</v>
      </c>
      <c r="E711" s="452">
        <v>38137</v>
      </c>
      <c r="F711" s="109">
        <f>E711*C711</f>
        <v>0</v>
      </c>
      <c r="G711" s="451"/>
      <c r="H711" s="438">
        <f>ROUND(G711,2)</f>
        <v>0</v>
      </c>
      <c r="I711" s="438">
        <f>H711*E711</f>
        <v>0</v>
      </c>
      <c r="J711" s="438">
        <f>G711-C711</f>
        <v>0</v>
      </c>
      <c r="K711" s="438">
        <f>I711-F711</f>
        <v>0</v>
      </c>
      <c r="L711" s="438">
        <f>IF(F711&lt;I711,(I711-F711),0)</f>
        <v>0</v>
      </c>
      <c r="M711" s="438">
        <f>IF(F711&gt;I711,(I711-F711),0)</f>
        <v>0</v>
      </c>
      <c r="N711" s="438">
        <f>M711+L711</f>
        <v>0</v>
      </c>
      <c r="O711" s="368"/>
    </row>
    <row r="712" spans="1:15" s="57" customFormat="1">
      <c r="A712" s="223"/>
      <c r="B712" s="329" t="s">
        <v>424</v>
      </c>
      <c r="C712" s="427"/>
      <c r="D712" s="212"/>
      <c r="E712" s="427"/>
      <c r="F712" s="427"/>
      <c r="G712" s="422"/>
      <c r="H712" s="427"/>
      <c r="I712" s="427"/>
      <c r="J712" s="427"/>
      <c r="K712" s="368"/>
      <c r="L712" s="368"/>
      <c r="M712" s="368"/>
      <c r="N712" s="368"/>
      <c r="O712" s="368"/>
    </row>
    <row r="713" spans="1:15" s="57" customFormat="1">
      <c r="A713" s="223"/>
      <c r="B713" s="329" t="s">
        <v>425</v>
      </c>
      <c r="C713" s="427"/>
      <c r="D713" s="212"/>
      <c r="E713" s="427"/>
      <c r="F713" s="427"/>
      <c r="G713" s="422"/>
      <c r="H713" s="427"/>
      <c r="I713" s="427"/>
      <c r="J713" s="427"/>
      <c r="K713" s="368"/>
      <c r="L713" s="368"/>
      <c r="M713" s="368"/>
      <c r="N713" s="368"/>
      <c r="O713" s="368"/>
    </row>
    <row r="714" spans="1:15" s="57" customFormat="1">
      <c r="A714" s="223"/>
      <c r="B714" s="329" t="s">
        <v>416</v>
      </c>
      <c r="C714" s="427"/>
      <c r="D714" s="212"/>
      <c r="E714" s="427"/>
      <c r="F714" s="427"/>
      <c r="G714" s="422"/>
      <c r="H714" s="427"/>
      <c r="I714" s="427"/>
      <c r="J714" s="427"/>
      <c r="K714" s="368"/>
      <c r="L714" s="368"/>
      <c r="M714" s="368"/>
      <c r="N714" s="368"/>
      <c r="O714" s="368"/>
    </row>
    <row r="715" spans="1:15" s="57" customFormat="1">
      <c r="A715" s="223"/>
      <c r="B715" s="329" t="s">
        <v>417</v>
      </c>
      <c r="C715" s="427"/>
      <c r="D715" s="212"/>
      <c r="E715" s="427"/>
      <c r="F715" s="427"/>
      <c r="G715" s="422"/>
      <c r="H715" s="427"/>
      <c r="I715" s="427"/>
      <c r="J715" s="427"/>
      <c r="K715" s="368"/>
      <c r="L715" s="368"/>
      <c r="M715" s="368"/>
      <c r="N715" s="368"/>
      <c r="O715" s="368"/>
    </row>
    <row r="716" spans="1:15" s="57" customFormat="1">
      <c r="A716" s="223"/>
      <c r="B716" s="329" t="s">
        <v>426</v>
      </c>
      <c r="C716" s="427"/>
      <c r="D716" s="212"/>
      <c r="E716" s="427"/>
      <c r="F716" s="427"/>
      <c r="G716" s="422"/>
      <c r="H716" s="427"/>
      <c r="I716" s="427"/>
      <c r="J716" s="427"/>
      <c r="K716" s="368"/>
      <c r="L716" s="368"/>
      <c r="M716" s="368"/>
      <c r="N716" s="368"/>
      <c r="O716" s="368"/>
    </row>
    <row r="717" spans="1:15" s="57" customFormat="1">
      <c r="A717" s="223"/>
      <c r="B717" s="329" t="s">
        <v>401</v>
      </c>
      <c r="C717" s="427"/>
      <c r="D717" s="212"/>
      <c r="E717" s="427"/>
      <c r="F717" s="427"/>
      <c r="G717" s="422"/>
      <c r="H717" s="427"/>
      <c r="I717" s="427"/>
      <c r="J717" s="427"/>
      <c r="K717" s="368"/>
      <c r="L717" s="368"/>
      <c r="M717" s="368"/>
      <c r="N717" s="368"/>
      <c r="O717" s="368"/>
    </row>
    <row r="718" spans="1:15" s="57" customFormat="1">
      <c r="A718" s="223"/>
      <c r="B718" s="329" t="s">
        <v>402</v>
      </c>
      <c r="C718" s="427"/>
      <c r="D718" s="212"/>
      <c r="E718" s="427"/>
      <c r="F718" s="427"/>
      <c r="G718" s="422"/>
      <c r="H718" s="427"/>
      <c r="I718" s="427"/>
      <c r="J718" s="427"/>
      <c r="K718" s="368"/>
      <c r="L718" s="368"/>
      <c r="M718" s="368"/>
      <c r="N718" s="368"/>
      <c r="O718" s="368"/>
    </row>
    <row r="719" spans="1:15" s="57" customFormat="1">
      <c r="A719" s="223"/>
      <c r="B719" s="329" t="s">
        <v>418</v>
      </c>
      <c r="C719" s="427"/>
      <c r="D719" s="212"/>
      <c r="E719" s="427"/>
      <c r="F719" s="427"/>
      <c r="G719" s="422"/>
      <c r="H719" s="427"/>
      <c r="I719" s="427"/>
      <c r="J719" s="427"/>
      <c r="K719" s="368"/>
      <c r="L719" s="368"/>
      <c r="M719" s="368"/>
      <c r="N719" s="368"/>
      <c r="O719" s="368"/>
    </row>
    <row r="720" spans="1:15" s="57" customFormat="1">
      <c r="A720" s="223"/>
      <c r="B720" s="329" t="s">
        <v>403</v>
      </c>
      <c r="C720" s="427"/>
      <c r="D720" s="212"/>
      <c r="E720" s="427"/>
      <c r="F720" s="427"/>
      <c r="G720" s="422"/>
      <c r="H720" s="427"/>
      <c r="I720" s="427"/>
      <c r="J720" s="427"/>
      <c r="K720" s="368"/>
      <c r="L720" s="368"/>
      <c r="M720" s="368"/>
      <c r="N720" s="368"/>
      <c r="O720" s="368"/>
    </row>
    <row r="721" spans="1:15" s="57" customFormat="1">
      <c r="A721" s="342" t="s">
        <v>427</v>
      </c>
      <c r="B721" s="327" t="s">
        <v>1393</v>
      </c>
      <c r="C721" s="423"/>
      <c r="D721" s="212" t="s">
        <v>27</v>
      </c>
      <c r="E721" s="452">
        <v>44620</v>
      </c>
      <c r="F721" s="109">
        <f>E721*C721</f>
        <v>0</v>
      </c>
      <c r="G721" s="451"/>
      <c r="H721" s="438">
        <f>ROUND(G721,2)</f>
        <v>0</v>
      </c>
      <c r="I721" s="438">
        <f>H721*E721</f>
        <v>0</v>
      </c>
      <c r="J721" s="438">
        <f>G721-C721</f>
        <v>0</v>
      </c>
      <c r="K721" s="438">
        <f>I721-F721</f>
        <v>0</v>
      </c>
      <c r="L721" s="438">
        <f>IF(F721&lt;I721,(I721-F721),0)</f>
        <v>0</v>
      </c>
      <c r="M721" s="438">
        <f>IF(F721&gt;I721,(I721-F721),0)</f>
        <v>0</v>
      </c>
      <c r="N721" s="438">
        <f>M721+L721</f>
        <v>0</v>
      </c>
      <c r="O721" s="368"/>
    </row>
    <row r="722" spans="1:15" s="57" customFormat="1">
      <c r="A722" s="223"/>
      <c r="B722" s="329" t="s">
        <v>428</v>
      </c>
      <c r="C722" s="427"/>
      <c r="D722" s="212"/>
      <c r="E722" s="427"/>
      <c r="F722" s="427"/>
      <c r="G722" s="422"/>
      <c r="H722" s="427"/>
      <c r="I722" s="427"/>
      <c r="J722" s="427"/>
      <c r="K722" s="368"/>
      <c r="L722" s="368"/>
      <c r="M722" s="368"/>
      <c r="N722" s="368"/>
      <c r="O722" s="368"/>
    </row>
    <row r="723" spans="1:15" s="57" customFormat="1">
      <c r="A723" s="223"/>
      <c r="B723" s="329" t="s">
        <v>429</v>
      </c>
      <c r="C723" s="427"/>
      <c r="D723" s="212"/>
      <c r="E723" s="427"/>
      <c r="F723" s="427"/>
      <c r="G723" s="422"/>
      <c r="H723" s="427"/>
      <c r="I723" s="427"/>
      <c r="J723" s="427"/>
      <c r="K723" s="368"/>
      <c r="L723" s="368"/>
      <c r="M723" s="368"/>
      <c r="N723" s="368"/>
      <c r="O723" s="368"/>
    </row>
    <row r="724" spans="1:15" s="57" customFormat="1">
      <c r="A724" s="223"/>
      <c r="B724" s="329" t="s">
        <v>416</v>
      </c>
      <c r="C724" s="427"/>
      <c r="D724" s="212"/>
      <c r="E724" s="427"/>
      <c r="F724" s="427"/>
      <c r="G724" s="422"/>
      <c r="H724" s="427"/>
      <c r="I724" s="427"/>
      <c r="J724" s="427"/>
      <c r="K724" s="368"/>
      <c r="L724" s="368"/>
      <c r="M724" s="368"/>
      <c r="N724" s="368"/>
      <c r="O724" s="368"/>
    </row>
    <row r="725" spans="1:15" s="57" customFormat="1">
      <c r="A725" s="223"/>
      <c r="B725" s="329" t="s">
        <v>417</v>
      </c>
      <c r="C725" s="427"/>
      <c r="D725" s="212"/>
      <c r="E725" s="427"/>
      <c r="F725" s="427"/>
      <c r="G725" s="422"/>
      <c r="H725" s="427"/>
      <c r="I725" s="427"/>
      <c r="J725" s="427"/>
      <c r="K725" s="368"/>
      <c r="L725" s="368"/>
      <c r="M725" s="368"/>
      <c r="N725" s="368"/>
      <c r="O725" s="368"/>
    </row>
    <row r="726" spans="1:15" s="57" customFormat="1">
      <c r="A726" s="223"/>
      <c r="B726" s="329" t="s">
        <v>430</v>
      </c>
      <c r="C726" s="427"/>
      <c r="D726" s="212"/>
      <c r="E726" s="427"/>
      <c r="F726" s="427"/>
      <c r="G726" s="422"/>
      <c r="H726" s="427"/>
      <c r="I726" s="427"/>
      <c r="J726" s="427"/>
      <c r="K726" s="368"/>
      <c r="L726" s="368"/>
      <c r="M726" s="368"/>
      <c r="N726" s="368"/>
      <c r="O726" s="368"/>
    </row>
    <row r="727" spans="1:15" s="57" customFormat="1">
      <c r="A727" s="223"/>
      <c r="B727" s="329" t="s">
        <v>401</v>
      </c>
      <c r="C727" s="427"/>
      <c r="D727" s="212"/>
      <c r="E727" s="427"/>
      <c r="F727" s="427"/>
      <c r="G727" s="422"/>
      <c r="H727" s="427"/>
      <c r="I727" s="427"/>
      <c r="J727" s="427"/>
      <c r="K727" s="368"/>
      <c r="L727" s="368"/>
      <c r="M727" s="368"/>
      <c r="N727" s="368"/>
      <c r="O727" s="368"/>
    </row>
    <row r="728" spans="1:15" s="57" customFormat="1">
      <c r="A728" s="223"/>
      <c r="B728" s="329" t="s">
        <v>402</v>
      </c>
      <c r="C728" s="427"/>
      <c r="D728" s="212"/>
      <c r="E728" s="427"/>
      <c r="F728" s="427"/>
      <c r="G728" s="422"/>
      <c r="H728" s="427"/>
      <c r="I728" s="427"/>
      <c r="J728" s="427"/>
      <c r="K728" s="368"/>
      <c r="L728" s="368"/>
      <c r="M728" s="368"/>
      <c r="N728" s="368"/>
      <c r="O728" s="368"/>
    </row>
    <row r="729" spans="1:15" s="57" customFormat="1">
      <c r="A729" s="223"/>
      <c r="B729" s="329" t="s">
        <v>418</v>
      </c>
      <c r="C729" s="427"/>
      <c r="D729" s="212"/>
      <c r="E729" s="427"/>
      <c r="F729" s="427"/>
      <c r="G729" s="422"/>
      <c r="H729" s="427"/>
      <c r="I729" s="427"/>
      <c r="J729" s="427"/>
      <c r="K729" s="368"/>
      <c r="L729" s="368"/>
      <c r="M729" s="368"/>
      <c r="N729" s="368"/>
      <c r="O729" s="368"/>
    </row>
    <row r="730" spans="1:15" s="57" customFormat="1">
      <c r="A730" s="223"/>
      <c r="B730" s="329" t="s">
        <v>403</v>
      </c>
      <c r="C730" s="427"/>
      <c r="D730" s="212"/>
      <c r="E730" s="427"/>
      <c r="F730" s="427"/>
      <c r="G730" s="422"/>
      <c r="H730" s="427"/>
      <c r="I730" s="427"/>
      <c r="J730" s="427"/>
      <c r="K730" s="368"/>
      <c r="L730" s="368"/>
      <c r="M730" s="368"/>
      <c r="N730" s="368"/>
      <c r="O730" s="368"/>
    </row>
    <row r="731" spans="1:15" s="57" customFormat="1">
      <c r="A731" s="223"/>
      <c r="B731" s="326"/>
      <c r="C731" s="427"/>
      <c r="D731" s="212"/>
      <c r="E731" s="427"/>
      <c r="F731" s="427"/>
      <c r="G731" s="422"/>
      <c r="H731" s="427"/>
      <c r="I731" s="427"/>
      <c r="J731" s="427"/>
      <c r="K731" s="368"/>
      <c r="L731" s="368"/>
      <c r="M731" s="368"/>
      <c r="N731" s="368"/>
      <c r="O731" s="368"/>
    </row>
    <row r="732" spans="1:15" s="57" customFormat="1" ht="26.4">
      <c r="A732" s="342">
        <v>3.3</v>
      </c>
      <c r="B732" s="343" t="s">
        <v>431</v>
      </c>
      <c r="C732" s="427"/>
      <c r="D732" s="212"/>
      <c r="E732" s="427"/>
      <c r="F732" s="427"/>
      <c r="G732" s="422"/>
      <c r="H732" s="427"/>
      <c r="I732" s="427"/>
      <c r="J732" s="427"/>
      <c r="K732" s="368"/>
      <c r="L732" s="368"/>
      <c r="M732" s="368"/>
      <c r="N732" s="368"/>
      <c r="O732" s="368"/>
    </row>
    <row r="733" spans="1:15" s="57" customFormat="1" ht="66">
      <c r="A733" s="223"/>
      <c r="B733" s="341" t="s">
        <v>397</v>
      </c>
      <c r="C733" s="427"/>
      <c r="D733" s="212"/>
      <c r="E733" s="427"/>
      <c r="F733" s="427"/>
      <c r="G733" s="422"/>
      <c r="H733" s="427"/>
      <c r="I733" s="427"/>
      <c r="J733" s="427"/>
      <c r="K733" s="368"/>
      <c r="L733" s="368"/>
      <c r="M733" s="368"/>
      <c r="N733" s="368"/>
      <c r="O733" s="368"/>
    </row>
    <row r="734" spans="1:15" s="57" customFormat="1">
      <c r="A734" s="342" t="s">
        <v>432</v>
      </c>
      <c r="B734" s="224" t="s">
        <v>413</v>
      </c>
      <c r="C734" s="423"/>
      <c r="D734" s="212" t="s">
        <v>27</v>
      </c>
      <c r="E734" s="452">
        <v>32035</v>
      </c>
      <c r="F734" s="109">
        <f>E734*C734</f>
        <v>0</v>
      </c>
      <c r="G734" s="451"/>
      <c r="H734" s="438">
        <f>ROUND(G734,2)</f>
        <v>0</v>
      </c>
      <c r="I734" s="438">
        <f>H734*E734</f>
        <v>0</v>
      </c>
      <c r="J734" s="438">
        <f>G734-C734</f>
        <v>0</v>
      </c>
      <c r="K734" s="438">
        <f>I734-F734</f>
        <v>0</v>
      </c>
      <c r="L734" s="438">
        <f>IF(F734&lt;I734,(I734-F734),0)</f>
        <v>0</v>
      </c>
      <c r="M734" s="438">
        <f>IF(F734&gt;I734,(I734-F734),0)</f>
        <v>0</v>
      </c>
      <c r="N734" s="438">
        <f>M734+L734</f>
        <v>0</v>
      </c>
      <c r="O734" s="368"/>
    </row>
    <row r="735" spans="1:15" s="57" customFormat="1">
      <c r="A735" s="223"/>
      <c r="B735" s="326" t="s">
        <v>414</v>
      </c>
      <c r="C735" s="427"/>
      <c r="D735" s="212"/>
      <c r="E735" s="427"/>
      <c r="F735" s="427"/>
      <c r="G735" s="422"/>
      <c r="H735" s="427"/>
      <c r="I735" s="427"/>
      <c r="J735" s="427"/>
      <c r="K735" s="368"/>
      <c r="L735" s="368"/>
      <c r="M735" s="368"/>
      <c r="N735" s="368"/>
      <c r="O735" s="368"/>
    </row>
    <row r="736" spans="1:15" s="57" customFormat="1">
      <c r="A736" s="223"/>
      <c r="B736" s="326" t="s">
        <v>433</v>
      </c>
      <c r="C736" s="427"/>
      <c r="D736" s="212"/>
      <c r="E736" s="427"/>
      <c r="F736" s="427"/>
      <c r="G736" s="422"/>
      <c r="H736" s="427"/>
      <c r="I736" s="427"/>
      <c r="J736" s="427"/>
      <c r="K736" s="368"/>
      <c r="L736" s="368"/>
      <c r="M736" s="368"/>
      <c r="N736" s="368"/>
      <c r="O736" s="368"/>
    </row>
    <row r="737" spans="1:15" s="57" customFormat="1">
      <c r="A737" s="223"/>
      <c r="B737" s="326" t="s">
        <v>416</v>
      </c>
      <c r="C737" s="427"/>
      <c r="D737" s="212"/>
      <c r="E737" s="427"/>
      <c r="F737" s="427"/>
      <c r="G737" s="422"/>
      <c r="H737" s="427"/>
      <c r="I737" s="427"/>
      <c r="J737" s="427"/>
      <c r="K737" s="368"/>
      <c r="L737" s="368"/>
      <c r="M737" s="368"/>
      <c r="N737" s="368"/>
      <c r="O737" s="368"/>
    </row>
    <row r="738" spans="1:15" s="57" customFormat="1">
      <c r="A738" s="223"/>
      <c r="B738" s="326" t="s">
        <v>417</v>
      </c>
      <c r="C738" s="427"/>
      <c r="D738" s="212"/>
      <c r="E738" s="427"/>
      <c r="F738" s="427"/>
      <c r="G738" s="422"/>
      <c r="H738" s="427"/>
      <c r="I738" s="427"/>
      <c r="J738" s="427"/>
      <c r="K738" s="368"/>
      <c r="L738" s="368"/>
      <c r="M738" s="368"/>
      <c r="N738" s="368"/>
      <c r="O738" s="368"/>
    </row>
    <row r="739" spans="1:15" s="57" customFormat="1">
      <c r="A739" s="223"/>
      <c r="B739" s="326" t="s">
        <v>400</v>
      </c>
      <c r="C739" s="427"/>
      <c r="D739" s="212"/>
      <c r="E739" s="427"/>
      <c r="F739" s="427"/>
      <c r="G739" s="422"/>
      <c r="H739" s="427"/>
      <c r="I739" s="427"/>
      <c r="J739" s="427"/>
      <c r="K739" s="368"/>
      <c r="L739" s="368"/>
      <c r="M739" s="368"/>
      <c r="N739" s="368"/>
      <c r="O739" s="368"/>
    </row>
    <row r="740" spans="1:15" s="57" customFormat="1">
      <c r="A740" s="223"/>
      <c r="B740" s="326" t="s">
        <v>401</v>
      </c>
      <c r="C740" s="427"/>
      <c r="D740" s="212"/>
      <c r="E740" s="427"/>
      <c r="F740" s="427"/>
      <c r="G740" s="422"/>
      <c r="H740" s="427"/>
      <c r="I740" s="427"/>
      <c r="J740" s="427"/>
      <c r="K740" s="368"/>
      <c r="L740" s="368"/>
      <c r="M740" s="368"/>
      <c r="N740" s="368"/>
      <c r="O740" s="368"/>
    </row>
    <row r="741" spans="1:15" s="57" customFormat="1">
      <c r="A741" s="223"/>
      <c r="B741" s="326" t="s">
        <v>402</v>
      </c>
      <c r="C741" s="427"/>
      <c r="D741" s="212"/>
      <c r="E741" s="427"/>
      <c r="F741" s="427"/>
      <c r="G741" s="422"/>
      <c r="H741" s="427"/>
      <c r="I741" s="427"/>
      <c r="J741" s="427"/>
      <c r="K741" s="368"/>
      <c r="L741" s="368"/>
      <c r="M741" s="368"/>
      <c r="N741" s="368"/>
      <c r="O741" s="368"/>
    </row>
    <row r="742" spans="1:15" s="57" customFormat="1">
      <c r="A742" s="223"/>
      <c r="B742" s="326" t="s">
        <v>418</v>
      </c>
      <c r="C742" s="427"/>
      <c r="D742" s="212"/>
      <c r="E742" s="427"/>
      <c r="F742" s="427"/>
      <c r="G742" s="422"/>
      <c r="H742" s="427"/>
      <c r="I742" s="427"/>
      <c r="J742" s="427"/>
      <c r="K742" s="368"/>
      <c r="L742" s="368"/>
      <c r="M742" s="368"/>
      <c r="N742" s="368"/>
      <c r="O742" s="368"/>
    </row>
    <row r="743" spans="1:15" s="57" customFormat="1">
      <c r="A743" s="223"/>
      <c r="B743" s="326" t="s">
        <v>403</v>
      </c>
      <c r="C743" s="427"/>
      <c r="D743" s="212"/>
      <c r="E743" s="427"/>
      <c r="F743" s="427"/>
      <c r="G743" s="422"/>
      <c r="H743" s="427"/>
      <c r="I743" s="427"/>
      <c r="J743" s="427"/>
      <c r="K743" s="368"/>
      <c r="L743" s="368"/>
      <c r="M743" s="368"/>
      <c r="N743" s="368"/>
      <c r="O743" s="368"/>
    </row>
    <row r="744" spans="1:15" s="57" customFormat="1">
      <c r="A744" s="342" t="s">
        <v>434</v>
      </c>
      <c r="B744" s="224" t="s">
        <v>420</v>
      </c>
      <c r="C744" s="423"/>
      <c r="D744" s="212" t="s">
        <v>27</v>
      </c>
      <c r="E744" s="452">
        <v>35467</v>
      </c>
      <c r="F744" s="109">
        <f>E744*C744</f>
        <v>0</v>
      </c>
      <c r="G744" s="451"/>
      <c r="H744" s="438">
        <f>ROUND(G744,2)</f>
        <v>0</v>
      </c>
      <c r="I744" s="438">
        <f>H744*E744</f>
        <v>0</v>
      </c>
      <c r="J744" s="438">
        <f>G744-C744</f>
        <v>0</v>
      </c>
      <c r="K744" s="438">
        <f>I744-F744</f>
        <v>0</v>
      </c>
      <c r="L744" s="438">
        <f>IF(F744&lt;I744,(I744-F744),0)</f>
        <v>0</v>
      </c>
      <c r="M744" s="438">
        <f>IF(F744&gt;I744,(I744-F744),0)</f>
        <v>0</v>
      </c>
      <c r="N744" s="438">
        <f>M744+L744</f>
        <v>0</v>
      </c>
      <c r="O744" s="368"/>
    </row>
    <row r="745" spans="1:15" s="57" customFormat="1">
      <c r="A745" s="223"/>
      <c r="B745" s="326" t="s">
        <v>421</v>
      </c>
      <c r="C745" s="427"/>
      <c r="D745" s="225"/>
      <c r="E745" s="427"/>
      <c r="F745" s="427"/>
      <c r="G745" s="422"/>
      <c r="H745" s="427"/>
      <c r="I745" s="427"/>
      <c r="J745" s="427"/>
      <c r="K745" s="368"/>
      <c r="L745" s="368"/>
      <c r="M745" s="368"/>
      <c r="N745" s="368"/>
      <c r="O745" s="368"/>
    </row>
    <row r="746" spans="1:15" s="57" customFormat="1">
      <c r="A746" s="223"/>
      <c r="B746" s="326" t="s">
        <v>435</v>
      </c>
      <c r="C746" s="427"/>
      <c r="D746" s="225"/>
      <c r="E746" s="427"/>
      <c r="F746" s="427"/>
      <c r="G746" s="422"/>
      <c r="H746" s="427"/>
      <c r="I746" s="427"/>
      <c r="J746" s="427"/>
      <c r="K746" s="368"/>
      <c r="L746" s="368"/>
      <c r="M746" s="368"/>
      <c r="N746" s="368"/>
      <c r="O746" s="368"/>
    </row>
    <row r="747" spans="1:15" s="57" customFormat="1">
      <c r="A747" s="223"/>
      <c r="B747" s="326" t="s">
        <v>416</v>
      </c>
      <c r="C747" s="427"/>
      <c r="D747" s="225"/>
      <c r="E747" s="427"/>
      <c r="F747" s="427"/>
      <c r="G747" s="422"/>
      <c r="H747" s="427"/>
      <c r="I747" s="427"/>
      <c r="J747" s="427"/>
      <c r="K747" s="368"/>
      <c r="L747" s="368"/>
      <c r="M747" s="368"/>
      <c r="N747" s="368"/>
      <c r="O747" s="368"/>
    </row>
    <row r="748" spans="1:15" s="57" customFormat="1">
      <c r="A748" s="223"/>
      <c r="B748" s="326" t="s">
        <v>417</v>
      </c>
      <c r="C748" s="427"/>
      <c r="D748" s="225"/>
      <c r="E748" s="427"/>
      <c r="F748" s="427"/>
      <c r="G748" s="422"/>
      <c r="H748" s="427"/>
      <c r="I748" s="427"/>
      <c r="J748" s="427"/>
      <c r="K748" s="368"/>
      <c r="L748" s="368"/>
      <c r="M748" s="368"/>
      <c r="N748" s="368"/>
      <c r="O748" s="368"/>
    </row>
    <row r="749" spans="1:15" s="57" customFormat="1">
      <c r="A749" s="223"/>
      <c r="B749" s="326" t="s">
        <v>406</v>
      </c>
      <c r="C749" s="427"/>
      <c r="D749" s="225"/>
      <c r="E749" s="427"/>
      <c r="F749" s="427"/>
      <c r="G749" s="422"/>
      <c r="H749" s="427"/>
      <c r="I749" s="427"/>
      <c r="J749" s="427"/>
      <c r="K749" s="368"/>
      <c r="L749" s="368"/>
      <c r="M749" s="368"/>
      <c r="N749" s="368"/>
      <c r="O749" s="368"/>
    </row>
    <row r="750" spans="1:15" s="57" customFormat="1">
      <c r="A750" s="223"/>
      <c r="B750" s="326" t="s">
        <v>401</v>
      </c>
      <c r="C750" s="427"/>
      <c r="D750" s="225"/>
      <c r="E750" s="427"/>
      <c r="F750" s="427"/>
      <c r="G750" s="422"/>
      <c r="H750" s="427"/>
      <c r="I750" s="427"/>
      <c r="J750" s="427"/>
      <c r="K750" s="368"/>
      <c r="L750" s="368"/>
      <c r="M750" s="368"/>
      <c r="N750" s="368"/>
      <c r="O750" s="368"/>
    </row>
    <row r="751" spans="1:15" s="57" customFormat="1">
      <c r="A751" s="223"/>
      <c r="B751" s="326" t="s">
        <v>402</v>
      </c>
      <c r="C751" s="427"/>
      <c r="D751" s="225"/>
      <c r="E751" s="427"/>
      <c r="F751" s="427"/>
      <c r="G751" s="422"/>
      <c r="H751" s="427"/>
      <c r="I751" s="427"/>
      <c r="J751" s="427"/>
      <c r="K751" s="368"/>
      <c r="L751" s="368"/>
      <c r="M751" s="368"/>
      <c r="N751" s="368"/>
      <c r="O751" s="368"/>
    </row>
    <row r="752" spans="1:15" s="57" customFormat="1">
      <c r="A752" s="223"/>
      <c r="B752" s="326" t="s">
        <v>418</v>
      </c>
      <c r="C752" s="427"/>
      <c r="D752" s="225"/>
      <c r="E752" s="427"/>
      <c r="F752" s="427"/>
      <c r="G752" s="422"/>
      <c r="H752" s="427"/>
      <c r="I752" s="427"/>
      <c r="J752" s="427"/>
      <c r="K752" s="368"/>
      <c r="L752" s="368"/>
      <c r="M752" s="368"/>
      <c r="N752" s="368"/>
      <c r="O752" s="368"/>
    </row>
    <row r="753" spans="1:15" s="57" customFormat="1">
      <c r="A753" s="223"/>
      <c r="B753" s="326" t="s">
        <v>403</v>
      </c>
      <c r="C753" s="427"/>
      <c r="D753" s="225"/>
      <c r="E753" s="427"/>
      <c r="F753" s="427"/>
      <c r="G753" s="422"/>
      <c r="H753" s="427"/>
      <c r="I753" s="427"/>
      <c r="J753" s="427"/>
      <c r="K753" s="368"/>
      <c r="L753" s="368"/>
      <c r="M753" s="368"/>
      <c r="N753" s="368"/>
      <c r="O753" s="368"/>
    </row>
    <row r="754" spans="1:15" s="57" customFormat="1">
      <c r="A754" s="223"/>
      <c r="B754" s="326"/>
      <c r="C754" s="427"/>
      <c r="D754" s="225"/>
      <c r="E754" s="427"/>
      <c r="F754" s="427"/>
      <c r="G754" s="422"/>
      <c r="H754" s="427"/>
      <c r="I754" s="427"/>
      <c r="J754" s="427"/>
      <c r="K754" s="368"/>
      <c r="L754" s="368"/>
      <c r="M754" s="368"/>
      <c r="N754" s="368"/>
      <c r="O754" s="368"/>
    </row>
    <row r="755" spans="1:15" s="57" customFormat="1">
      <c r="A755" s="342" t="s">
        <v>436</v>
      </c>
      <c r="B755" s="327" t="s">
        <v>1392</v>
      </c>
      <c r="C755" s="423"/>
      <c r="D755" s="212" t="s">
        <v>27</v>
      </c>
      <c r="E755" s="452">
        <v>42714</v>
      </c>
      <c r="F755" s="109">
        <f>E755*C755</f>
        <v>0</v>
      </c>
      <c r="G755" s="451"/>
      <c r="H755" s="438">
        <f>ROUND(G755,2)</f>
        <v>0</v>
      </c>
      <c r="I755" s="438">
        <f>H755*E755</f>
        <v>0</v>
      </c>
      <c r="J755" s="438">
        <f>G755-C755</f>
        <v>0</v>
      </c>
      <c r="K755" s="438">
        <f>I755-F755</f>
        <v>0</v>
      </c>
      <c r="L755" s="438">
        <f>IF(F755&lt;I755,(I755-F755),0)</f>
        <v>0</v>
      </c>
      <c r="M755" s="438">
        <f>IF(F755&gt;I755,(I755-F755),0)</f>
        <v>0</v>
      </c>
      <c r="N755" s="438">
        <f>M755+L755</f>
        <v>0</v>
      </c>
      <c r="O755" s="368"/>
    </row>
    <row r="756" spans="1:15" s="57" customFormat="1">
      <c r="A756" s="223"/>
      <c r="B756" s="329" t="s">
        <v>424</v>
      </c>
      <c r="C756" s="427"/>
      <c r="D756" s="225"/>
      <c r="E756" s="427"/>
      <c r="F756" s="427"/>
      <c r="G756" s="422"/>
      <c r="H756" s="427"/>
      <c r="I756" s="427"/>
      <c r="J756" s="427"/>
      <c r="K756" s="368"/>
      <c r="L756" s="368"/>
      <c r="M756" s="368"/>
      <c r="N756" s="368"/>
      <c r="O756" s="368"/>
    </row>
    <row r="757" spans="1:15" s="57" customFormat="1">
      <c r="A757" s="223"/>
      <c r="B757" s="329" t="s">
        <v>437</v>
      </c>
      <c r="C757" s="427"/>
      <c r="D757" s="225"/>
      <c r="E757" s="427"/>
      <c r="F757" s="427"/>
      <c r="G757" s="422"/>
      <c r="H757" s="427"/>
      <c r="I757" s="427"/>
      <c r="J757" s="427"/>
      <c r="K757" s="368"/>
      <c r="L757" s="368"/>
      <c r="M757" s="368"/>
      <c r="N757" s="368"/>
      <c r="O757" s="368"/>
    </row>
    <row r="758" spans="1:15" s="57" customFormat="1">
      <c r="A758" s="223"/>
      <c r="B758" s="329" t="s">
        <v>416</v>
      </c>
      <c r="C758" s="427"/>
      <c r="D758" s="225"/>
      <c r="E758" s="427"/>
      <c r="F758" s="427"/>
      <c r="G758" s="422"/>
      <c r="H758" s="427"/>
      <c r="I758" s="427"/>
      <c r="J758" s="427"/>
      <c r="K758" s="368"/>
      <c r="L758" s="368"/>
      <c r="M758" s="368"/>
      <c r="N758" s="368"/>
      <c r="O758" s="368"/>
    </row>
    <row r="759" spans="1:15" s="57" customFormat="1">
      <c r="A759" s="223"/>
      <c r="B759" s="329" t="s">
        <v>417</v>
      </c>
      <c r="C759" s="427"/>
      <c r="D759" s="225"/>
      <c r="E759" s="427"/>
      <c r="F759" s="427"/>
      <c r="G759" s="422"/>
      <c r="H759" s="427"/>
      <c r="I759" s="427"/>
      <c r="J759" s="427"/>
      <c r="K759" s="368"/>
      <c r="L759" s="368"/>
      <c r="M759" s="368"/>
      <c r="N759" s="368"/>
      <c r="O759" s="368"/>
    </row>
    <row r="760" spans="1:15" s="57" customFormat="1">
      <c r="A760" s="223"/>
      <c r="B760" s="329" t="s">
        <v>426</v>
      </c>
      <c r="C760" s="427"/>
      <c r="D760" s="225"/>
      <c r="E760" s="427"/>
      <c r="F760" s="427"/>
      <c r="G760" s="422"/>
      <c r="H760" s="427"/>
      <c r="I760" s="427"/>
      <c r="J760" s="427"/>
      <c r="K760" s="368"/>
      <c r="L760" s="368"/>
      <c r="M760" s="368"/>
      <c r="N760" s="368"/>
      <c r="O760" s="368"/>
    </row>
    <row r="761" spans="1:15" s="57" customFormat="1">
      <c r="A761" s="223"/>
      <c r="B761" s="329" t="s">
        <v>401</v>
      </c>
      <c r="C761" s="427"/>
      <c r="D761" s="225"/>
      <c r="E761" s="427"/>
      <c r="F761" s="427"/>
      <c r="G761" s="422"/>
      <c r="H761" s="427"/>
      <c r="I761" s="427"/>
      <c r="J761" s="427"/>
      <c r="K761" s="368"/>
      <c r="L761" s="368"/>
      <c r="M761" s="368"/>
      <c r="N761" s="368"/>
      <c r="O761" s="368"/>
    </row>
    <row r="762" spans="1:15" s="57" customFormat="1">
      <c r="A762" s="223"/>
      <c r="B762" s="329" t="s">
        <v>402</v>
      </c>
      <c r="C762" s="427"/>
      <c r="D762" s="225"/>
      <c r="E762" s="427"/>
      <c r="F762" s="427"/>
      <c r="G762" s="422"/>
      <c r="H762" s="427"/>
      <c r="I762" s="427"/>
      <c r="J762" s="427"/>
      <c r="K762" s="368"/>
      <c r="L762" s="368"/>
      <c r="M762" s="368"/>
      <c r="N762" s="368"/>
      <c r="O762" s="368"/>
    </row>
    <row r="763" spans="1:15" s="57" customFormat="1">
      <c r="A763" s="223"/>
      <c r="B763" s="329" t="s">
        <v>418</v>
      </c>
      <c r="C763" s="427"/>
      <c r="D763" s="225"/>
      <c r="E763" s="427"/>
      <c r="F763" s="427"/>
      <c r="G763" s="422"/>
      <c r="H763" s="427"/>
      <c r="I763" s="427"/>
      <c r="J763" s="427"/>
      <c r="K763" s="368"/>
      <c r="L763" s="368"/>
      <c r="M763" s="368"/>
      <c r="N763" s="368"/>
      <c r="O763" s="368"/>
    </row>
    <row r="764" spans="1:15" s="57" customFormat="1">
      <c r="A764" s="223"/>
      <c r="B764" s="329" t="s">
        <v>403</v>
      </c>
      <c r="C764" s="427"/>
      <c r="D764" s="225"/>
      <c r="E764" s="427"/>
      <c r="F764" s="427"/>
      <c r="G764" s="422"/>
      <c r="H764" s="427"/>
      <c r="I764" s="427"/>
      <c r="J764" s="427"/>
      <c r="K764" s="368"/>
      <c r="L764" s="368"/>
      <c r="M764" s="368"/>
      <c r="N764" s="368"/>
      <c r="O764" s="368"/>
    </row>
    <row r="765" spans="1:15" s="57" customFormat="1">
      <c r="A765" s="342" t="s">
        <v>438</v>
      </c>
      <c r="B765" s="327" t="s">
        <v>1393</v>
      </c>
      <c r="C765" s="423"/>
      <c r="D765" s="212" t="s">
        <v>27</v>
      </c>
      <c r="E765" s="452">
        <v>49578</v>
      </c>
      <c r="F765" s="109">
        <f>E765*C765</f>
        <v>0</v>
      </c>
      <c r="G765" s="451"/>
      <c r="H765" s="438">
        <f>ROUND(G765,2)</f>
        <v>0</v>
      </c>
      <c r="I765" s="438">
        <f>H765*E765</f>
        <v>0</v>
      </c>
      <c r="J765" s="438">
        <f>G765-C765</f>
        <v>0</v>
      </c>
      <c r="K765" s="438">
        <f>I765-F765</f>
        <v>0</v>
      </c>
      <c r="L765" s="438">
        <f>IF(F765&lt;I765,(I765-F765),0)</f>
        <v>0</v>
      </c>
      <c r="M765" s="438">
        <f>IF(F765&gt;I765,(I765-F765),0)</f>
        <v>0</v>
      </c>
      <c r="N765" s="438">
        <f>M765+L765</f>
        <v>0</v>
      </c>
      <c r="O765" s="368"/>
    </row>
    <row r="766" spans="1:15" s="57" customFormat="1">
      <c r="A766" s="223"/>
      <c r="B766" s="329" t="s">
        <v>428</v>
      </c>
      <c r="C766" s="427"/>
      <c r="D766" s="225"/>
      <c r="E766" s="427"/>
      <c r="F766" s="427"/>
      <c r="G766" s="422"/>
      <c r="H766" s="427"/>
      <c r="I766" s="427"/>
      <c r="J766" s="427"/>
      <c r="K766" s="368"/>
      <c r="L766" s="368"/>
      <c r="M766" s="368"/>
      <c r="N766" s="368"/>
      <c r="O766" s="368"/>
    </row>
    <row r="767" spans="1:15" s="57" customFormat="1">
      <c r="A767" s="223"/>
      <c r="B767" s="329" t="s">
        <v>439</v>
      </c>
      <c r="C767" s="427"/>
      <c r="D767" s="225"/>
      <c r="E767" s="427"/>
      <c r="F767" s="427"/>
      <c r="G767" s="422"/>
      <c r="H767" s="427"/>
      <c r="I767" s="427"/>
      <c r="J767" s="427"/>
      <c r="K767" s="368"/>
      <c r="L767" s="368"/>
      <c r="M767" s="368"/>
      <c r="N767" s="368"/>
      <c r="O767" s="368"/>
    </row>
    <row r="768" spans="1:15" s="57" customFormat="1">
      <c r="A768" s="223"/>
      <c r="B768" s="329" t="s">
        <v>416</v>
      </c>
      <c r="C768" s="427"/>
      <c r="D768" s="225"/>
      <c r="E768" s="427"/>
      <c r="F768" s="427"/>
      <c r="G768" s="422"/>
      <c r="H768" s="427"/>
      <c r="I768" s="427"/>
      <c r="J768" s="427"/>
      <c r="K768" s="368"/>
      <c r="L768" s="368"/>
      <c r="M768" s="368"/>
      <c r="N768" s="368"/>
      <c r="O768" s="368"/>
    </row>
    <row r="769" spans="1:15" s="57" customFormat="1">
      <c r="A769" s="223"/>
      <c r="B769" s="329" t="s">
        <v>417</v>
      </c>
      <c r="C769" s="427"/>
      <c r="D769" s="225"/>
      <c r="E769" s="427"/>
      <c r="F769" s="427"/>
      <c r="G769" s="422"/>
      <c r="H769" s="427"/>
      <c r="I769" s="427"/>
      <c r="J769" s="427"/>
      <c r="K769" s="368"/>
      <c r="L769" s="368"/>
      <c r="M769" s="368"/>
      <c r="N769" s="368"/>
      <c r="O769" s="368"/>
    </row>
    <row r="770" spans="1:15" s="57" customFormat="1">
      <c r="A770" s="223"/>
      <c r="B770" s="329" t="s">
        <v>440</v>
      </c>
      <c r="C770" s="427"/>
      <c r="D770" s="225"/>
      <c r="E770" s="427"/>
      <c r="F770" s="427"/>
      <c r="G770" s="422"/>
      <c r="H770" s="427"/>
      <c r="I770" s="427"/>
      <c r="J770" s="427"/>
      <c r="K770" s="368"/>
      <c r="L770" s="368"/>
      <c r="M770" s="368"/>
      <c r="N770" s="368"/>
      <c r="O770" s="368"/>
    </row>
    <row r="771" spans="1:15" s="57" customFormat="1">
      <c r="A771" s="223"/>
      <c r="B771" s="329" t="s">
        <v>401</v>
      </c>
      <c r="C771" s="427"/>
      <c r="D771" s="225"/>
      <c r="E771" s="427"/>
      <c r="F771" s="427"/>
      <c r="G771" s="422"/>
      <c r="H771" s="427"/>
      <c r="I771" s="427"/>
      <c r="J771" s="427"/>
      <c r="K771" s="368"/>
      <c r="L771" s="368"/>
      <c r="M771" s="368"/>
      <c r="N771" s="368"/>
      <c r="O771" s="368"/>
    </row>
    <row r="772" spans="1:15" s="57" customFormat="1">
      <c r="A772" s="223"/>
      <c r="B772" s="329" t="s">
        <v>402</v>
      </c>
      <c r="C772" s="427"/>
      <c r="D772" s="225"/>
      <c r="E772" s="427"/>
      <c r="F772" s="427"/>
      <c r="G772" s="422"/>
      <c r="H772" s="427"/>
      <c r="I772" s="427"/>
      <c r="J772" s="427"/>
      <c r="K772" s="368"/>
      <c r="L772" s="368"/>
      <c r="M772" s="368"/>
      <c r="N772" s="368"/>
      <c r="O772" s="368"/>
    </row>
    <row r="773" spans="1:15" s="57" customFormat="1">
      <c r="A773" s="223"/>
      <c r="B773" s="329" t="s">
        <v>418</v>
      </c>
      <c r="C773" s="427"/>
      <c r="D773" s="225"/>
      <c r="E773" s="427"/>
      <c r="F773" s="427"/>
      <c r="G773" s="422"/>
      <c r="H773" s="427"/>
      <c r="I773" s="427"/>
      <c r="J773" s="427"/>
      <c r="K773" s="368"/>
      <c r="L773" s="368"/>
      <c r="M773" s="368"/>
      <c r="N773" s="368"/>
      <c r="O773" s="368"/>
    </row>
    <row r="774" spans="1:15" s="57" customFormat="1">
      <c r="A774" s="223"/>
      <c r="B774" s="329" t="s">
        <v>403</v>
      </c>
      <c r="C774" s="427"/>
      <c r="D774" s="225"/>
      <c r="E774" s="427"/>
      <c r="F774" s="427"/>
      <c r="G774" s="422"/>
      <c r="H774" s="427"/>
      <c r="I774" s="427"/>
      <c r="J774" s="427"/>
      <c r="K774" s="368"/>
      <c r="L774" s="368"/>
      <c r="M774" s="368"/>
      <c r="N774" s="368"/>
      <c r="O774" s="368"/>
    </row>
    <row r="775" spans="1:15" s="57" customFormat="1">
      <c r="A775" s="223"/>
      <c r="B775" s="326"/>
      <c r="C775" s="427"/>
      <c r="D775" s="225"/>
      <c r="E775" s="427"/>
      <c r="F775" s="427"/>
      <c r="G775" s="109"/>
      <c r="H775" s="427"/>
      <c r="I775" s="427"/>
      <c r="J775" s="427"/>
      <c r="K775" s="368"/>
      <c r="L775" s="368"/>
      <c r="M775" s="368"/>
      <c r="N775" s="368"/>
      <c r="O775" s="368"/>
    </row>
    <row r="776" spans="1:15" s="57" customFormat="1">
      <c r="A776" s="366"/>
      <c r="B776" s="365" t="s">
        <v>441</v>
      </c>
      <c r="C776" s="425"/>
      <c r="D776" s="367"/>
      <c r="E776" s="425"/>
      <c r="F776" s="425">
        <f>SUM(F660:F775)</f>
        <v>0</v>
      </c>
      <c r="G776" s="425"/>
      <c r="H776" s="425"/>
      <c r="I776" s="425">
        <f>SUM(I660:I775)</f>
        <v>0</v>
      </c>
      <c r="J776" s="425"/>
      <c r="K776" s="425">
        <f>SUM(K660:K775)</f>
        <v>0</v>
      </c>
      <c r="L776" s="425">
        <f>SUM(L660:L775)</f>
        <v>0</v>
      </c>
      <c r="M776" s="425">
        <f>SUM(M660:M775)</f>
        <v>0</v>
      </c>
      <c r="N776" s="425">
        <f>SUM(N660:N775)</f>
        <v>0</v>
      </c>
      <c r="O776" s="425"/>
    </row>
    <row r="777" spans="1:15" s="57" customFormat="1">
      <c r="A777" s="223"/>
      <c r="B777" s="224"/>
      <c r="C777" s="427"/>
      <c r="D777" s="225"/>
      <c r="E777" s="427"/>
      <c r="F777" s="427"/>
      <c r="G777" s="422"/>
      <c r="H777" s="427"/>
      <c r="I777" s="427"/>
      <c r="J777" s="427"/>
      <c r="K777" s="368"/>
      <c r="L777" s="368"/>
      <c r="M777" s="368"/>
      <c r="N777" s="368"/>
      <c r="O777" s="427"/>
    </row>
    <row r="778" spans="1:15" s="57" customFormat="1">
      <c r="A778" s="89" t="s">
        <v>302</v>
      </c>
      <c r="B778" s="90" t="s">
        <v>442</v>
      </c>
      <c r="C778" s="428"/>
      <c r="D778" s="93"/>
      <c r="E778" s="428"/>
      <c r="F778" s="428"/>
      <c r="G778" s="61"/>
      <c r="H778" s="393"/>
      <c r="I778" s="393"/>
      <c r="J778" s="393"/>
      <c r="K778" s="393"/>
      <c r="L778" s="393"/>
      <c r="M778" s="393"/>
      <c r="N778" s="393"/>
      <c r="O778" s="428"/>
    </row>
    <row r="779" spans="1:15" s="57" customFormat="1">
      <c r="A779" s="91"/>
      <c r="B779" s="219"/>
      <c r="C779" s="422"/>
      <c r="D779" s="212"/>
      <c r="E779" s="422"/>
      <c r="F779" s="422"/>
      <c r="G779" s="109"/>
      <c r="H779" s="422"/>
      <c r="I779" s="422"/>
      <c r="J779" s="422"/>
      <c r="K779" s="368"/>
      <c r="L779" s="368"/>
      <c r="M779" s="368"/>
      <c r="N779" s="368"/>
      <c r="O779" s="368"/>
    </row>
    <row r="780" spans="1:15" s="57" customFormat="1" ht="66">
      <c r="A780" s="91">
        <v>4.0999999999999996</v>
      </c>
      <c r="B780" s="222" t="s">
        <v>443</v>
      </c>
      <c r="C780" s="422"/>
      <c r="D780" s="212"/>
      <c r="E780" s="422"/>
      <c r="F780" s="422"/>
      <c r="G780" s="422"/>
      <c r="H780" s="422"/>
      <c r="I780" s="422"/>
      <c r="J780" s="422"/>
      <c r="K780" s="368"/>
      <c r="L780" s="368"/>
      <c r="M780" s="368"/>
      <c r="N780" s="368"/>
      <c r="O780" s="368"/>
    </row>
    <row r="781" spans="1:15" s="57" customFormat="1">
      <c r="A781" s="91"/>
      <c r="B781" s="222" t="s">
        <v>444</v>
      </c>
      <c r="C781" s="422"/>
      <c r="D781" s="212"/>
      <c r="E781" s="422"/>
      <c r="F781" s="422"/>
      <c r="G781" s="422"/>
      <c r="H781" s="422"/>
      <c r="I781" s="422"/>
      <c r="J781" s="422"/>
      <c r="K781" s="368"/>
      <c r="L781" s="368"/>
      <c r="M781" s="368"/>
      <c r="N781" s="368"/>
      <c r="O781" s="368"/>
    </row>
    <row r="782" spans="1:15" s="57" customFormat="1">
      <c r="A782" s="223"/>
      <c r="B782" s="224"/>
      <c r="C782" s="427"/>
      <c r="D782" s="225"/>
      <c r="E782" s="427"/>
      <c r="F782" s="427"/>
      <c r="G782" s="422"/>
      <c r="H782" s="427"/>
      <c r="I782" s="427"/>
      <c r="J782" s="427"/>
      <c r="K782" s="368"/>
      <c r="L782" s="368"/>
      <c r="M782" s="368"/>
      <c r="N782" s="368"/>
      <c r="O782" s="368"/>
    </row>
    <row r="783" spans="1:15" s="57" customFormat="1">
      <c r="A783" s="209" t="s">
        <v>445</v>
      </c>
      <c r="B783" s="210" t="s">
        <v>446</v>
      </c>
      <c r="C783" s="422"/>
      <c r="D783" s="212"/>
      <c r="E783" s="422"/>
      <c r="F783" s="422"/>
      <c r="G783" s="422"/>
      <c r="H783" s="422"/>
      <c r="I783" s="422"/>
      <c r="J783" s="422"/>
      <c r="K783" s="368"/>
      <c r="L783" s="368"/>
      <c r="M783" s="368"/>
      <c r="N783" s="368"/>
      <c r="O783" s="368"/>
    </row>
    <row r="784" spans="1:15" s="57" customFormat="1" ht="43.2">
      <c r="A784" s="209" t="s">
        <v>447</v>
      </c>
      <c r="B784" s="484" t="s">
        <v>448</v>
      </c>
      <c r="C784" s="423"/>
      <c r="D784" s="212" t="s">
        <v>27</v>
      </c>
      <c r="E784" s="452">
        <v>8771</v>
      </c>
      <c r="F784" s="109">
        <f>E784*C784</f>
        <v>0</v>
      </c>
      <c r="G784" s="453">
        <f>'Measurement sheet'!F659</f>
        <v>1</v>
      </c>
      <c r="H784" s="438">
        <f>ROUND(G784,2)</f>
        <v>1</v>
      </c>
      <c r="I784" s="438">
        <f>H784*E784</f>
        <v>8771</v>
      </c>
      <c r="J784" s="438">
        <f>G784-C784</f>
        <v>1</v>
      </c>
      <c r="K784" s="438">
        <f>I784-F784</f>
        <v>8771</v>
      </c>
      <c r="L784" s="438">
        <f>IF(F784&lt;I784,(I784-F784),0)</f>
        <v>8771</v>
      </c>
      <c r="M784" s="438">
        <f>IF(F784&gt;I784,(I784-F784),0)</f>
        <v>0</v>
      </c>
      <c r="N784" s="438">
        <f>M784+L784</f>
        <v>8771</v>
      </c>
      <c r="O784" s="479" t="s">
        <v>1611</v>
      </c>
    </row>
    <row r="785" spans="1:15" s="57" customFormat="1">
      <c r="A785" s="209"/>
      <c r="B785" s="214" t="s">
        <v>449</v>
      </c>
      <c r="C785" s="422"/>
      <c r="D785" s="212"/>
      <c r="E785" s="422"/>
      <c r="F785" s="422"/>
      <c r="G785" s="422"/>
      <c r="H785" s="422"/>
      <c r="I785" s="422"/>
      <c r="J785" s="422"/>
      <c r="K785" s="368"/>
      <c r="L785" s="368"/>
      <c r="M785" s="368"/>
      <c r="N785" s="368"/>
      <c r="O785" s="368"/>
    </row>
    <row r="786" spans="1:15" s="57" customFormat="1">
      <c r="A786" s="209"/>
      <c r="B786" s="214" t="s">
        <v>450</v>
      </c>
      <c r="C786" s="422"/>
      <c r="D786" s="212"/>
      <c r="E786" s="422" t="s">
        <v>1440</v>
      </c>
      <c r="F786" s="422"/>
      <c r="G786" s="422"/>
      <c r="H786" s="422"/>
      <c r="I786" s="422"/>
      <c r="J786" s="422"/>
      <c r="K786" s="368"/>
      <c r="L786" s="368"/>
      <c r="M786" s="368"/>
      <c r="N786" s="368"/>
      <c r="O786" s="368"/>
    </row>
    <row r="787" spans="1:15" s="57" customFormat="1">
      <c r="A787" s="209"/>
      <c r="B787" s="214" t="s">
        <v>451</v>
      </c>
      <c r="C787" s="422"/>
      <c r="D787" s="212"/>
      <c r="E787" s="422"/>
      <c r="F787" s="422"/>
      <c r="G787" s="422"/>
      <c r="H787" s="422"/>
      <c r="I787" s="422"/>
      <c r="J787" s="422"/>
      <c r="K787" s="368"/>
      <c r="L787" s="368"/>
      <c r="M787" s="368"/>
      <c r="N787" s="368"/>
      <c r="O787" s="368"/>
    </row>
    <row r="788" spans="1:15" s="57" customFormat="1">
      <c r="A788" s="209"/>
      <c r="B788" s="335" t="s">
        <v>452</v>
      </c>
      <c r="C788" s="422"/>
      <c r="D788" s="212"/>
      <c r="E788" s="422"/>
      <c r="F788" s="422"/>
      <c r="G788" s="422"/>
      <c r="H788" s="422"/>
      <c r="I788" s="422"/>
      <c r="J788" s="422"/>
      <c r="K788" s="368"/>
      <c r="L788" s="368"/>
      <c r="M788" s="368"/>
      <c r="N788" s="368"/>
      <c r="O788" s="368"/>
    </row>
    <row r="789" spans="1:15" s="57" customFormat="1">
      <c r="A789" s="209" t="s">
        <v>453</v>
      </c>
      <c r="B789" s="210" t="s">
        <v>454</v>
      </c>
      <c r="C789" s="423"/>
      <c r="D789" s="212" t="s">
        <v>27</v>
      </c>
      <c r="E789" s="452">
        <v>6483</v>
      </c>
      <c r="F789" s="109">
        <f>E789*C789</f>
        <v>0</v>
      </c>
      <c r="G789" s="451"/>
      <c r="H789" s="438">
        <f>ROUND(G789,2)</f>
        <v>0</v>
      </c>
      <c r="I789" s="438">
        <f>H789*E789</f>
        <v>0</v>
      </c>
      <c r="J789" s="438">
        <f>G789-C789</f>
        <v>0</v>
      </c>
      <c r="K789" s="438">
        <f>I789-F789</f>
        <v>0</v>
      </c>
      <c r="L789" s="438">
        <f>IF(F789&lt;I789,(I789-F789),0)</f>
        <v>0</v>
      </c>
      <c r="M789" s="438">
        <f>IF(F789&gt;I789,(I789-F789),0)</f>
        <v>0</v>
      </c>
      <c r="N789" s="438">
        <f>M789+L789</f>
        <v>0</v>
      </c>
      <c r="O789" s="368"/>
    </row>
    <row r="790" spans="1:15" s="57" customFormat="1">
      <c r="A790" s="209"/>
      <c r="B790" s="210" t="s">
        <v>455</v>
      </c>
      <c r="C790" s="422"/>
      <c r="D790" s="212"/>
      <c r="E790" s="422"/>
      <c r="F790" s="422"/>
      <c r="G790" s="422"/>
      <c r="H790" s="422"/>
      <c r="I790" s="422"/>
      <c r="J790" s="422"/>
      <c r="K790" s="368"/>
      <c r="L790" s="368"/>
      <c r="M790" s="368"/>
      <c r="N790" s="368"/>
      <c r="O790" s="368"/>
    </row>
    <row r="791" spans="1:15" s="57" customFormat="1">
      <c r="A791" s="209"/>
      <c r="B791" s="214" t="s">
        <v>456</v>
      </c>
      <c r="C791" s="422"/>
      <c r="D791" s="212"/>
      <c r="E791" s="422"/>
      <c r="F791" s="422"/>
      <c r="G791" s="422"/>
      <c r="H791" s="422"/>
      <c r="I791" s="422"/>
      <c r="J791" s="422"/>
      <c r="K791" s="368"/>
      <c r="L791" s="368"/>
      <c r="M791" s="368"/>
      <c r="N791" s="368"/>
      <c r="O791" s="368"/>
    </row>
    <row r="792" spans="1:15" s="57" customFormat="1">
      <c r="A792" s="209"/>
      <c r="B792" s="214" t="s">
        <v>451</v>
      </c>
      <c r="C792" s="422"/>
      <c r="D792" s="212"/>
      <c r="E792" s="422"/>
      <c r="F792" s="422"/>
      <c r="G792" s="422"/>
      <c r="H792" s="422"/>
      <c r="I792" s="422"/>
      <c r="J792" s="422"/>
      <c r="K792" s="368"/>
      <c r="L792" s="368"/>
      <c r="M792" s="368"/>
      <c r="N792" s="368"/>
      <c r="O792" s="368"/>
    </row>
    <row r="793" spans="1:15" s="57" customFormat="1">
      <c r="A793" s="209"/>
      <c r="B793" s="214"/>
      <c r="C793" s="422"/>
      <c r="D793" s="212"/>
      <c r="E793" s="422"/>
      <c r="F793" s="422"/>
      <c r="G793" s="422"/>
      <c r="H793" s="422"/>
      <c r="I793" s="422"/>
      <c r="J793" s="422"/>
      <c r="K793" s="368"/>
      <c r="L793" s="368"/>
      <c r="M793" s="368"/>
      <c r="N793" s="368"/>
      <c r="O793" s="368"/>
    </row>
    <row r="794" spans="1:15" s="57" customFormat="1">
      <c r="A794" s="209" t="s">
        <v>457</v>
      </c>
      <c r="B794" s="210" t="s">
        <v>1394</v>
      </c>
      <c r="C794" s="423"/>
      <c r="D794" s="212" t="s">
        <v>27</v>
      </c>
      <c r="E794" s="452">
        <v>6483</v>
      </c>
      <c r="F794" s="109">
        <f>E794*C794</f>
        <v>0</v>
      </c>
      <c r="G794" s="451"/>
      <c r="H794" s="438">
        <f>ROUND(G794,2)</f>
        <v>0</v>
      </c>
      <c r="I794" s="438">
        <f>H794*E794</f>
        <v>0</v>
      </c>
      <c r="J794" s="438">
        <f>G794-C794</f>
        <v>0</v>
      </c>
      <c r="K794" s="438">
        <f>I794-F794</f>
        <v>0</v>
      </c>
      <c r="L794" s="438">
        <f>IF(F794&lt;I794,(I794-F794),0)</f>
        <v>0</v>
      </c>
      <c r="M794" s="438">
        <f>IF(F794&gt;I794,(I794-F794),0)</f>
        <v>0</v>
      </c>
      <c r="N794" s="438">
        <f>M794+L794</f>
        <v>0</v>
      </c>
      <c r="O794" s="368"/>
    </row>
    <row r="795" spans="1:15" s="57" customFormat="1">
      <c r="A795" s="209"/>
      <c r="B795" s="210" t="s">
        <v>458</v>
      </c>
      <c r="C795" s="422"/>
      <c r="D795" s="212"/>
      <c r="E795" s="422"/>
      <c r="F795" s="422"/>
      <c r="G795" s="422"/>
      <c r="H795" s="422"/>
      <c r="I795" s="422"/>
      <c r="J795" s="422"/>
      <c r="K795" s="368"/>
      <c r="L795" s="368"/>
      <c r="M795" s="368"/>
      <c r="N795" s="368"/>
      <c r="O795" s="368"/>
    </row>
    <row r="796" spans="1:15" s="57" customFormat="1">
      <c r="A796" s="209"/>
      <c r="B796" s="214" t="s">
        <v>459</v>
      </c>
      <c r="C796" s="422"/>
      <c r="D796" s="212"/>
      <c r="E796" s="422"/>
      <c r="F796" s="422"/>
      <c r="G796" s="422"/>
      <c r="H796" s="422"/>
      <c r="I796" s="422"/>
      <c r="J796" s="422"/>
      <c r="K796" s="368"/>
      <c r="L796" s="368"/>
      <c r="M796" s="368"/>
      <c r="N796" s="368"/>
      <c r="O796" s="368"/>
    </row>
    <row r="797" spans="1:15" s="57" customFormat="1">
      <c r="A797" s="209"/>
      <c r="B797" s="214" t="s">
        <v>460</v>
      </c>
      <c r="C797" s="422"/>
      <c r="D797" s="212"/>
      <c r="E797" s="422"/>
      <c r="F797" s="422"/>
      <c r="G797" s="422"/>
      <c r="H797" s="422"/>
      <c r="I797" s="422"/>
      <c r="J797" s="422"/>
      <c r="K797" s="368"/>
      <c r="L797" s="368"/>
      <c r="M797" s="368"/>
      <c r="N797" s="368"/>
      <c r="O797" s="368"/>
    </row>
    <row r="798" spans="1:15" s="57" customFormat="1">
      <c r="A798" s="209"/>
      <c r="B798" s="214"/>
      <c r="C798" s="422"/>
      <c r="D798" s="212"/>
      <c r="E798" s="422"/>
      <c r="F798" s="422"/>
      <c r="G798" s="422"/>
      <c r="H798" s="422"/>
      <c r="I798" s="422"/>
      <c r="J798" s="422"/>
      <c r="K798" s="368"/>
      <c r="L798" s="368"/>
      <c r="M798" s="368"/>
      <c r="N798" s="368"/>
      <c r="O798" s="368"/>
    </row>
    <row r="799" spans="1:15" s="57" customFormat="1">
      <c r="A799" s="209" t="s">
        <v>461</v>
      </c>
      <c r="B799" s="210" t="s">
        <v>462</v>
      </c>
      <c r="C799" s="422"/>
      <c r="D799" s="212"/>
      <c r="E799" s="422"/>
      <c r="F799" s="422"/>
      <c r="G799" s="422"/>
      <c r="H799" s="422"/>
      <c r="I799" s="422"/>
      <c r="J799" s="422"/>
      <c r="K799" s="368"/>
      <c r="L799" s="368"/>
      <c r="M799" s="368"/>
      <c r="N799" s="368"/>
      <c r="O799" s="368"/>
    </row>
    <row r="800" spans="1:15" s="57" customFormat="1">
      <c r="A800" s="209" t="s">
        <v>463</v>
      </c>
      <c r="B800" s="210" t="s">
        <v>1395</v>
      </c>
      <c r="C800" s="423">
        <v>1</v>
      </c>
      <c r="D800" s="212" t="s">
        <v>27</v>
      </c>
      <c r="E800" s="452">
        <v>13638</v>
      </c>
      <c r="F800" s="109">
        <f>E800*C800</f>
        <v>13638</v>
      </c>
      <c r="G800" s="451"/>
      <c r="H800" s="438">
        <f>ROUND(G800,2)</f>
        <v>0</v>
      </c>
      <c r="I800" s="438">
        <f>H800*E800</f>
        <v>0</v>
      </c>
      <c r="J800" s="438">
        <f>G800-C800</f>
        <v>-1</v>
      </c>
      <c r="K800" s="438">
        <f>I800-F800</f>
        <v>-13638</v>
      </c>
      <c r="L800" s="438">
        <f>IF(F800&lt;I800,(I800-F800),0)</f>
        <v>0</v>
      </c>
      <c r="M800" s="438">
        <f>IF(F800&gt;I800,(I800-F800),0)</f>
        <v>-13638</v>
      </c>
      <c r="N800" s="438">
        <f>M800+L800</f>
        <v>-13638</v>
      </c>
      <c r="O800" s="368"/>
    </row>
    <row r="801" spans="1:15" s="57" customFormat="1">
      <c r="A801" s="209"/>
      <c r="B801" s="214" t="s">
        <v>464</v>
      </c>
      <c r="C801" s="422"/>
      <c r="D801" s="212"/>
      <c r="E801" s="422"/>
      <c r="F801" s="422"/>
      <c r="G801" s="422"/>
      <c r="H801" s="422"/>
      <c r="I801" s="422"/>
      <c r="J801" s="422"/>
      <c r="K801" s="368"/>
      <c r="L801" s="368"/>
      <c r="M801" s="368"/>
      <c r="N801" s="368"/>
      <c r="O801" s="368"/>
    </row>
    <row r="802" spans="1:15" s="57" customFormat="1">
      <c r="A802" s="209"/>
      <c r="B802" s="214" t="s">
        <v>465</v>
      </c>
      <c r="C802" s="422"/>
      <c r="D802" s="212"/>
      <c r="E802" s="422"/>
      <c r="F802" s="422"/>
      <c r="G802" s="422"/>
      <c r="H802" s="422"/>
      <c r="I802" s="422"/>
      <c r="J802" s="422"/>
      <c r="K802" s="368"/>
      <c r="L802" s="368"/>
      <c r="M802" s="368"/>
      <c r="N802" s="368"/>
      <c r="O802" s="368"/>
    </row>
    <row r="803" spans="1:15" s="57" customFormat="1">
      <c r="A803" s="209"/>
      <c r="B803" s="332" t="s">
        <v>466</v>
      </c>
      <c r="C803" s="422"/>
      <c r="D803" s="212"/>
      <c r="E803" s="422"/>
      <c r="F803" s="422"/>
      <c r="G803" s="422"/>
      <c r="H803" s="422"/>
      <c r="I803" s="422"/>
      <c r="J803" s="422"/>
      <c r="K803" s="368"/>
      <c r="L803" s="368"/>
      <c r="M803" s="368"/>
      <c r="N803" s="368"/>
      <c r="O803" s="368"/>
    </row>
    <row r="804" spans="1:15" s="57" customFormat="1">
      <c r="A804" s="209"/>
      <c r="B804" s="214"/>
      <c r="C804" s="422"/>
      <c r="D804" s="212"/>
      <c r="E804" s="422"/>
      <c r="F804" s="422"/>
      <c r="G804" s="422"/>
      <c r="H804" s="422"/>
      <c r="I804" s="422"/>
      <c r="J804" s="422"/>
      <c r="K804" s="368"/>
      <c r="L804" s="368"/>
      <c r="M804" s="368"/>
      <c r="N804" s="368"/>
      <c r="O804" s="368"/>
    </row>
    <row r="805" spans="1:15" s="57" customFormat="1" ht="43.2">
      <c r="A805" s="209" t="s">
        <v>467</v>
      </c>
      <c r="B805" s="484" t="s">
        <v>1396</v>
      </c>
      <c r="C805" s="423"/>
      <c r="D805" s="212" t="s">
        <v>27</v>
      </c>
      <c r="E805" s="452">
        <v>14574</v>
      </c>
      <c r="F805" s="109">
        <f>E805*C805</f>
        <v>0</v>
      </c>
      <c r="G805" s="453">
        <f>'Measurement sheet'!F660</f>
        <v>1</v>
      </c>
      <c r="H805" s="438">
        <f>ROUND(G805,2)</f>
        <v>1</v>
      </c>
      <c r="I805" s="438">
        <f>H805*E805</f>
        <v>14574</v>
      </c>
      <c r="J805" s="438">
        <f>G805-C805</f>
        <v>1</v>
      </c>
      <c r="K805" s="438">
        <f>I805-F805</f>
        <v>14574</v>
      </c>
      <c r="L805" s="438">
        <f>IF(F805&lt;I805,(I805-F805),0)</f>
        <v>14574</v>
      </c>
      <c r="M805" s="438">
        <f>IF(F805&gt;I805,(I805-F805),0)</f>
        <v>0</v>
      </c>
      <c r="N805" s="438">
        <f>M805+L805</f>
        <v>14574</v>
      </c>
      <c r="O805" s="479" t="s">
        <v>1611</v>
      </c>
    </row>
    <row r="806" spans="1:15" s="57" customFormat="1">
      <c r="A806" s="209"/>
      <c r="B806" s="214" t="s">
        <v>464</v>
      </c>
      <c r="C806" s="422"/>
      <c r="D806" s="212"/>
      <c r="E806" s="422"/>
      <c r="F806" s="422"/>
      <c r="G806" s="422"/>
      <c r="H806" s="422"/>
      <c r="I806" s="422"/>
      <c r="J806" s="422"/>
      <c r="K806" s="368"/>
      <c r="L806" s="368"/>
      <c r="M806" s="368"/>
      <c r="N806" s="368"/>
      <c r="O806" s="368"/>
    </row>
    <row r="807" spans="1:15" s="57" customFormat="1">
      <c r="A807" s="209"/>
      <c r="B807" s="214" t="s">
        <v>468</v>
      </c>
      <c r="C807" s="422"/>
      <c r="D807" s="212"/>
      <c r="E807" s="422"/>
      <c r="F807" s="422"/>
      <c r="G807" s="422"/>
      <c r="H807" s="422"/>
      <c r="I807" s="422"/>
      <c r="J807" s="422"/>
      <c r="K807" s="368"/>
      <c r="L807" s="368"/>
      <c r="M807" s="368"/>
      <c r="N807" s="368"/>
      <c r="O807" s="368"/>
    </row>
    <row r="808" spans="1:15" s="57" customFormat="1">
      <c r="A808" s="209"/>
      <c r="B808" s="332" t="s">
        <v>469</v>
      </c>
      <c r="C808" s="422"/>
      <c r="D808" s="212"/>
      <c r="E808" s="422"/>
      <c r="F808" s="422"/>
      <c r="G808" s="422"/>
      <c r="H808" s="422"/>
      <c r="I808" s="422"/>
      <c r="J808" s="422"/>
      <c r="K808" s="368"/>
      <c r="L808" s="368"/>
      <c r="M808" s="368"/>
      <c r="N808" s="368"/>
      <c r="O808" s="368"/>
    </row>
    <row r="809" spans="1:15" s="57" customFormat="1">
      <c r="A809" s="209"/>
      <c r="B809" s="214"/>
      <c r="C809" s="422"/>
      <c r="D809" s="212"/>
      <c r="E809" s="422"/>
      <c r="F809" s="422"/>
      <c r="G809" s="422"/>
      <c r="H809" s="422"/>
      <c r="I809" s="422"/>
      <c r="J809" s="422"/>
      <c r="K809" s="368"/>
      <c r="L809" s="368"/>
      <c r="M809" s="368"/>
      <c r="N809" s="368"/>
      <c r="O809" s="368"/>
    </row>
    <row r="810" spans="1:15" s="57" customFormat="1">
      <c r="A810" s="209" t="s">
        <v>470</v>
      </c>
      <c r="B810" s="210" t="s">
        <v>471</v>
      </c>
      <c r="C810" s="422"/>
      <c r="D810" s="212"/>
      <c r="E810" s="422"/>
      <c r="F810" s="422"/>
      <c r="G810" s="422"/>
      <c r="H810" s="422"/>
      <c r="I810" s="422"/>
      <c r="J810" s="422"/>
      <c r="K810" s="368"/>
      <c r="L810" s="368"/>
      <c r="M810" s="368"/>
      <c r="N810" s="368"/>
      <c r="O810" s="368"/>
    </row>
    <row r="811" spans="1:15" s="57" customFormat="1">
      <c r="A811" s="209"/>
      <c r="B811" s="214"/>
      <c r="C811" s="422"/>
      <c r="D811" s="212"/>
      <c r="E811" s="422"/>
      <c r="F811" s="422"/>
      <c r="G811" s="422"/>
      <c r="H811" s="422"/>
      <c r="I811" s="422"/>
      <c r="J811" s="422"/>
      <c r="K811" s="368"/>
      <c r="L811" s="368"/>
      <c r="M811" s="368"/>
      <c r="N811" s="368"/>
      <c r="O811" s="368"/>
    </row>
    <row r="812" spans="1:15" s="57" customFormat="1">
      <c r="A812" s="209" t="s">
        <v>472</v>
      </c>
      <c r="B812" s="210" t="s">
        <v>1395</v>
      </c>
      <c r="C812" s="423">
        <v>1</v>
      </c>
      <c r="D812" s="212" t="s">
        <v>27</v>
      </c>
      <c r="E812" s="452">
        <v>13666</v>
      </c>
      <c r="F812" s="109">
        <f>E812*C812</f>
        <v>13666</v>
      </c>
      <c r="G812" s="451"/>
      <c r="H812" s="438">
        <f>ROUND(G812,2)</f>
        <v>0</v>
      </c>
      <c r="I812" s="438">
        <f>H812*E812</f>
        <v>0</v>
      </c>
      <c r="J812" s="438">
        <f>G812-C812</f>
        <v>-1</v>
      </c>
      <c r="K812" s="438">
        <f>I812-F812</f>
        <v>-13666</v>
      </c>
      <c r="L812" s="438">
        <f>IF(F812&lt;I812,(I812-F812),0)</f>
        <v>0</v>
      </c>
      <c r="M812" s="438">
        <f>IF(F812&gt;I812,(I812-F812),0)</f>
        <v>-13666</v>
      </c>
      <c r="N812" s="438">
        <f>M812+L812</f>
        <v>-13666</v>
      </c>
      <c r="O812" s="368"/>
    </row>
    <row r="813" spans="1:15" s="57" customFormat="1">
      <c r="A813" s="209"/>
      <c r="B813" s="214" t="s">
        <v>464</v>
      </c>
      <c r="C813" s="422"/>
      <c r="D813" s="212"/>
      <c r="E813" s="422"/>
      <c r="F813" s="422"/>
      <c r="G813" s="422"/>
      <c r="H813" s="422"/>
      <c r="I813" s="422"/>
      <c r="J813" s="422"/>
      <c r="K813" s="368"/>
      <c r="L813" s="368"/>
      <c r="M813" s="368"/>
      <c r="N813" s="368"/>
      <c r="O813" s="368"/>
    </row>
    <row r="814" spans="1:15" s="57" customFormat="1">
      <c r="A814" s="209"/>
      <c r="B814" s="214" t="s">
        <v>473</v>
      </c>
      <c r="C814" s="422"/>
      <c r="D814" s="212"/>
      <c r="E814" s="422"/>
      <c r="F814" s="422"/>
      <c r="G814" s="422"/>
      <c r="H814" s="422"/>
      <c r="I814" s="422"/>
      <c r="J814" s="422"/>
      <c r="K814" s="368"/>
      <c r="L814" s="368"/>
      <c r="M814" s="368"/>
      <c r="N814" s="368"/>
      <c r="O814" s="368"/>
    </row>
    <row r="815" spans="1:15" s="57" customFormat="1">
      <c r="A815" s="209"/>
      <c r="B815" s="332" t="s">
        <v>474</v>
      </c>
      <c r="C815" s="422"/>
      <c r="D815" s="212"/>
      <c r="E815" s="422"/>
      <c r="F815" s="422"/>
      <c r="G815" s="422"/>
      <c r="H815" s="422"/>
      <c r="I815" s="422"/>
      <c r="J815" s="422"/>
      <c r="K815" s="368"/>
      <c r="L815" s="368"/>
      <c r="M815" s="368"/>
      <c r="N815" s="368"/>
      <c r="O815" s="368"/>
    </row>
    <row r="816" spans="1:15" s="57" customFormat="1">
      <c r="A816" s="209"/>
      <c r="B816" s="214"/>
      <c r="C816" s="422"/>
      <c r="D816" s="212"/>
      <c r="E816" s="422"/>
      <c r="F816" s="422"/>
      <c r="G816" s="422"/>
      <c r="H816" s="422"/>
      <c r="I816" s="422"/>
      <c r="J816" s="422"/>
      <c r="K816" s="368"/>
      <c r="L816" s="368"/>
      <c r="M816" s="368"/>
      <c r="N816" s="368"/>
      <c r="O816" s="368"/>
    </row>
    <row r="817" spans="1:15" s="57" customFormat="1" ht="43.2">
      <c r="A817" s="209" t="s">
        <v>475</v>
      </c>
      <c r="B817" s="484" t="s">
        <v>1396</v>
      </c>
      <c r="C817" s="423"/>
      <c r="D817" s="212" t="s">
        <v>27</v>
      </c>
      <c r="E817" s="452">
        <v>15021</v>
      </c>
      <c r="F817" s="109">
        <f>E817*C817</f>
        <v>0</v>
      </c>
      <c r="G817" s="453">
        <f>'Measurement sheet'!F662</f>
        <v>1</v>
      </c>
      <c r="H817" s="438">
        <f>ROUND(G817,2)</f>
        <v>1</v>
      </c>
      <c r="I817" s="438">
        <f>H817*E817</f>
        <v>15021</v>
      </c>
      <c r="J817" s="438">
        <f>G817-C817</f>
        <v>1</v>
      </c>
      <c r="K817" s="438">
        <f>I817-F817</f>
        <v>15021</v>
      </c>
      <c r="L817" s="438">
        <f>IF(F817&lt;I817,(I817-F817),0)</f>
        <v>15021</v>
      </c>
      <c r="M817" s="438">
        <f>IF(F817&gt;I817,(I817-F817),0)</f>
        <v>0</v>
      </c>
      <c r="N817" s="438">
        <f>M817+L817</f>
        <v>15021</v>
      </c>
      <c r="O817" s="479" t="s">
        <v>1611</v>
      </c>
    </row>
    <row r="818" spans="1:15" s="57" customFormat="1">
      <c r="A818" s="209"/>
      <c r="B818" s="214" t="s">
        <v>464</v>
      </c>
      <c r="C818" s="422"/>
      <c r="D818" s="212"/>
      <c r="E818" s="422"/>
      <c r="F818" s="422"/>
      <c r="G818" s="422"/>
      <c r="H818" s="422"/>
      <c r="I818" s="422"/>
      <c r="J818" s="422"/>
      <c r="K818" s="368"/>
      <c r="L818" s="368"/>
      <c r="M818" s="368"/>
      <c r="N818" s="368"/>
      <c r="O818" s="368"/>
    </row>
    <row r="819" spans="1:15" s="57" customFormat="1">
      <c r="A819" s="209"/>
      <c r="B819" s="214" t="s">
        <v>473</v>
      </c>
      <c r="C819" s="422"/>
      <c r="D819" s="212"/>
      <c r="E819" s="422"/>
      <c r="F819" s="422"/>
      <c r="G819" s="422"/>
      <c r="H819" s="422"/>
      <c r="I819" s="422"/>
      <c r="J819" s="422"/>
      <c r="K819" s="368"/>
      <c r="L819" s="368"/>
      <c r="M819" s="368"/>
      <c r="N819" s="368"/>
      <c r="O819" s="368"/>
    </row>
    <row r="820" spans="1:15" s="57" customFormat="1">
      <c r="A820" s="209"/>
      <c r="B820" s="332" t="s">
        <v>476</v>
      </c>
      <c r="C820" s="422"/>
      <c r="D820" s="212"/>
      <c r="E820" s="422"/>
      <c r="F820" s="422"/>
      <c r="G820" s="422"/>
      <c r="H820" s="422"/>
      <c r="I820" s="422"/>
      <c r="J820" s="422"/>
      <c r="K820" s="368"/>
      <c r="L820" s="368"/>
      <c r="M820" s="368"/>
      <c r="N820" s="368"/>
      <c r="O820" s="368"/>
    </row>
    <row r="821" spans="1:15" s="57" customFormat="1">
      <c r="A821" s="209"/>
      <c r="B821" s="214"/>
      <c r="C821" s="422"/>
      <c r="D821" s="212"/>
      <c r="E821" s="422"/>
      <c r="F821" s="422"/>
      <c r="G821" s="109"/>
      <c r="H821" s="422"/>
      <c r="I821" s="422"/>
      <c r="J821" s="422"/>
      <c r="K821" s="368"/>
      <c r="L821" s="368"/>
      <c r="M821" s="368"/>
      <c r="N821" s="368"/>
      <c r="O821" s="368"/>
    </row>
    <row r="822" spans="1:15" s="57" customFormat="1">
      <c r="A822" s="366"/>
      <c r="B822" s="365" t="s">
        <v>477</v>
      </c>
      <c r="C822" s="425"/>
      <c r="D822" s="367"/>
      <c r="E822" s="425"/>
      <c r="F822" s="425">
        <f>SUM(F780:F821)</f>
        <v>27304</v>
      </c>
      <c r="G822" s="425"/>
      <c r="H822" s="425"/>
      <c r="I822" s="425">
        <f>SUM(I780:I821)</f>
        <v>38366</v>
      </c>
      <c r="J822" s="425"/>
      <c r="K822" s="425">
        <f>SUM(K780:K821)</f>
        <v>11062</v>
      </c>
      <c r="L822" s="425">
        <f>SUM(L780:L821)</f>
        <v>38366</v>
      </c>
      <c r="M822" s="425">
        <f>SUM(M780:M821)</f>
        <v>-27304</v>
      </c>
      <c r="N822" s="425">
        <f>SUM(N780:N821)</f>
        <v>11062</v>
      </c>
      <c r="O822" s="425"/>
    </row>
    <row r="823" spans="1:15" s="57" customFormat="1">
      <c r="A823" s="234"/>
      <c r="B823" s="210"/>
      <c r="C823" s="427"/>
      <c r="D823" s="225"/>
      <c r="E823" s="427"/>
      <c r="F823" s="427"/>
      <c r="G823" s="422"/>
      <c r="H823" s="427"/>
      <c r="I823" s="427"/>
      <c r="J823" s="427"/>
      <c r="K823" s="368"/>
      <c r="L823" s="368"/>
      <c r="M823" s="368"/>
      <c r="N823" s="368"/>
      <c r="O823" s="368"/>
    </row>
    <row r="824" spans="1:15" s="57" customFormat="1">
      <c r="A824" s="325" t="s">
        <v>302</v>
      </c>
      <c r="B824" s="87" t="s">
        <v>478</v>
      </c>
      <c r="C824" s="421"/>
      <c r="D824" s="88"/>
      <c r="E824" s="421"/>
      <c r="F824" s="421"/>
      <c r="G824" s="421"/>
      <c r="H824" s="421"/>
      <c r="I824" s="421"/>
      <c r="J824" s="421"/>
      <c r="K824" s="421"/>
      <c r="L824" s="421"/>
      <c r="M824" s="421"/>
      <c r="N824" s="421"/>
      <c r="O824" s="421"/>
    </row>
    <row r="825" spans="1:15" s="57" customFormat="1">
      <c r="A825" s="209"/>
      <c r="B825" s="210"/>
      <c r="C825" s="422"/>
      <c r="D825" s="212"/>
      <c r="E825" s="422"/>
      <c r="F825" s="422"/>
      <c r="G825" s="109"/>
      <c r="H825" s="422"/>
      <c r="I825" s="422"/>
      <c r="J825" s="422"/>
      <c r="K825" s="368"/>
      <c r="L825" s="368"/>
      <c r="M825" s="368"/>
      <c r="N825" s="368"/>
      <c r="O825" s="368"/>
    </row>
    <row r="826" spans="1:15" s="57" customFormat="1" ht="66">
      <c r="A826" s="209">
        <v>5.0999999999999996</v>
      </c>
      <c r="B826" s="214" t="s">
        <v>479</v>
      </c>
      <c r="C826" s="422"/>
      <c r="D826" s="212"/>
      <c r="E826" s="422"/>
      <c r="F826" s="422"/>
      <c r="G826" s="422"/>
      <c r="H826" s="422"/>
      <c r="I826" s="422"/>
      <c r="J826" s="422"/>
      <c r="K826" s="368"/>
      <c r="L826" s="368"/>
      <c r="M826" s="368"/>
      <c r="N826" s="368"/>
      <c r="O826" s="368"/>
    </row>
    <row r="827" spans="1:15" s="57" customFormat="1">
      <c r="A827" s="209"/>
      <c r="B827" s="214"/>
      <c r="C827" s="422"/>
      <c r="D827" s="212"/>
      <c r="E827" s="422"/>
      <c r="F827" s="422"/>
      <c r="G827" s="109"/>
      <c r="H827" s="422"/>
      <c r="I827" s="422"/>
      <c r="J827" s="422"/>
      <c r="K827" s="368"/>
      <c r="L827" s="368"/>
      <c r="M827" s="368"/>
      <c r="N827" s="368"/>
      <c r="O827" s="368"/>
    </row>
    <row r="828" spans="1:15" s="57" customFormat="1">
      <c r="A828" s="209" t="s">
        <v>480</v>
      </c>
      <c r="B828" s="214" t="s">
        <v>481</v>
      </c>
      <c r="C828" s="423"/>
      <c r="D828" s="212" t="s">
        <v>482</v>
      </c>
      <c r="E828" s="452">
        <v>805</v>
      </c>
      <c r="F828" s="109">
        <f>E828*C828</f>
        <v>0</v>
      </c>
      <c r="G828" s="451"/>
      <c r="H828" s="438">
        <f>ROUND(G828,2)</f>
        <v>0</v>
      </c>
      <c r="I828" s="438">
        <f>H828*E828</f>
        <v>0</v>
      </c>
      <c r="J828" s="438">
        <f>G828-C828</f>
        <v>0</v>
      </c>
      <c r="K828" s="438">
        <f>I828-F828</f>
        <v>0</v>
      </c>
      <c r="L828" s="438">
        <f>IF(F828&lt;I828,(I828-F828),0)</f>
        <v>0</v>
      </c>
      <c r="M828" s="438">
        <f>IF(F828&gt;I828,(I828-F828),0)</f>
        <v>0</v>
      </c>
      <c r="N828" s="438">
        <f>M828+L828</f>
        <v>0</v>
      </c>
      <c r="O828" s="368"/>
    </row>
    <row r="829" spans="1:15" s="57" customFormat="1">
      <c r="A829" s="209"/>
      <c r="B829" s="214"/>
      <c r="C829" s="422"/>
      <c r="D829" s="212"/>
      <c r="E829" s="422"/>
      <c r="F829" s="422"/>
      <c r="G829" s="109"/>
      <c r="H829" s="422"/>
      <c r="I829" s="422"/>
      <c r="J829" s="422"/>
      <c r="K829" s="368"/>
      <c r="L829" s="368"/>
      <c r="M829" s="368"/>
      <c r="N829" s="368"/>
      <c r="O829" s="368"/>
    </row>
    <row r="830" spans="1:15" s="57" customFormat="1">
      <c r="A830" s="209" t="s">
        <v>483</v>
      </c>
      <c r="B830" s="214" t="s">
        <v>484</v>
      </c>
      <c r="C830" s="423"/>
      <c r="D830" s="212" t="s">
        <v>482</v>
      </c>
      <c r="E830" s="452">
        <v>716</v>
      </c>
      <c r="F830" s="109">
        <f>E830*C830</f>
        <v>0</v>
      </c>
      <c r="G830" s="451"/>
      <c r="H830" s="438">
        <f>ROUND(G830,2)</f>
        <v>0</v>
      </c>
      <c r="I830" s="438">
        <f>H830*E830</f>
        <v>0</v>
      </c>
      <c r="J830" s="438">
        <f>G830-C830</f>
        <v>0</v>
      </c>
      <c r="K830" s="438">
        <f>I830-F830</f>
        <v>0</v>
      </c>
      <c r="L830" s="438">
        <f>IF(F830&lt;I830,(I830-F830),0)</f>
        <v>0</v>
      </c>
      <c r="M830" s="438">
        <f>IF(F830&gt;I830,(I830-F830),0)</f>
        <v>0</v>
      </c>
      <c r="N830" s="438">
        <f>M830+L830</f>
        <v>0</v>
      </c>
      <c r="O830" s="368"/>
    </row>
    <row r="831" spans="1:15" s="57" customFormat="1">
      <c r="A831" s="209"/>
      <c r="B831" s="214"/>
      <c r="C831" s="422"/>
      <c r="D831" s="212"/>
      <c r="E831" s="422"/>
      <c r="F831" s="422"/>
      <c r="G831" s="109"/>
      <c r="H831" s="422"/>
      <c r="I831" s="422"/>
      <c r="J831" s="422"/>
      <c r="K831" s="368"/>
      <c r="L831" s="368"/>
      <c r="M831" s="368"/>
      <c r="N831" s="368"/>
      <c r="O831" s="368"/>
    </row>
    <row r="832" spans="1:15" s="57" customFormat="1">
      <c r="A832" s="209" t="s">
        <v>485</v>
      </c>
      <c r="B832" s="214" t="s">
        <v>486</v>
      </c>
      <c r="C832" s="423">
        <v>60</v>
      </c>
      <c r="D832" s="212" t="s">
        <v>482</v>
      </c>
      <c r="E832" s="452">
        <v>553</v>
      </c>
      <c r="F832" s="109">
        <f>E832*C832</f>
        <v>33180</v>
      </c>
      <c r="G832" s="453">
        <f>'Measurement sheet'!F666</f>
        <v>28</v>
      </c>
      <c r="H832" s="438">
        <f>ROUND(G832,2)</f>
        <v>28</v>
      </c>
      <c r="I832" s="438">
        <f>H832*E832</f>
        <v>15484</v>
      </c>
      <c r="J832" s="438">
        <f>G832-C832</f>
        <v>-32</v>
      </c>
      <c r="K832" s="438">
        <f>I832-F832</f>
        <v>-17696</v>
      </c>
      <c r="L832" s="438">
        <f>IF(F832&lt;I832,(I832-F832),0)</f>
        <v>0</v>
      </c>
      <c r="M832" s="438">
        <f>IF(F832&gt;I832,(I832-F832),0)</f>
        <v>-17696</v>
      </c>
      <c r="N832" s="438">
        <f>M832+L832</f>
        <v>-17696</v>
      </c>
      <c r="O832" s="368"/>
    </row>
    <row r="833" spans="1:15" s="57" customFormat="1">
      <c r="A833" s="209"/>
      <c r="B833" s="214"/>
      <c r="C833" s="422"/>
      <c r="D833" s="212"/>
      <c r="E833" s="422"/>
      <c r="F833" s="422"/>
      <c r="G833" s="109"/>
      <c r="H833" s="422"/>
      <c r="I833" s="422"/>
      <c r="J833" s="422"/>
      <c r="K833" s="368"/>
      <c r="L833" s="368"/>
      <c r="M833" s="368"/>
      <c r="N833" s="368"/>
      <c r="O833" s="368"/>
    </row>
    <row r="834" spans="1:15" s="57" customFormat="1">
      <c r="A834" s="209" t="s">
        <v>487</v>
      </c>
      <c r="B834" s="214" t="s">
        <v>488</v>
      </c>
      <c r="C834" s="423"/>
      <c r="D834" s="212" t="s">
        <v>482</v>
      </c>
      <c r="E834" s="452">
        <v>466</v>
      </c>
      <c r="F834" s="109">
        <f>E834*C834</f>
        <v>0</v>
      </c>
      <c r="G834" s="451"/>
      <c r="H834" s="438">
        <f>ROUND(G834,2)</f>
        <v>0</v>
      </c>
      <c r="I834" s="438">
        <f>H834*E834</f>
        <v>0</v>
      </c>
      <c r="J834" s="438">
        <f>G834-C834</f>
        <v>0</v>
      </c>
      <c r="K834" s="438">
        <f>I834-F834</f>
        <v>0</v>
      </c>
      <c r="L834" s="438">
        <f>IF(F834&lt;I834,(I834-F834),0)</f>
        <v>0</v>
      </c>
      <c r="M834" s="438">
        <f>IF(F834&gt;I834,(I834-F834),0)</f>
        <v>0</v>
      </c>
      <c r="N834" s="438">
        <f>M834+L834</f>
        <v>0</v>
      </c>
      <c r="O834" s="368"/>
    </row>
    <row r="835" spans="1:15" s="57" customFormat="1">
      <c r="A835" s="209"/>
      <c r="B835" s="214"/>
      <c r="C835" s="422"/>
      <c r="D835" s="212"/>
      <c r="E835" s="422"/>
      <c r="F835" s="422"/>
      <c r="G835" s="109"/>
      <c r="H835" s="422"/>
      <c r="I835" s="422"/>
      <c r="J835" s="422"/>
      <c r="K835" s="368"/>
      <c r="L835" s="368"/>
      <c r="M835" s="368"/>
      <c r="N835" s="368"/>
      <c r="O835" s="368"/>
    </row>
    <row r="836" spans="1:15" s="57" customFormat="1">
      <c r="A836" s="344" t="s">
        <v>489</v>
      </c>
      <c r="B836" s="332" t="s">
        <v>490</v>
      </c>
      <c r="C836" s="423"/>
      <c r="D836" s="345" t="s">
        <v>482</v>
      </c>
      <c r="E836" s="455">
        <v>387</v>
      </c>
      <c r="F836" s="109">
        <f>E836*C836</f>
        <v>0</v>
      </c>
      <c r="G836" s="451"/>
      <c r="H836" s="438">
        <f>ROUND(G836,2)</f>
        <v>0</v>
      </c>
      <c r="I836" s="438">
        <f>H836*E836</f>
        <v>0</v>
      </c>
      <c r="J836" s="438">
        <f>G836-C836</f>
        <v>0</v>
      </c>
      <c r="K836" s="438">
        <f>I836-F836</f>
        <v>0</v>
      </c>
      <c r="L836" s="438">
        <f>IF(F836&lt;I836,(I836-F836),0)</f>
        <v>0</v>
      </c>
      <c r="M836" s="438">
        <f>IF(F836&gt;I836,(I836-F836),0)</f>
        <v>0</v>
      </c>
      <c r="N836" s="438">
        <f>M836+L836</f>
        <v>0</v>
      </c>
      <c r="O836" s="368"/>
    </row>
    <row r="837" spans="1:15" s="57" customFormat="1">
      <c r="A837" s="209"/>
      <c r="B837" s="214"/>
      <c r="C837" s="422"/>
      <c r="D837" s="212"/>
      <c r="E837" s="422"/>
      <c r="F837" s="422"/>
      <c r="G837" s="109"/>
      <c r="H837" s="422"/>
      <c r="I837" s="422"/>
      <c r="J837" s="422"/>
      <c r="K837" s="368"/>
      <c r="L837" s="368"/>
      <c r="M837" s="368"/>
      <c r="N837" s="368"/>
      <c r="O837" s="368"/>
    </row>
    <row r="838" spans="1:15" s="57" customFormat="1">
      <c r="A838" s="209" t="s">
        <v>491</v>
      </c>
      <c r="B838" s="214" t="s">
        <v>492</v>
      </c>
      <c r="C838" s="423"/>
      <c r="D838" s="212" t="s">
        <v>482</v>
      </c>
      <c r="E838" s="452">
        <v>340</v>
      </c>
      <c r="F838" s="109">
        <f>E838*C838</f>
        <v>0</v>
      </c>
      <c r="G838" s="451"/>
      <c r="H838" s="438">
        <f>ROUND(G838,2)</f>
        <v>0</v>
      </c>
      <c r="I838" s="438">
        <f>H838*E838</f>
        <v>0</v>
      </c>
      <c r="J838" s="438">
        <f>G838-C838</f>
        <v>0</v>
      </c>
      <c r="K838" s="438">
        <f>I838-F838</f>
        <v>0</v>
      </c>
      <c r="L838" s="438">
        <f>IF(F838&lt;I838,(I838-F838),0)</f>
        <v>0</v>
      </c>
      <c r="M838" s="438">
        <f>IF(F838&gt;I838,(I838-F838),0)</f>
        <v>0</v>
      </c>
      <c r="N838" s="438">
        <f>M838+L838</f>
        <v>0</v>
      </c>
      <c r="O838" s="368"/>
    </row>
    <row r="839" spans="1:15" s="57" customFormat="1">
      <c r="A839" s="209"/>
      <c r="B839" s="214"/>
      <c r="C839" s="422"/>
      <c r="D839" s="212"/>
      <c r="E839" s="422"/>
      <c r="F839" s="422"/>
      <c r="G839" s="109"/>
      <c r="H839" s="422"/>
      <c r="I839" s="422"/>
      <c r="J839" s="422"/>
      <c r="K839" s="368"/>
      <c r="L839" s="368"/>
      <c r="M839" s="368"/>
      <c r="N839" s="368"/>
      <c r="O839" s="368"/>
    </row>
    <row r="840" spans="1:15" s="57" customFormat="1">
      <c r="A840" s="209" t="s">
        <v>493</v>
      </c>
      <c r="B840" s="214" t="s">
        <v>494</v>
      </c>
      <c r="C840" s="423"/>
      <c r="D840" s="212" t="s">
        <v>482</v>
      </c>
      <c r="E840" s="452">
        <v>262</v>
      </c>
      <c r="F840" s="109">
        <f>E840*C840</f>
        <v>0</v>
      </c>
      <c r="G840" s="451"/>
      <c r="H840" s="438">
        <f>ROUND(G840,2)</f>
        <v>0</v>
      </c>
      <c r="I840" s="438">
        <f>H840*E840</f>
        <v>0</v>
      </c>
      <c r="J840" s="438">
        <f>G840-C840</f>
        <v>0</v>
      </c>
      <c r="K840" s="438">
        <f>I840-F840</f>
        <v>0</v>
      </c>
      <c r="L840" s="438">
        <f>IF(F840&lt;I840,(I840-F840),0)</f>
        <v>0</v>
      </c>
      <c r="M840" s="438">
        <f>IF(F840&gt;I840,(I840-F840),0)</f>
        <v>0</v>
      </c>
      <c r="N840" s="438">
        <f>M840+L840</f>
        <v>0</v>
      </c>
      <c r="O840" s="368"/>
    </row>
    <row r="841" spans="1:15" s="57" customFormat="1">
      <c r="A841" s="209"/>
      <c r="B841" s="214"/>
      <c r="C841" s="422"/>
      <c r="D841" s="212"/>
      <c r="E841" s="422"/>
      <c r="F841" s="422"/>
      <c r="G841" s="109"/>
      <c r="H841" s="422"/>
      <c r="I841" s="422"/>
      <c r="J841" s="422"/>
      <c r="K841" s="368"/>
      <c r="L841" s="368"/>
      <c r="M841" s="368"/>
      <c r="N841" s="368"/>
      <c r="O841" s="368"/>
    </row>
    <row r="842" spans="1:15" s="57" customFormat="1">
      <c r="A842" s="209" t="s">
        <v>495</v>
      </c>
      <c r="B842" s="214" t="s">
        <v>496</v>
      </c>
      <c r="C842" s="423"/>
      <c r="D842" s="212" t="s">
        <v>482</v>
      </c>
      <c r="E842" s="452">
        <v>250</v>
      </c>
      <c r="F842" s="109">
        <f>E842*C842</f>
        <v>0</v>
      </c>
      <c r="G842" s="451"/>
      <c r="H842" s="438">
        <f>ROUND(G842,2)</f>
        <v>0</v>
      </c>
      <c r="I842" s="438">
        <f>H842*E842</f>
        <v>0</v>
      </c>
      <c r="J842" s="438">
        <f>G842-C842</f>
        <v>0</v>
      </c>
      <c r="K842" s="438">
        <f>I842-F842</f>
        <v>0</v>
      </c>
      <c r="L842" s="438">
        <f>IF(F842&lt;I842,(I842-F842),0)</f>
        <v>0</v>
      </c>
      <c r="M842" s="438">
        <f>IF(F842&gt;I842,(I842-F842),0)</f>
        <v>0</v>
      </c>
      <c r="N842" s="438">
        <f>M842+L842</f>
        <v>0</v>
      </c>
      <c r="O842" s="368"/>
    </row>
    <row r="843" spans="1:15" s="57" customFormat="1">
      <c r="A843" s="209"/>
      <c r="B843" s="214"/>
      <c r="C843" s="422"/>
      <c r="D843" s="212"/>
      <c r="E843" s="422"/>
      <c r="F843" s="422"/>
      <c r="G843" s="109"/>
      <c r="H843" s="422"/>
      <c r="I843" s="422"/>
      <c r="J843" s="422"/>
      <c r="K843" s="368"/>
      <c r="L843" s="368"/>
      <c r="M843" s="368"/>
      <c r="N843" s="368"/>
      <c r="O843" s="368"/>
    </row>
    <row r="844" spans="1:15" s="57" customFormat="1">
      <c r="A844" s="209" t="s">
        <v>497</v>
      </c>
      <c r="B844" s="214" t="s">
        <v>498</v>
      </c>
      <c r="C844" s="423"/>
      <c r="D844" s="212" t="s">
        <v>482</v>
      </c>
      <c r="E844" s="452">
        <v>762</v>
      </c>
      <c r="F844" s="109">
        <f>E844*C844</f>
        <v>0</v>
      </c>
      <c r="G844" s="451"/>
      <c r="H844" s="438">
        <f>ROUND(G844,2)</f>
        <v>0</v>
      </c>
      <c r="I844" s="438">
        <f>H844*E844</f>
        <v>0</v>
      </c>
      <c r="J844" s="438">
        <f>G844-C844</f>
        <v>0</v>
      </c>
      <c r="K844" s="438">
        <f>I844-F844</f>
        <v>0</v>
      </c>
      <c r="L844" s="438">
        <f>IF(F844&lt;I844,(I844-F844),0)</f>
        <v>0</v>
      </c>
      <c r="M844" s="438">
        <f>IF(F844&gt;I844,(I844-F844),0)</f>
        <v>0</v>
      </c>
      <c r="N844" s="438">
        <f>M844+L844</f>
        <v>0</v>
      </c>
      <c r="O844" s="368"/>
    </row>
    <row r="845" spans="1:15" s="57" customFormat="1">
      <c r="A845" s="209"/>
      <c r="B845" s="214"/>
      <c r="C845" s="422"/>
      <c r="D845" s="212"/>
      <c r="E845" s="422"/>
      <c r="F845" s="422"/>
      <c r="G845" s="109"/>
      <c r="H845" s="422"/>
      <c r="I845" s="422"/>
      <c r="J845" s="422"/>
      <c r="K845" s="368"/>
      <c r="L845" s="368"/>
      <c r="M845" s="368"/>
      <c r="N845" s="368"/>
      <c r="O845" s="368"/>
    </row>
    <row r="846" spans="1:15" s="57" customFormat="1">
      <c r="A846" s="209" t="s">
        <v>499</v>
      </c>
      <c r="B846" s="214" t="s">
        <v>500</v>
      </c>
      <c r="C846" s="423"/>
      <c r="D846" s="212" t="s">
        <v>482</v>
      </c>
      <c r="E846" s="452">
        <v>508</v>
      </c>
      <c r="F846" s="109">
        <f>E846*C846</f>
        <v>0</v>
      </c>
      <c r="G846" s="451"/>
      <c r="H846" s="438">
        <f>ROUND(G846,2)</f>
        <v>0</v>
      </c>
      <c r="I846" s="438">
        <f>H846*E846</f>
        <v>0</v>
      </c>
      <c r="J846" s="438">
        <f>G846-C846</f>
        <v>0</v>
      </c>
      <c r="K846" s="438">
        <f>I846-F846</f>
        <v>0</v>
      </c>
      <c r="L846" s="438">
        <f>IF(F846&lt;I846,(I846-F846),0)</f>
        <v>0</v>
      </c>
      <c r="M846" s="438">
        <f>IF(F846&gt;I846,(I846-F846),0)</f>
        <v>0</v>
      </c>
      <c r="N846" s="438">
        <f>M846+L846</f>
        <v>0</v>
      </c>
      <c r="O846" s="368"/>
    </row>
    <row r="847" spans="1:15" s="57" customFormat="1">
      <c r="A847" s="209"/>
      <c r="B847" s="214"/>
      <c r="C847" s="422"/>
      <c r="D847" s="212"/>
      <c r="E847" s="422"/>
      <c r="F847" s="422"/>
      <c r="G847" s="109"/>
      <c r="H847" s="422"/>
      <c r="I847" s="422"/>
      <c r="J847" s="422"/>
      <c r="K847" s="368"/>
      <c r="L847" s="368"/>
      <c r="M847" s="368"/>
      <c r="N847" s="368"/>
      <c r="O847" s="368"/>
    </row>
    <row r="848" spans="1:15" s="57" customFormat="1">
      <c r="A848" s="209" t="s">
        <v>501</v>
      </c>
      <c r="B848" s="214" t="s">
        <v>502</v>
      </c>
      <c r="C848" s="423">
        <v>200</v>
      </c>
      <c r="D848" s="212" t="s">
        <v>482</v>
      </c>
      <c r="E848" s="452">
        <v>409</v>
      </c>
      <c r="F848" s="109">
        <f>E848*C848</f>
        <v>81800</v>
      </c>
      <c r="G848" s="453">
        <f>'Measurement sheet'!F669</f>
        <v>90</v>
      </c>
      <c r="H848" s="438">
        <f>ROUND(G848,2)</f>
        <v>90</v>
      </c>
      <c r="I848" s="438">
        <f>H848*E848</f>
        <v>36810</v>
      </c>
      <c r="J848" s="438">
        <f>G848-C848</f>
        <v>-110</v>
      </c>
      <c r="K848" s="438">
        <f>I848-F848</f>
        <v>-44990</v>
      </c>
      <c r="L848" s="438">
        <f>IF(F848&lt;I848,(I848-F848),0)</f>
        <v>0</v>
      </c>
      <c r="M848" s="438">
        <f>IF(F848&gt;I848,(I848-F848),0)</f>
        <v>-44990</v>
      </c>
      <c r="N848" s="438">
        <f>M848+L848</f>
        <v>-44990</v>
      </c>
      <c r="O848" s="368"/>
    </row>
    <row r="849" spans="1:15" s="57" customFormat="1">
      <c r="A849" s="209"/>
      <c r="B849" s="214"/>
      <c r="C849" s="422"/>
      <c r="D849" s="212"/>
      <c r="E849" s="422"/>
      <c r="F849" s="422"/>
      <c r="G849" s="109"/>
      <c r="H849" s="422"/>
      <c r="I849" s="422"/>
      <c r="J849" s="422"/>
      <c r="K849" s="368"/>
      <c r="L849" s="368"/>
      <c r="M849" s="368"/>
      <c r="N849" s="368"/>
      <c r="O849" s="368"/>
    </row>
    <row r="850" spans="1:15" s="57" customFormat="1">
      <c r="A850" s="209" t="s">
        <v>503</v>
      </c>
      <c r="B850" s="214" t="s">
        <v>504</v>
      </c>
      <c r="C850" s="423"/>
      <c r="D850" s="212" t="s">
        <v>482</v>
      </c>
      <c r="E850" s="452">
        <v>423</v>
      </c>
      <c r="F850" s="109">
        <f>E850*C850</f>
        <v>0</v>
      </c>
      <c r="G850" s="451"/>
      <c r="H850" s="438">
        <f>ROUND(G850,2)</f>
        <v>0</v>
      </c>
      <c r="I850" s="438">
        <f>H850*E850</f>
        <v>0</v>
      </c>
      <c r="J850" s="438">
        <f>G850-C850</f>
        <v>0</v>
      </c>
      <c r="K850" s="438">
        <f>I850-F850</f>
        <v>0</v>
      </c>
      <c r="L850" s="438">
        <f>IF(F850&lt;I850,(I850-F850),0)</f>
        <v>0</v>
      </c>
      <c r="M850" s="438">
        <f>IF(F850&gt;I850,(I850-F850),0)</f>
        <v>0</v>
      </c>
      <c r="N850" s="438">
        <f>M850+L850</f>
        <v>0</v>
      </c>
      <c r="O850" s="368"/>
    </row>
    <row r="851" spans="1:15" s="57" customFormat="1">
      <c r="A851" s="209"/>
      <c r="B851" s="214"/>
      <c r="C851" s="422"/>
      <c r="D851" s="212"/>
      <c r="E851" s="422"/>
      <c r="F851" s="422"/>
      <c r="G851" s="109"/>
      <c r="H851" s="422"/>
      <c r="I851" s="422"/>
      <c r="J851" s="422"/>
      <c r="K851" s="368"/>
      <c r="L851" s="368"/>
      <c r="M851" s="368"/>
      <c r="N851" s="368"/>
      <c r="O851" s="368"/>
    </row>
    <row r="852" spans="1:15" s="57" customFormat="1">
      <c r="A852" s="209" t="s">
        <v>505</v>
      </c>
      <c r="B852" s="214" t="s">
        <v>506</v>
      </c>
      <c r="C852" s="423"/>
      <c r="D852" s="212" t="s">
        <v>482</v>
      </c>
      <c r="E852" s="452">
        <v>593</v>
      </c>
      <c r="F852" s="109">
        <f>E852*C852</f>
        <v>0</v>
      </c>
      <c r="G852" s="451"/>
      <c r="H852" s="438">
        <f>ROUND(G852,2)</f>
        <v>0</v>
      </c>
      <c r="I852" s="438">
        <f>H852*E852</f>
        <v>0</v>
      </c>
      <c r="J852" s="438">
        <f>G852-C852</f>
        <v>0</v>
      </c>
      <c r="K852" s="438">
        <f>I852-F852</f>
        <v>0</v>
      </c>
      <c r="L852" s="438">
        <f>IF(F852&lt;I852,(I852-F852),0)</f>
        <v>0</v>
      </c>
      <c r="M852" s="438">
        <f>IF(F852&gt;I852,(I852-F852),0)</f>
        <v>0</v>
      </c>
      <c r="N852" s="438">
        <f>M852+L852</f>
        <v>0</v>
      </c>
      <c r="O852" s="368"/>
    </row>
    <row r="853" spans="1:15" s="57" customFormat="1">
      <c r="A853" s="209"/>
      <c r="B853" s="214"/>
      <c r="C853" s="422"/>
      <c r="D853" s="212"/>
      <c r="E853" s="422"/>
      <c r="F853" s="422"/>
      <c r="G853" s="109"/>
      <c r="H853" s="422"/>
      <c r="I853" s="422"/>
      <c r="J853" s="422"/>
      <c r="K853" s="368"/>
      <c r="L853" s="368"/>
      <c r="M853" s="368"/>
      <c r="N853" s="368"/>
      <c r="O853" s="368"/>
    </row>
    <row r="854" spans="1:15" s="57" customFormat="1">
      <c r="A854" s="209" t="s">
        <v>507</v>
      </c>
      <c r="B854" s="214" t="s">
        <v>508</v>
      </c>
      <c r="C854" s="423">
        <v>40</v>
      </c>
      <c r="D854" s="212" t="s">
        <v>482</v>
      </c>
      <c r="E854" s="452">
        <v>411</v>
      </c>
      <c r="F854" s="109">
        <f>E854*C854</f>
        <v>16440</v>
      </c>
      <c r="G854" s="451"/>
      <c r="H854" s="438">
        <f>ROUND(G854,2)</f>
        <v>0</v>
      </c>
      <c r="I854" s="438">
        <f>H854*E854</f>
        <v>0</v>
      </c>
      <c r="J854" s="438">
        <f>G854-C854</f>
        <v>-40</v>
      </c>
      <c r="K854" s="438">
        <f>I854-F854</f>
        <v>-16440</v>
      </c>
      <c r="L854" s="438">
        <f>IF(F854&lt;I854,(I854-F854),0)</f>
        <v>0</v>
      </c>
      <c r="M854" s="438">
        <f>IF(F854&gt;I854,(I854-F854),0)</f>
        <v>-16440</v>
      </c>
      <c r="N854" s="438">
        <f>M854+L854</f>
        <v>-16440</v>
      </c>
      <c r="O854" s="368"/>
    </row>
    <row r="855" spans="1:15" s="57" customFormat="1">
      <c r="A855" s="209"/>
      <c r="B855" s="214"/>
      <c r="C855" s="422"/>
      <c r="D855" s="212"/>
      <c r="E855" s="422"/>
      <c r="F855" s="422"/>
      <c r="G855" s="109"/>
      <c r="H855" s="422"/>
      <c r="I855" s="422"/>
      <c r="J855" s="422"/>
      <c r="K855" s="368"/>
      <c r="L855" s="368"/>
      <c r="M855" s="368"/>
      <c r="N855" s="368"/>
      <c r="O855" s="368"/>
    </row>
    <row r="856" spans="1:15" s="57" customFormat="1" ht="43.2">
      <c r="A856" s="209" t="s">
        <v>509</v>
      </c>
      <c r="B856" s="485" t="s">
        <v>510</v>
      </c>
      <c r="C856" s="423"/>
      <c r="D856" s="212" t="s">
        <v>482</v>
      </c>
      <c r="E856" s="452">
        <v>282</v>
      </c>
      <c r="F856" s="109">
        <f>E856*C856</f>
        <v>0</v>
      </c>
      <c r="G856" s="453">
        <f>'Measurement sheet'!F676</f>
        <v>50</v>
      </c>
      <c r="H856" s="438">
        <f>ROUND(G856,2)</f>
        <v>50</v>
      </c>
      <c r="I856" s="438">
        <f>H856*E856</f>
        <v>14100</v>
      </c>
      <c r="J856" s="438">
        <f>G856-C856</f>
        <v>50</v>
      </c>
      <c r="K856" s="438">
        <f>I856-F856</f>
        <v>14100</v>
      </c>
      <c r="L856" s="438">
        <f>IF(F856&lt;I856,(I856-F856),0)</f>
        <v>14100</v>
      </c>
      <c r="M856" s="438">
        <f>IF(F856&gt;I856,(I856-F856),0)</f>
        <v>0</v>
      </c>
      <c r="N856" s="438">
        <f>M856+L856</f>
        <v>14100</v>
      </c>
      <c r="O856" s="479" t="s">
        <v>1611</v>
      </c>
    </row>
    <row r="857" spans="1:15" s="57" customFormat="1">
      <c r="A857" s="209"/>
      <c r="B857" s="214"/>
      <c r="C857" s="422"/>
      <c r="D857" s="212"/>
      <c r="E857" s="422"/>
      <c r="F857" s="422"/>
      <c r="G857" s="109"/>
      <c r="H857" s="422"/>
      <c r="I857" s="422"/>
      <c r="J857" s="422"/>
      <c r="K857" s="368"/>
      <c r="L857" s="368"/>
      <c r="M857" s="368"/>
      <c r="N857" s="368"/>
      <c r="O857" s="368"/>
    </row>
    <row r="858" spans="1:15" s="57" customFormat="1">
      <c r="A858" s="209" t="s">
        <v>511</v>
      </c>
      <c r="B858" s="214" t="s">
        <v>512</v>
      </c>
      <c r="C858" s="423">
        <v>50</v>
      </c>
      <c r="D858" s="212" t="s">
        <v>482</v>
      </c>
      <c r="E858" s="452">
        <v>211</v>
      </c>
      <c r="F858" s="109">
        <f>E858*C858</f>
        <v>10550</v>
      </c>
      <c r="G858" s="453">
        <f>'Measurement sheet'!F679</f>
        <v>48</v>
      </c>
      <c r="H858" s="438">
        <f>ROUND(G858,2)</f>
        <v>48</v>
      </c>
      <c r="I858" s="438">
        <f>H858*E858</f>
        <v>10128</v>
      </c>
      <c r="J858" s="438">
        <f>G858-C858</f>
        <v>-2</v>
      </c>
      <c r="K858" s="438">
        <f>I858-F858</f>
        <v>-422</v>
      </c>
      <c r="L858" s="438">
        <f>IF(F858&lt;I858,(I858-F858),0)</f>
        <v>0</v>
      </c>
      <c r="M858" s="438">
        <f>IF(F858&gt;I858,(I858-F858),0)</f>
        <v>-422</v>
      </c>
      <c r="N858" s="438">
        <f>M858+L858</f>
        <v>-422</v>
      </c>
      <c r="O858" s="368"/>
    </row>
    <row r="859" spans="1:15" s="57" customFormat="1">
      <c r="A859" s="209"/>
      <c r="B859" s="214"/>
      <c r="C859" s="422"/>
      <c r="D859" s="212"/>
      <c r="E859" s="422"/>
      <c r="F859" s="422"/>
      <c r="G859" s="109"/>
      <c r="H859" s="422"/>
      <c r="I859" s="422"/>
      <c r="J859" s="422"/>
      <c r="K859" s="368"/>
      <c r="L859" s="368"/>
      <c r="M859" s="368"/>
      <c r="N859" s="368"/>
      <c r="O859" s="368"/>
    </row>
    <row r="860" spans="1:15" s="57" customFormat="1" ht="79.2">
      <c r="A860" s="209" t="s">
        <v>513</v>
      </c>
      <c r="B860" s="214" t="s">
        <v>514</v>
      </c>
      <c r="C860" s="422"/>
      <c r="D860" s="212"/>
      <c r="E860" s="422"/>
      <c r="F860" s="422"/>
      <c r="G860" s="422"/>
      <c r="H860" s="422"/>
      <c r="I860" s="422"/>
      <c r="J860" s="422"/>
      <c r="K860" s="368"/>
      <c r="L860" s="368"/>
      <c r="M860" s="368"/>
      <c r="N860" s="368"/>
      <c r="O860" s="368"/>
    </row>
    <row r="861" spans="1:15" s="57" customFormat="1">
      <c r="A861" s="209"/>
      <c r="B861" s="214"/>
      <c r="C861" s="422"/>
      <c r="D861" s="212"/>
      <c r="E861" s="422"/>
      <c r="F861" s="422"/>
      <c r="G861" s="109"/>
      <c r="H861" s="422"/>
      <c r="I861" s="422"/>
      <c r="J861" s="422"/>
      <c r="K861" s="368"/>
      <c r="L861" s="368"/>
      <c r="M861" s="368"/>
      <c r="N861" s="368"/>
      <c r="O861" s="368"/>
    </row>
    <row r="862" spans="1:15" s="57" customFormat="1">
      <c r="A862" s="209" t="s">
        <v>515</v>
      </c>
      <c r="B862" s="214" t="s">
        <v>481</v>
      </c>
      <c r="C862" s="423"/>
      <c r="D862" s="212" t="s">
        <v>27</v>
      </c>
      <c r="E862" s="452">
        <v>953</v>
      </c>
      <c r="F862" s="109">
        <f>E862*C862</f>
        <v>0</v>
      </c>
      <c r="G862" s="451"/>
      <c r="H862" s="438">
        <f>ROUND(G862,2)</f>
        <v>0</v>
      </c>
      <c r="I862" s="438">
        <f>H862*E862</f>
        <v>0</v>
      </c>
      <c r="J862" s="438">
        <f>G862-C862</f>
        <v>0</v>
      </c>
      <c r="K862" s="438">
        <f>I862-F862</f>
        <v>0</v>
      </c>
      <c r="L862" s="438">
        <f>IF(F862&lt;I862,(I862-F862),0)</f>
        <v>0</v>
      </c>
      <c r="M862" s="438">
        <f>IF(F862&gt;I862,(I862-F862),0)</f>
        <v>0</v>
      </c>
      <c r="N862" s="438">
        <f>M862+L862</f>
        <v>0</v>
      </c>
      <c r="O862" s="368"/>
    </row>
    <row r="863" spans="1:15" s="57" customFormat="1">
      <c r="A863" s="209"/>
      <c r="B863" s="214"/>
      <c r="C863" s="422"/>
      <c r="D863" s="212"/>
      <c r="E863" s="422"/>
      <c r="F863" s="422"/>
      <c r="G863" s="109"/>
      <c r="H863" s="422"/>
      <c r="I863" s="422"/>
      <c r="J863" s="422"/>
      <c r="K863" s="368"/>
      <c r="L863" s="368"/>
      <c r="M863" s="368"/>
      <c r="N863" s="368"/>
      <c r="O863" s="368"/>
    </row>
    <row r="864" spans="1:15" s="57" customFormat="1">
      <c r="A864" s="209" t="s">
        <v>516</v>
      </c>
      <c r="B864" s="214" t="s">
        <v>484</v>
      </c>
      <c r="C864" s="423"/>
      <c r="D864" s="212" t="s">
        <v>27</v>
      </c>
      <c r="E864" s="452">
        <v>798</v>
      </c>
      <c r="F864" s="109">
        <f>E864*C864</f>
        <v>0</v>
      </c>
      <c r="G864" s="451"/>
      <c r="H864" s="438">
        <f>ROUND(G864,2)</f>
        <v>0</v>
      </c>
      <c r="I864" s="438">
        <f>H864*E864</f>
        <v>0</v>
      </c>
      <c r="J864" s="438">
        <f>G864-C864</f>
        <v>0</v>
      </c>
      <c r="K864" s="438">
        <f>I864-F864</f>
        <v>0</v>
      </c>
      <c r="L864" s="438">
        <f>IF(F864&lt;I864,(I864-F864),0)</f>
        <v>0</v>
      </c>
      <c r="M864" s="438">
        <f>IF(F864&gt;I864,(I864-F864),0)</f>
        <v>0</v>
      </c>
      <c r="N864" s="438">
        <f>M864+L864</f>
        <v>0</v>
      </c>
      <c r="O864" s="368"/>
    </row>
    <row r="865" spans="1:15" s="57" customFormat="1">
      <c r="A865" s="209"/>
      <c r="B865" s="214"/>
      <c r="C865" s="422"/>
      <c r="D865" s="212"/>
      <c r="E865" s="422"/>
      <c r="F865" s="422"/>
      <c r="G865" s="109"/>
      <c r="H865" s="422"/>
      <c r="I865" s="422"/>
      <c r="J865" s="422"/>
      <c r="K865" s="368"/>
      <c r="L865" s="368"/>
      <c r="M865" s="368"/>
      <c r="N865" s="368"/>
      <c r="O865" s="368"/>
    </row>
    <row r="866" spans="1:15" s="57" customFormat="1" ht="43.2">
      <c r="A866" s="209" t="s">
        <v>517</v>
      </c>
      <c r="B866" s="485" t="s">
        <v>486</v>
      </c>
      <c r="C866" s="423"/>
      <c r="D866" s="212" t="s">
        <v>27</v>
      </c>
      <c r="E866" s="452">
        <v>722</v>
      </c>
      <c r="F866" s="109">
        <f>E866*C866</f>
        <v>0</v>
      </c>
      <c r="G866" s="453">
        <f>'Measurement sheet'!F686</f>
        <v>2</v>
      </c>
      <c r="H866" s="438">
        <f>ROUND(G866,2)</f>
        <v>2</v>
      </c>
      <c r="I866" s="438">
        <f>H866*E866</f>
        <v>1444</v>
      </c>
      <c r="J866" s="438">
        <f>G866-C866</f>
        <v>2</v>
      </c>
      <c r="K866" s="438">
        <f>I866-F866</f>
        <v>1444</v>
      </c>
      <c r="L866" s="438">
        <f>IF(F866&lt;I866,(I866-F866),0)</f>
        <v>1444</v>
      </c>
      <c r="M866" s="438">
        <f>IF(F866&gt;I866,(I866-F866),0)</f>
        <v>0</v>
      </c>
      <c r="N866" s="438">
        <f>M866+L866</f>
        <v>1444</v>
      </c>
      <c r="O866" s="479" t="s">
        <v>1611</v>
      </c>
    </row>
    <row r="867" spans="1:15" s="57" customFormat="1">
      <c r="A867" s="209"/>
      <c r="B867" s="214"/>
      <c r="C867" s="422"/>
      <c r="D867" s="212"/>
      <c r="E867" s="422"/>
      <c r="F867" s="422"/>
      <c r="G867" s="109"/>
      <c r="H867" s="422"/>
      <c r="I867" s="422"/>
      <c r="J867" s="422"/>
      <c r="K867" s="368"/>
      <c r="L867" s="368"/>
      <c r="M867" s="368"/>
      <c r="N867" s="368"/>
      <c r="O867" s="368"/>
    </row>
    <row r="868" spans="1:15" s="57" customFormat="1">
      <c r="A868" s="209" t="s">
        <v>518</v>
      </c>
      <c r="B868" s="214" t="s">
        <v>488</v>
      </c>
      <c r="C868" s="423">
        <v>8</v>
      </c>
      <c r="D868" s="212" t="s">
        <v>27</v>
      </c>
      <c r="E868" s="452">
        <v>632</v>
      </c>
      <c r="F868" s="109">
        <f>E868*C868</f>
        <v>5056</v>
      </c>
      <c r="G868" s="451"/>
      <c r="H868" s="438">
        <f>ROUND(G868,2)</f>
        <v>0</v>
      </c>
      <c r="I868" s="438">
        <f>H868*E868</f>
        <v>0</v>
      </c>
      <c r="J868" s="438">
        <f>G868-C868</f>
        <v>-8</v>
      </c>
      <c r="K868" s="438">
        <f>I868-F868</f>
        <v>-5056</v>
      </c>
      <c r="L868" s="438">
        <f>IF(F868&lt;I868,(I868-F868),0)</f>
        <v>0</v>
      </c>
      <c r="M868" s="438">
        <f>IF(F868&gt;I868,(I868-F868),0)</f>
        <v>-5056</v>
      </c>
      <c r="N868" s="438">
        <f>M868+L868</f>
        <v>-5056</v>
      </c>
      <c r="O868" s="368"/>
    </row>
    <row r="869" spans="1:15" s="57" customFormat="1">
      <c r="A869" s="209"/>
      <c r="B869" s="214"/>
      <c r="C869" s="422"/>
      <c r="D869" s="212"/>
      <c r="E869" s="422"/>
      <c r="F869" s="422"/>
      <c r="G869" s="109"/>
      <c r="H869" s="422"/>
      <c r="I869" s="422"/>
      <c r="J869" s="422"/>
      <c r="K869" s="368"/>
      <c r="L869" s="368"/>
      <c r="M869" s="368"/>
      <c r="N869" s="368"/>
      <c r="O869" s="368"/>
    </row>
    <row r="870" spans="1:15" s="57" customFormat="1">
      <c r="A870" s="344" t="s">
        <v>519</v>
      </c>
      <c r="B870" s="332" t="s">
        <v>490</v>
      </c>
      <c r="C870" s="423"/>
      <c r="D870" s="345" t="s">
        <v>482</v>
      </c>
      <c r="E870" s="455">
        <v>461</v>
      </c>
      <c r="F870" s="109">
        <f>E870*C870</f>
        <v>0</v>
      </c>
      <c r="G870" s="451"/>
      <c r="H870" s="438">
        <f>ROUND(G870,2)</f>
        <v>0</v>
      </c>
      <c r="I870" s="438">
        <f>H870*E870</f>
        <v>0</v>
      </c>
      <c r="J870" s="438">
        <f>G870-C870</f>
        <v>0</v>
      </c>
      <c r="K870" s="438">
        <f>I870-F870</f>
        <v>0</v>
      </c>
      <c r="L870" s="438">
        <f>IF(F870&lt;I870,(I870-F870),0)</f>
        <v>0</v>
      </c>
      <c r="M870" s="438">
        <f>IF(F870&gt;I870,(I870-F870),0)</f>
        <v>0</v>
      </c>
      <c r="N870" s="438">
        <f>M870+L870</f>
        <v>0</v>
      </c>
      <c r="O870" s="368"/>
    </row>
    <row r="871" spans="1:15" s="57" customFormat="1">
      <c r="A871" s="209"/>
      <c r="B871" s="214"/>
      <c r="C871" s="422"/>
      <c r="D871" s="212"/>
      <c r="E871" s="422"/>
      <c r="F871" s="422"/>
      <c r="G871" s="109"/>
      <c r="H871" s="422"/>
      <c r="I871" s="422"/>
      <c r="J871" s="422"/>
      <c r="K871" s="368"/>
      <c r="L871" s="368"/>
      <c r="M871" s="368"/>
      <c r="N871" s="368"/>
      <c r="O871" s="368"/>
    </row>
    <row r="872" spans="1:15" s="57" customFormat="1">
      <c r="A872" s="209" t="s">
        <v>520</v>
      </c>
      <c r="B872" s="214" t="s">
        <v>492</v>
      </c>
      <c r="C872" s="423"/>
      <c r="D872" s="212" t="s">
        <v>27</v>
      </c>
      <c r="E872" s="452">
        <v>416</v>
      </c>
      <c r="F872" s="109">
        <f>E872*C872</f>
        <v>0</v>
      </c>
      <c r="G872" s="451"/>
      <c r="H872" s="438">
        <f>ROUND(G872,2)</f>
        <v>0</v>
      </c>
      <c r="I872" s="438">
        <f>H872*E872</f>
        <v>0</v>
      </c>
      <c r="J872" s="438">
        <f>G872-C872</f>
        <v>0</v>
      </c>
      <c r="K872" s="438">
        <f>I872-F872</f>
        <v>0</v>
      </c>
      <c r="L872" s="438">
        <f>IF(F872&lt;I872,(I872-F872),0)</f>
        <v>0</v>
      </c>
      <c r="M872" s="438">
        <f>IF(F872&gt;I872,(I872-F872),0)</f>
        <v>0</v>
      </c>
      <c r="N872" s="438">
        <f>M872+L872</f>
        <v>0</v>
      </c>
      <c r="O872" s="368"/>
    </row>
    <row r="873" spans="1:15" s="57" customFormat="1">
      <c r="A873" s="209"/>
      <c r="B873" s="214"/>
      <c r="C873" s="422"/>
      <c r="D873" s="212"/>
      <c r="E873" s="422"/>
      <c r="F873" s="422"/>
      <c r="G873" s="109"/>
      <c r="H873" s="422"/>
      <c r="I873" s="422"/>
      <c r="J873" s="422"/>
      <c r="K873" s="368"/>
      <c r="L873" s="368"/>
      <c r="M873" s="368"/>
      <c r="N873" s="368"/>
      <c r="O873" s="368"/>
    </row>
    <row r="874" spans="1:15" s="57" customFormat="1">
      <c r="A874" s="209" t="s">
        <v>521</v>
      </c>
      <c r="B874" s="214" t="s">
        <v>494</v>
      </c>
      <c r="C874" s="423"/>
      <c r="D874" s="212" t="s">
        <v>522</v>
      </c>
      <c r="E874" s="452">
        <v>415</v>
      </c>
      <c r="F874" s="109">
        <f>E874*C874</f>
        <v>0</v>
      </c>
      <c r="G874" s="451"/>
      <c r="H874" s="438">
        <f>ROUND(G874,2)</f>
        <v>0</v>
      </c>
      <c r="I874" s="438">
        <f>H874*E874</f>
        <v>0</v>
      </c>
      <c r="J874" s="438">
        <f>G874-C874</f>
        <v>0</v>
      </c>
      <c r="K874" s="438">
        <f>I874-F874</f>
        <v>0</v>
      </c>
      <c r="L874" s="438">
        <f>IF(F874&lt;I874,(I874-F874),0)</f>
        <v>0</v>
      </c>
      <c r="M874" s="438">
        <f>IF(F874&gt;I874,(I874-F874),0)</f>
        <v>0</v>
      </c>
      <c r="N874" s="438">
        <f>M874+L874</f>
        <v>0</v>
      </c>
      <c r="O874" s="368"/>
    </row>
    <row r="875" spans="1:15" s="57" customFormat="1">
      <c r="A875" s="209"/>
      <c r="B875" s="214"/>
      <c r="C875" s="422"/>
      <c r="D875" s="212"/>
      <c r="E875" s="422"/>
      <c r="F875" s="422"/>
      <c r="G875" s="109"/>
      <c r="H875" s="422"/>
      <c r="I875" s="422"/>
      <c r="J875" s="422"/>
      <c r="K875" s="368"/>
      <c r="L875" s="368"/>
      <c r="M875" s="368"/>
      <c r="N875" s="368"/>
      <c r="O875" s="368"/>
    </row>
    <row r="876" spans="1:15" s="57" customFormat="1">
      <c r="A876" s="209" t="s">
        <v>523</v>
      </c>
      <c r="B876" s="214" t="s">
        <v>496</v>
      </c>
      <c r="C876" s="423"/>
      <c r="D876" s="212" t="s">
        <v>522</v>
      </c>
      <c r="E876" s="452">
        <v>381</v>
      </c>
      <c r="F876" s="109">
        <f>E876*C876</f>
        <v>0</v>
      </c>
      <c r="G876" s="451"/>
      <c r="H876" s="438">
        <f>ROUND(G876,2)</f>
        <v>0</v>
      </c>
      <c r="I876" s="438">
        <f>H876*E876</f>
        <v>0</v>
      </c>
      <c r="J876" s="438">
        <f>G876-C876</f>
        <v>0</v>
      </c>
      <c r="K876" s="438">
        <f>I876-F876</f>
        <v>0</v>
      </c>
      <c r="L876" s="438">
        <f>IF(F876&lt;I876,(I876-F876),0)</f>
        <v>0</v>
      </c>
      <c r="M876" s="438">
        <f>IF(F876&gt;I876,(I876-F876),0)</f>
        <v>0</v>
      </c>
      <c r="N876" s="438">
        <f>M876+L876</f>
        <v>0</v>
      </c>
      <c r="O876" s="368"/>
    </row>
    <row r="877" spans="1:15" s="57" customFormat="1">
      <c r="A877" s="209"/>
      <c r="B877" s="214"/>
      <c r="C877" s="422"/>
      <c r="D877" s="212"/>
      <c r="E877" s="422"/>
      <c r="F877" s="422"/>
      <c r="G877" s="109"/>
      <c r="H877" s="422"/>
      <c r="I877" s="422"/>
      <c r="J877" s="422"/>
      <c r="K877" s="368"/>
      <c r="L877" s="368"/>
      <c r="M877" s="368"/>
      <c r="N877" s="368"/>
      <c r="O877" s="368"/>
    </row>
    <row r="878" spans="1:15" s="57" customFormat="1">
      <c r="A878" s="209" t="s">
        <v>524</v>
      </c>
      <c r="B878" s="214" t="s">
        <v>498</v>
      </c>
      <c r="C878" s="423"/>
      <c r="D878" s="212" t="s">
        <v>27</v>
      </c>
      <c r="E878" s="452">
        <v>555</v>
      </c>
      <c r="F878" s="109">
        <f>E878*C878</f>
        <v>0</v>
      </c>
      <c r="G878" s="451"/>
      <c r="H878" s="438">
        <f>ROUND(G878,2)</f>
        <v>0</v>
      </c>
      <c r="I878" s="438">
        <f>H878*E878</f>
        <v>0</v>
      </c>
      <c r="J878" s="438">
        <f>G878-C878</f>
        <v>0</v>
      </c>
      <c r="K878" s="438">
        <f>I878-F878</f>
        <v>0</v>
      </c>
      <c r="L878" s="438">
        <f>IF(F878&lt;I878,(I878-F878),0)</f>
        <v>0</v>
      </c>
      <c r="M878" s="438">
        <f>IF(F878&gt;I878,(I878-F878),0)</f>
        <v>0</v>
      </c>
      <c r="N878" s="438">
        <f>M878+L878</f>
        <v>0</v>
      </c>
      <c r="O878" s="368"/>
    </row>
    <row r="879" spans="1:15" s="57" customFormat="1">
      <c r="A879" s="209"/>
      <c r="B879" s="214"/>
      <c r="C879" s="422"/>
      <c r="D879" s="212"/>
      <c r="E879" s="422"/>
      <c r="F879" s="422"/>
      <c r="G879" s="109"/>
      <c r="H879" s="422"/>
      <c r="I879" s="422"/>
      <c r="J879" s="422"/>
      <c r="K879" s="368"/>
      <c r="L879" s="368"/>
      <c r="M879" s="368"/>
      <c r="N879" s="368"/>
      <c r="O879" s="368"/>
    </row>
    <row r="880" spans="1:15" s="57" customFormat="1">
      <c r="A880" s="209" t="s">
        <v>525</v>
      </c>
      <c r="B880" s="214" t="s">
        <v>500</v>
      </c>
      <c r="C880" s="423"/>
      <c r="D880" s="212" t="s">
        <v>27</v>
      </c>
      <c r="E880" s="452">
        <v>490</v>
      </c>
      <c r="F880" s="109">
        <f>E880*C880</f>
        <v>0</v>
      </c>
      <c r="G880" s="451"/>
      <c r="H880" s="438">
        <f>ROUND(G880,2)</f>
        <v>0</v>
      </c>
      <c r="I880" s="438">
        <f>H880*E880</f>
        <v>0</v>
      </c>
      <c r="J880" s="438">
        <f>G880-C880</f>
        <v>0</v>
      </c>
      <c r="K880" s="438">
        <f>I880-F880</f>
        <v>0</v>
      </c>
      <c r="L880" s="438">
        <f>IF(F880&lt;I880,(I880-F880),0)</f>
        <v>0</v>
      </c>
      <c r="M880" s="438">
        <f>IF(F880&gt;I880,(I880-F880),0)</f>
        <v>0</v>
      </c>
      <c r="N880" s="438">
        <f>M880+L880</f>
        <v>0</v>
      </c>
      <c r="O880" s="368"/>
    </row>
    <row r="881" spans="1:15" s="57" customFormat="1">
      <c r="A881" s="209"/>
      <c r="B881" s="214"/>
      <c r="C881" s="422"/>
      <c r="D881" s="212"/>
      <c r="E881" s="422"/>
      <c r="F881" s="422"/>
      <c r="G881" s="109"/>
      <c r="H881" s="422"/>
      <c r="I881" s="422"/>
      <c r="J881" s="422"/>
      <c r="K881" s="368"/>
      <c r="L881" s="368"/>
      <c r="M881" s="368"/>
      <c r="N881" s="368"/>
      <c r="O881" s="368"/>
    </row>
    <row r="882" spans="1:15" s="57" customFormat="1">
      <c r="A882" s="209" t="s">
        <v>526</v>
      </c>
      <c r="B882" s="214" t="s">
        <v>502</v>
      </c>
      <c r="C882" s="423">
        <v>20</v>
      </c>
      <c r="D882" s="212" t="s">
        <v>27</v>
      </c>
      <c r="E882" s="452">
        <v>427</v>
      </c>
      <c r="F882" s="109">
        <f>E882*C882</f>
        <v>8540</v>
      </c>
      <c r="G882" s="453">
        <f>'Measurement sheet'!F687</f>
        <v>5</v>
      </c>
      <c r="H882" s="438">
        <f>ROUND(G882,2)</f>
        <v>5</v>
      </c>
      <c r="I882" s="438">
        <f>H882*E882</f>
        <v>2135</v>
      </c>
      <c r="J882" s="438">
        <f>G882-C882</f>
        <v>-15</v>
      </c>
      <c r="K882" s="438">
        <f>I882-F882</f>
        <v>-6405</v>
      </c>
      <c r="L882" s="438">
        <f>IF(F882&lt;I882,(I882-F882),0)</f>
        <v>0</v>
      </c>
      <c r="M882" s="438">
        <f>IF(F882&gt;I882,(I882-F882),0)</f>
        <v>-6405</v>
      </c>
      <c r="N882" s="438">
        <f>M882+L882</f>
        <v>-6405</v>
      </c>
      <c r="O882" s="368"/>
    </row>
    <row r="883" spans="1:15" s="57" customFormat="1">
      <c r="A883" s="209"/>
      <c r="B883" s="214"/>
      <c r="C883" s="422"/>
      <c r="D883" s="212"/>
      <c r="E883" s="422"/>
      <c r="F883" s="422"/>
      <c r="G883" s="109"/>
      <c r="H883" s="422"/>
      <c r="I883" s="422"/>
      <c r="J883" s="422"/>
      <c r="K883" s="368"/>
      <c r="L883" s="368"/>
      <c r="M883" s="368"/>
      <c r="N883" s="368"/>
      <c r="O883" s="368"/>
    </row>
    <row r="884" spans="1:15" s="57" customFormat="1">
      <c r="A884" s="209" t="s">
        <v>527</v>
      </c>
      <c r="B884" s="214" t="s">
        <v>504</v>
      </c>
      <c r="C884" s="423"/>
      <c r="D884" s="212" t="s">
        <v>27</v>
      </c>
      <c r="E884" s="452">
        <v>371</v>
      </c>
      <c r="F884" s="109">
        <f>E884*C884</f>
        <v>0</v>
      </c>
      <c r="G884" s="451"/>
      <c r="H884" s="438">
        <f>ROUND(G884,2)</f>
        <v>0</v>
      </c>
      <c r="I884" s="438">
        <f>H884*E884</f>
        <v>0</v>
      </c>
      <c r="J884" s="438">
        <f>G884-C884</f>
        <v>0</v>
      </c>
      <c r="K884" s="438">
        <f>I884-F884</f>
        <v>0</v>
      </c>
      <c r="L884" s="438">
        <f>IF(F884&lt;I884,(I884-F884),0)</f>
        <v>0</v>
      </c>
      <c r="M884" s="438">
        <f>IF(F884&gt;I884,(I884-F884),0)</f>
        <v>0</v>
      </c>
      <c r="N884" s="438">
        <f>M884+L884</f>
        <v>0</v>
      </c>
      <c r="O884" s="368"/>
    </row>
    <row r="885" spans="1:15" s="57" customFormat="1">
      <c r="A885" s="209"/>
      <c r="B885" s="214"/>
      <c r="C885" s="422"/>
      <c r="D885" s="212"/>
      <c r="E885" s="422"/>
      <c r="F885" s="422"/>
      <c r="G885" s="109"/>
      <c r="H885" s="422"/>
      <c r="I885" s="422"/>
      <c r="J885" s="422"/>
      <c r="K885" s="368"/>
      <c r="L885" s="368"/>
      <c r="M885" s="368"/>
      <c r="N885" s="368"/>
      <c r="O885" s="368"/>
    </row>
    <row r="886" spans="1:15" s="57" customFormat="1">
      <c r="A886" s="209" t="s">
        <v>528</v>
      </c>
      <c r="B886" s="214" t="s">
        <v>506</v>
      </c>
      <c r="C886" s="423"/>
      <c r="D886" s="212" t="s">
        <v>27</v>
      </c>
      <c r="E886" s="452">
        <v>165</v>
      </c>
      <c r="F886" s="109">
        <f>E886*C886</f>
        <v>0</v>
      </c>
      <c r="G886" s="451"/>
      <c r="H886" s="438">
        <f>ROUND(G886,2)</f>
        <v>0</v>
      </c>
      <c r="I886" s="438">
        <f>H886*E886</f>
        <v>0</v>
      </c>
      <c r="J886" s="438">
        <f>G886-C886</f>
        <v>0</v>
      </c>
      <c r="K886" s="438">
        <f>I886-F886</f>
        <v>0</v>
      </c>
      <c r="L886" s="438">
        <f>IF(F886&lt;I886,(I886-F886),0)</f>
        <v>0</v>
      </c>
      <c r="M886" s="438">
        <f>IF(F886&gt;I886,(I886-F886),0)</f>
        <v>0</v>
      </c>
      <c r="N886" s="438">
        <f>M886+L886</f>
        <v>0</v>
      </c>
      <c r="O886" s="368"/>
    </row>
    <row r="887" spans="1:15" s="57" customFormat="1">
      <c r="A887" s="209"/>
      <c r="B887" s="214"/>
      <c r="C887" s="422"/>
      <c r="D887" s="212"/>
      <c r="E887" s="422"/>
      <c r="F887" s="422"/>
      <c r="G887" s="109"/>
      <c r="H887" s="422"/>
      <c r="I887" s="422"/>
      <c r="J887" s="422"/>
      <c r="K887" s="368"/>
      <c r="L887" s="368"/>
      <c r="M887" s="368"/>
      <c r="N887" s="368"/>
      <c r="O887" s="368"/>
    </row>
    <row r="888" spans="1:15" s="57" customFormat="1">
      <c r="A888" s="209" t="s">
        <v>529</v>
      </c>
      <c r="B888" s="214" t="s">
        <v>508</v>
      </c>
      <c r="C888" s="423">
        <v>4</v>
      </c>
      <c r="D888" s="212" t="s">
        <v>27</v>
      </c>
      <c r="E888" s="452">
        <v>144</v>
      </c>
      <c r="F888" s="109">
        <f>E888*C888</f>
        <v>576</v>
      </c>
      <c r="G888" s="451"/>
      <c r="H888" s="438">
        <f>ROUND(G888,2)</f>
        <v>0</v>
      </c>
      <c r="I888" s="438">
        <f>H888*E888</f>
        <v>0</v>
      </c>
      <c r="J888" s="438">
        <f>G888-C888</f>
        <v>-4</v>
      </c>
      <c r="K888" s="438">
        <f>I888-F888</f>
        <v>-576</v>
      </c>
      <c r="L888" s="438">
        <f>IF(F888&lt;I888,(I888-F888),0)</f>
        <v>0</v>
      </c>
      <c r="M888" s="438">
        <f>IF(F888&gt;I888,(I888-F888),0)</f>
        <v>-576</v>
      </c>
      <c r="N888" s="438">
        <f>M888+L888</f>
        <v>-576</v>
      </c>
      <c r="O888" s="368"/>
    </row>
    <row r="889" spans="1:15" s="57" customFormat="1">
      <c r="A889" s="209"/>
      <c r="B889" s="214"/>
      <c r="C889" s="422"/>
      <c r="D889" s="212"/>
      <c r="E889" s="422"/>
      <c r="F889" s="422"/>
      <c r="G889" s="109"/>
      <c r="H889" s="422"/>
      <c r="I889" s="422"/>
      <c r="J889" s="422"/>
      <c r="K889" s="368"/>
      <c r="L889" s="368"/>
      <c r="M889" s="368"/>
      <c r="N889" s="368"/>
      <c r="O889" s="368"/>
    </row>
    <row r="890" spans="1:15" s="57" customFormat="1" ht="43.2">
      <c r="A890" s="209" t="s">
        <v>530</v>
      </c>
      <c r="B890" s="485" t="s">
        <v>510</v>
      </c>
      <c r="C890" s="423"/>
      <c r="D890" s="212" t="s">
        <v>27</v>
      </c>
      <c r="E890" s="452">
        <v>137</v>
      </c>
      <c r="F890" s="109">
        <f>E890*C890</f>
        <v>0</v>
      </c>
      <c r="G890" s="453">
        <f>'Measurement sheet'!F688</f>
        <v>8</v>
      </c>
      <c r="H890" s="438">
        <f>ROUND(G890,2)</f>
        <v>8</v>
      </c>
      <c r="I890" s="438">
        <f>H890*E890</f>
        <v>1096</v>
      </c>
      <c r="J890" s="438">
        <f>G890-C890</f>
        <v>8</v>
      </c>
      <c r="K890" s="438">
        <f>I890-F890</f>
        <v>1096</v>
      </c>
      <c r="L890" s="438">
        <f>IF(F890&lt;I890,(I890-F890),0)</f>
        <v>1096</v>
      </c>
      <c r="M890" s="438">
        <f>IF(F890&gt;I890,(I890-F890),0)</f>
        <v>0</v>
      </c>
      <c r="N890" s="438">
        <f>M890+L890</f>
        <v>1096</v>
      </c>
      <c r="O890" s="479" t="s">
        <v>1611</v>
      </c>
    </row>
    <row r="891" spans="1:15" s="57" customFormat="1">
      <c r="A891" s="209"/>
      <c r="B891" s="214"/>
      <c r="C891" s="422"/>
      <c r="D891" s="212"/>
      <c r="E891" s="422"/>
      <c r="F891" s="422"/>
      <c r="G891" s="109"/>
      <c r="H891" s="422"/>
      <c r="I891" s="422"/>
      <c r="J891" s="422"/>
      <c r="K891" s="368"/>
      <c r="L891" s="368"/>
      <c r="M891" s="368"/>
      <c r="N891" s="368"/>
      <c r="O891" s="368"/>
    </row>
    <row r="892" spans="1:15" s="57" customFormat="1">
      <c r="A892" s="209" t="s">
        <v>531</v>
      </c>
      <c r="B892" s="214" t="s">
        <v>512</v>
      </c>
      <c r="C892" s="423">
        <v>12</v>
      </c>
      <c r="D892" s="212" t="s">
        <v>27</v>
      </c>
      <c r="E892" s="452">
        <v>129</v>
      </c>
      <c r="F892" s="109">
        <f>E892*C892</f>
        <v>1548</v>
      </c>
      <c r="G892" s="453">
        <f>'Measurement sheet'!F689</f>
        <v>10</v>
      </c>
      <c r="H892" s="438">
        <f>ROUND(G892,2)</f>
        <v>10</v>
      </c>
      <c r="I892" s="438">
        <f>H892*E892</f>
        <v>1290</v>
      </c>
      <c r="J892" s="438">
        <f>G892-C892</f>
        <v>-2</v>
      </c>
      <c r="K892" s="438">
        <f>I892-F892</f>
        <v>-258</v>
      </c>
      <c r="L892" s="438">
        <f>IF(F892&lt;I892,(I892-F892),0)</f>
        <v>0</v>
      </c>
      <c r="M892" s="438">
        <f>IF(F892&gt;I892,(I892-F892),0)</f>
        <v>-258</v>
      </c>
      <c r="N892" s="438">
        <f>M892+L892</f>
        <v>-258</v>
      </c>
      <c r="O892" s="368"/>
    </row>
    <row r="893" spans="1:15" s="57" customFormat="1">
      <c r="A893" s="291"/>
      <c r="B893" s="210"/>
      <c r="C893" s="422"/>
      <c r="D893" s="212"/>
      <c r="E893" s="422"/>
      <c r="F893" s="422"/>
      <c r="G893" s="109"/>
      <c r="H893" s="422"/>
      <c r="I893" s="422"/>
      <c r="J893" s="422"/>
      <c r="K893" s="368"/>
      <c r="L893" s="368"/>
      <c r="M893" s="368"/>
      <c r="N893" s="368"/>
      <c r="O893" s="368"/>
    </row>
    <row r="894" spans="1:15" s="57" customFormat="1">
      <c r="A894" s="366"/>
      <c r="B894" s="365" t="s">
        <v>532</v>
      </c>
      <c r="C894" s="425"/>
      <c r="D894" s="367"/>
      <c r="E894" s="425"/>
      <c r="F894" s="425">
        <f>SUM(F826:F893)</f>
        <v>157690</v>
      </c>
      <c r="G894" s="425"/>
      <c r="H894" s="425"/>
      <c r="I894" s="425">
        <f>SUM(I826:I893)</f>
        <v>82487</v>
      </c>
      <c r="J894" s="425"/>
      <c r="K894" s="425">
        <f>SUM(K826:K893)</f>
        <v>-75203</v>
      </c>
      <c r="L894" s="425">
        <f>SUM(L826:L893)</f>
        <v>16640</v>
      </c>
      <c r="M894" s="425">
        <f>SUM(M826:M893)</f>
        <v>-91843</v>
      </c>
      <c r="N894" s="425">
        <f>SUM(N826:N893)</f>
        <v>-75203</v>
      </c>
      <c r="O894" s="425"/>
    </row>
    <row r="895" spans="1:15" s="57" customFormat="1">
      <c r="A895" s="209"/>
      <c r="B895" s="210"/>
      <c r="C895" s="427"/>
      <c r="D895" s="225"/>
      <c r="E895" s="427"/>
      <c r="F895" s="427"/>
      <c r="G895" s="109"/>
      <c r="H895" s="427"/>
      <c r="I895" s="427"/>
      <c r="J895" s="427"/>
      <c r="K895" s="368"/>
      <c r="L895" s="368"/>
      <c r="M895" s="368"/>
      <c r="N895" s="368"/>
      <c r="O895" s="368"/>
    </row>
    <row r="896" spans="1:15" s="57" customFormat="1">
      <c r="A896" s="325" t="s">
        <v>302</v>
      </c>
      <c r="B896" s="87" t="s">
        <v>533</v>
      </c>
      <c r="C896" s="421"/>
      <c r="D896" s="88"/>
      <c r="E896" s="421"/>
      <c r="F896" s="421"/>
      <c r="G896" s="421"/>
      <c r="H896" s="421"/>
      <c r="I896" s="421"/>
      <c r="J896" s="421"/>
      <c r="K896" s="421"/>
      <c r="L896" s="421"/>
      <c r="M896" s="421"/>
      <c r="N896" s="421"/>
      <c r="O896" s="421"/>
    </row>
    <row r="897" spans="1:15" s="57" customFormat="1">
      <c r="A897" s="346"/>
      <c r="B897" s="210"/>
      <c r="C897" s="422"/>
      <c r="D897" s="212"/>
      <c r="E897" s="422"/>
      <c r="F897" s="422"/>
      <c r="G897" s="109"/>
      <c r="H897" s="422"/>
      <c r="I897" s="422"/>
      <c r="J897" s="422"/>
      <c r="K897" s="368"/>
      <c r="L897" s="368"/>
      <c r="M897" s="368"/>
      <c r="N897" s="368"/>
      <c r="O897" s="368"/>
    </row>
    <row r="898" spans="1:15" s="57" customFormat="1">
      <c r="A898" s="234">
        <v>6.1</v>
      </c>
      <c r="B898" s="210" t="s">
        <v>534</v>
      </c>
      <c r="C898" s="422"/>
      <c r="D898" s="212"/>
      <c r="E898" s="422"/>
      <c r="F898" s="422"/>
      <c r="G898" s="422"/>
      <c r="H898" s="422"/>
      <c r="I898" s="422"/>
      <c r="J898" s="422"/>
      <c r="K898" s="368"/>
      <c r="L898" s="368"/>
      <c r="M898" s="368"/>
      <c r="N898" s="368"/>
      <c r="O898" s="368"/>
    </row>
    <row r="899" spans="1:15" s="57" customFormat="1" ht="26.4">
      <c r="A899" s="209" t="s">
        <v>535</v>
      </c>
      <c r="B899" s="227" t="s">
        <v>536</v>
      </c>
      <c r="C899" s="423"/>
      <c r="D899" s="212" t="s">
        <v>482</v>
      </c>
      <c r="E899" s="452">
        <v>113</v>
      </c>
      <c r="F899" s="109">
        <f>E899*C899</f>
        <v>0</v>
      </c>
      <c r="G899" s="436"/>
      <c r="H899" s="438">
        <f>ROUND(G899,2)</f>
        <v>0</v>
      </c>
      <c r="I899" s="438">
        <f>H899*E899</f>
        <v>0</v>
      </c>
      <c r="J899" s="438">
        <f>G899-C899</f>
        <v>0</v>
      </c>
      <c r="K899" s="438">
        <f>I899-F899</f>
        <v>0</v>
      </c>
      <c r="L899" s="438">
        <f>IF(F899&lt;I899,(I899-F899),0)</f>
        <v>0</v>
      </c>
      <c r="M899" s="438">
        <f>IF(F899&gt;I899,(I899-F899),0)</f>
        <v>0</v>
      </c>
      <c r="N899" s="438">
        <f>M899+L899</f>
        <v>0</v>
      </c>
      <c r="O899" s="368"/>
    </row>
    <row r="900" spans="1:15" s="57" customFormat="1" ht="26.4">
      <c r="A900" s="209" t="s">
        <v>537</v>
      </c>
      <c r="B900" s="227" t="s">
        <v>538</v>
      </c>
      <c r="C900" s="423"/>
      <c r="D900" s="212" t="s">
        <v>482</v>
      </c>
      <c r="E900" s="452">
        <v>94</v>
      </c>
      <c r="F900" s="109">
        <f>E900*C900</f>
        <v>0</v>
      </c>
      <c r="G900" s="451"/>
      <c r="H900" s="438">
        <f>ROUND(G900,2)</f>
        <v>0</v>
      </c>
      <c r="I900" s="438">
        <f>H900*E900</f>
        <v>0</v>
      </c>
      <c r="J900" s="438">
        <f>G900-C900</f>
        <v>0</v>
      </c>
      <c r="K900" s="438">
        <f>I900-F900</f>
        <v>0</v>
      </c>
      <c r="L900" s="438">
        <f>IF(F900&lt;I900,(I900-F900),0)</f>
        <v>0</v>
      </c>
      <c r="M900" s="438">
        <f>IF(F900&gt;I900,(I900-F900),0)</f>
        <v>0</v>
      </c>
      <c r="N900" s="438">
        <f>M900+L900</f>
        <v>0</v>
      </c>
      <c r="O900" s="368"/>
    </row>
    <row r="901" spans="1:15" s="57" customFormat="1">
      <c r="A901" s="209"/>
      <c r="B901" s="347" t="s">
        <v>452</v>
      </c>
      <c r="C901" s="422"/>
      <c r="D901" s="212"/>
      <c r="E901" s="422"/>
      <c r="F901" s="422"/>
      <c r="G901" s="422"/>
      <c r="H901" s="422"/>
      <c r="I901" s="422"/>
      <c r="J901" s="422"/>
      <c r="K901" s="368"/>
      <c r="L901" s="368"/>
      <c r="M901" s="368"/>
      <c r="N901" s="368"/>
      <c r="O901" s="368"/>
    </row>
    <row r="902" spans="1:15" s="57" customFormat="1" ht="39.6">
      <c r="A902" s="209" t="s">
        <v>539</v>
      </c>
      <c r="B902" s="227" t="s">
        <v>540</v>
      </c>
      <c r="C902" s="423"/>
      <c r="D902" s="212" t="s">
        <v>482</v>
      </c>
      <c r="E902" s="452">
        <v>76</v>
      </c>
      <c r="F902" s="109">
        <f>E902*C902</f>
        <v>0</v>
      </c>
      <c r="G902" s="451"/>
      <c r="H902" s="438">
        <f>ROUND(G902,2)</f>
        <v>0</v>
      </c>
      <c r="I902" s="438">
        <f>H902*E902</f>
        <v>0</v>
      </c>
      <c r="J902" s="438">
        <f>G902-C902</f>
        <v>0</v>
      </c>
      <c r="K902" s="438">
        <f>I902-F902</f>
        <v>0</v>
      </c>
      <c r="L902" s="438">
        <f>IF(F902&lt;I902,(I902-F902),0)</f>
        <v>0</v>
      </c>
      <c r="M902" s="438">
        <f>IF(F902&gt;I902,(I902-F902),0)</f>
        <v>0</v>
      </c>
      <c r="N902" s="438">
        <f>M902+L902</f>
        <v>0</v>
      </c>
      <c r="O902" s="368"/>
    </row>
    <row r="903" spans="1:15" s="57" customFormat="1" ht="39.6">
      <c r="A903" s="209" t="s">
        <v>541</v>
      </c>
      <c r="B903" s="227" t="s">
        <v>542</v>
      </c>
      <c r="C903" s="423"/>
      <c r="D903" s="212" t="s">
        <v>482</v>
      </c>
      <c r="E903" s="452">
        <v>87</v>
      </c>
      <c r="F903" s="109">
        <f>E903*C903</f>
        <v>0</v>
      </c>
      <c r="G903" s="436"/>
      <c r="H903" s="438">
        <f>ROUND(G903,2)</f>
        <v>0</v>
      </c>
      <c r="I903" s="438">
        <f>H903*E903</f>
        <v>0</v>
      </c>
      <c r="J903" s="438">
        <f>G903-C903</f>
        <v>0</v>
      </c>
      <c r="K903" s="438">
        <f>I903-F903</f>
        <v>0</v>
      </c>
      <c r="L903" s="438">
        <f>IF(F903&lt;I903,(I903-F903),0)</f>
        <v>0</v>
      </c>
      <c r="M903" s="438">
        <f>IF(F903&gt;I903,(I903-F903),0)</f>
        <v>0</v>
      </c>
      <c r="N903" s="438">
        <f>M903+L903</f>
        <v>0</v>
      </c>
      <c r="O903" s="368"/>
    </row>
    <row r="904" spans="1:15" s="57" customFormat="1" ht="39.6">
      <c r="A904" s="209" t="s">
        <v>543</v>
      </c>
      <c r="B904" s="227" t="s">
        <v>544</v>
      </c>
      <c r="C904" s="423"/>
      <c r="D904" s="212" t="s">
        <v>482</v>
      </c>
      <c r="E904" s="452">
        <v>92</v>
      </c>
      <c r="F904" s="109">
        <f>E904*C904</f>
        <v>0</v>
      </c>
      <c r="G904" s="436"/>
      <c r="H904" s="438">
        <f>ROUND(G904,2)</f>
        <v>0</v>
      </c>
      <c r="I904" s="438">
        <f>H904*E904</f>
        <v>0</v>
      </c>
      <c r="J904" s="438">
        <f>G904-C904</f>
        <v>0</v>
      </c>
      <c r="K904" s="438">
        <f>I904-F904</f>
        <v>0</v>
      </c>
      <c r="L904" s="438">
        <f>IF(F904&lt;I904,(I904-F904),0)</f>
        <v>0</v>
      </c>
      <c r="M904" s="438">
        <f>IF(F904&gt;I904,(I904-F904),0)</f>
        <v>0</v>
      </c>
      <c r="N904" s="438">
        <f>M904+L904</f>
        <v>0</v>
      </c>
      <c r="O904" s="368"/>
    </row>
    <row r="905" spans="1:15" s="57" customFormat="1" ht="52.8">
      <c r="A905" s="209" t="s">
        <v>545</v>
      </c>
      <c r="B905" s="227" t="s">
        <v>546</v>
      </c>
      <c r="C905" s="423">
        <v>300</v>
      </c>
      <c r="D905" s="212" t="s">
        <v>482</v>
      </c>
      <c r="E905" s="452">
        <v>97</v>
      </c>
      <c r="F905" s="109">
        <f>E905*C905</f>
        <v>29100</v>
      </c>
      <c r="G905" s="439">
        <f>'Measurement sheet'!F694</f>
        <v>160</v>
      </c>
      <c r="H905" s="438">
        <f>ROUND(G905,2)</f>
        <v>160</v>
      </c>
      <c r="I905" s="438">
        <f>H905*E905</f>
        <v>15520</v>
      </c>
      <c r="J905" s="438">
        <f>G905-C905</f>
        <v>-140</v>
      </c>
      <c r="K905" s="438">
        <f>I905-F905</f>
        <v>-13580</v>
      </c>
      <c r="L905" s="438">
        <f>IF(F905&lt;I905,(I905-F905),0)</f>
        <v>0</v>
      </c>
      <c r="M905" s="438">
        <f>IF(F905&gt;I905,(I905-F905),0)</f>
        <v>-13580</v>
      </c>
      <c r="N905" s="438">
        <f>M905+L905</f>
        <v>-13580</v>
      </c>
      <c r="O905" s="368"/>
    </row>
    <row r="906" spans="1:15" s="57" customFormat="1">
      <c r="A906" s="209"/>
      <c r="B906" s="227"/>
      <c r="C906" s="422"/>
      <c r="D906" s="212"/>
      <c r="E906" s="422"/>
      <c r="F906" s="422"/>
      <c r="G906" s="109"/>
      <c r="H906" s="422"/>
      <c r="I906" s="422"/>
      <c r="J906" s="422"/>
      <c r="K906" s="368"/>
      <c r="L906" s="368"/>
      <c r="M906" s="368"/>
      <c r="N906" s="368"/>
      <c r="O906" s="368"/>
    </row>
    <row r="907" spans="1:15" s="57" customFormat="1">
      <c r="A907" s="209">
        <v>6.2</v>
      </c>
      <c r="B907" s="228" t="s">
        <v>547</v>
      </c>
      <c r="C907" s="422"/>
      <c r="D907" s="212"/>
      <c r="E907" s="422"/>
      <c r="F907" s="422"/>
      <c r="G907" s="422"/>
      <c r="H907" s="422"/>
      <c r="I907" s="422"/>
      <c r="J907" s="422"/>
      <c r="K907" s="368"/>
      <c r="L907" s="368"/>
      <c r="M907" s="368"/>
      <c r="N907" s="368"/>
      <c r="O907" s="368"/>
    </row>
    <row r="908" spans="1:15" s="57" customFormat="1" ht="39.6">
      <c r="A908" s="209" t="s">
        <v>548</v>
      </c>
      <c r="B908" s="227" t="s">
        <v>549</v>
      </c>
      <c r="C908" s="423">
        <v>200</v>
      </c>
      <c r="D908" s="212" t="s">
        <v>482</v>
      </c>
      <c r="E908" s="452">
        <v>120</v>
      </c>
      <c r="F908" s="109">
        <f>E908*C908</f>
        <v>24000</v>
      </c>
      <c r="G908" s="453">
        <f>'Measurement sheet'!F704</f>
        <v>75</v>
      </c>
      <c r="H908" s="438">
        <f>ROUND(G908,2)</f>
        <v>75</v>
      </c>
      <c r="I908" s="438">
        <f>H908*E908</f>
        <v>9000</v>
      </c>
      <c r="J908" s="438">
        <f>G908-C908</f>
        <v>-125</v>
      </c>
      <c r="K908" s="438">
        <f>I908-F908</f>
        <v>-15000</v>
      </c>
      <c r="L908" s="438">
        <f>IF(F908&lt;I908,(I908-F908),0)</f>
        <v>0</v>
      </c>
      <c r="M908" s="438">
        <f>IF(F908&gt;I908,(I908-F908),0)</f>
        <v>-15000</v>
      </c>
      <c r="N908" s="438">
        <f>M908+L908</f>
        <v>-15000</v>
      </c>
      <c r="O908" s="368"/>
    </row>
    <row r="909" spans="1:15" s="57" customFormat="1">
      <c r="A909" s="209"/>
      <c r="B909" s="227"/>
      <c r="C909" s="422"/>
      <c r="D909" s="212"/>
      <c r="E909" s="422"/>
      <c r="F909" s="422"/>
      <c r="G909" s="109"/>
      <c r="H909" s="422"/>
      <c r="I909" s="422"/>
      <c r="J909" s="422"/>
      <c r="K909" s="368"/>
      <c r="L909" s="368"/>
      <c r="M909" s="368"/>
      <c r="N909" s="368"/>
      <c r="O909" s="368"/>
    </row>
    <row r="910" spans="1:15" s="57" customFormat="1">
      <c r="A910" s="209">
        <v>6.3</v>
      </c>
      <c r="B910" s="228" t="s">
        <v>550</v>
      </c>
      <c r="C910" s="422"/>
      <c r="D910" s="212"/>
      <c r="E910" s="422"/>
      <c r="F910" s="422"/>
      <c r="G910" s="422"/>
      <c r="H910" s="422"/>
      <c r="I910" s="422"/>
      <c r="J910" s="422"/>
      <c r="K910" s="368"/>
      <c r="L910" s="368"/>
      <c r="M910" s="368"/>
      <c r="N910" s="368"/>
      <c r="O910" s="368"/>
    </row>
    <row r="911" spans="1:15" s="57" customFormat="1">
      <c r="A911" s="209" t="s">
        <v>551</v>
      </c>
      <c r="B911" s="227" t="s">
        <v>552</v>
      </c>
      <c r="C911" s="423"/>
      <c r="D911" s="212" t="s">
        <v>482</v>
      </c>
      <c r="E911" s="452">
        <v>99</v>
      </c>
      <c r="F911" s="109">
        <f>E911*C911</f>
        <v>0</v>
      </c>
      <c r="G911" s="451"/>
      <c r="H911" s="438">
        <f>ROUND(G911,2)</f>
        <v>0</v>
      </c>
      <c r="I911" s="438">
        <f>H911*E911</f>
        <v>0</v>
      </c>
      <c r="J911" s="438">
        <f>G911-C911</f>
        <v>0</v>
      </c>
      <c r="K911" s="438">
        <f>I911-F911</f>
        <v>0</v>
      </c>
      <c r="L911" s="438">
        <f>IF(F911&lt;I911,(I911-F911),0)</f>
        <v>0</v>
      </c>
      <c r="M911" s="438">
        <f>IF(F911&gt;I911,(I911-F911),0)</f>
        <v>0</v>
      </c>
      <c r="N911" s="438">
        <f>M911+L911</f>
        <v>0</v>
      </c>
      <c r="O911" s="368"/>
    </row>
    <row r="912" spans="1:15" s="57" customFormat="1">
      <c r="A912" s="209"/>
      <c r="B912" s="227"/>
      <c r="C912" s="422"/>
      <c r="D912" s="212"/>
      <c r="E912" s="422"/>
      <c r="F912" s="422"/>
      <c r="G912" s="109"/>
      <c r="H912" s="422"/>
      <c r="I912" s="422"/>
      <c r="J912" s="422"/>
      <c r="K912" s="368"/>
      <c r="L912" s="368"/>
      <c r="M912" s="368"/>
      <c r="N912" s="368"/>
      <c r="O912" s="368"/>
    </row>
    <row r="913" spans="1:15" s="57" customFormat="1">
      <c r="A913" s="209">
        <v>6.4</v>
      </c>
      <c r="B913" s="228" t="s">
        <v>553</v>
      </c>
      <c r="C913" s="422"/>
      <c r="D913" s="212"/>
      <c r="E913" s="422"/>
      <c r="F913" s="422"/>
      <c r="G913" s="422"/>
      <c r="H913" s="422"/>
      <c r="I913" s="422"/>
      <c r="J913" s="422"/>
      <c r="K913" s="368"/>
      <c r="L913" s="368"/>
      <c r="M913" s="368"/>
      <c r="N913" s="368"/>
      <c r="O913" s="368"/>
    </row>
    <row r="914" spans="1:15" s="57" customFormat="1" ht="79.2">
      <c r="A914" s="209" t="s">
        <v>554</v>
      </c>
      <c r="B914" s="227" t="s">
        <v>555</v>
      </c>
      <c r="C914" s="423">
        <v>200</v>
      </c>
      <c r="D914" s="212" t="s">
        <v>482</v>
      </c>
      <c r="E914" s="452">
        <v>122</v>
      </c>
      <c r="F914" s="109">
        <f>E914*C914</f>
        <v>24400</v>
      </c>
      <c r="G914" s="453">
        <f>'Measurement sheet'!F713</f>
        <v>122</v>
      </c>
      <c r="H914" s="438">
        <f>ROUND(G914,2)</f>
        <v>122</v>
      </c>
      <c r="I914" s="438">
        <f>H914*E914</f>
        <v>14884</v>
      </c>
      <c r="J914" s="438">
        <f>G914-C914</f>
        <v>-78</v>
      </c>
      <c r="K914" s="438">
        <f>I914-F914</f>
        <v>-9516</v>
      </c>
      <c r="L914" s="438">
        <f>IF(F914&lt;I914,(I914-F914),0)</f>
        <v>0</v>
      </c>
      <c r="M914" s="438">
        <f>IF(F914&gt;I914,(I914-F914),0)</f>
        <v>-9516</v>
      </c>
      <c r="N914" s="438">
        <f>M914+L914</f>
        <v>-9516</v>
      </c>
      <c r="O914" s="368"/>
    </row>
    <row r="915" spans="1:15" s="57" customFormat="1" ht="39.6">
      <c r="A915" s="209" t="s">
        <v>556</v>
      </c>
      <c r="B915" s="227" t="s">
        <v>557</v>
      </c>
      <c r="C915" s="423"/>
      <c r="D915" s="212" t="s">
        <v>482</v>
      </c>
      <c r="E915" s="452">
        <v>106</v>
      </c>
      <c r="F915" s="109">
        <f>E915*C915</f>
        <v>0</v>
      </c>
      <c r="G915" s="451"/>
      <c r="H915" s="438">
        <f>ROUND(G915,2)</f>
        <v>0</v>
      </c>
      <c r="I915" s="438">
        <f>H915*E915</f>
        <v>0</v>
      </c>
      <c r="J915" s="438">
        <f>G915-C915</f>
        <v>0</v>
      </c>
      <c r="K915" s="438">
        <f>I915-F915</f>
        <v>0</v>
      </c>
      <c r="L915" s="438">
        <f>IF(F915&lt;I915,(I915-F915),0)</f>
        <v>0</v>
      </c>
      <c r="M915" s="438">
        <f>IF(F915&gt;I915,(I915-F915),0)</f>
        <v>0</v>
      </c>
      <c r="N915" s="438">
        <f>M915+L915</f>
        <v>0</v>
      </c>
      <c r="O915" s="368"/>
    </row>
    <row r="916" spans="1:15" s="57" customFormat="1">
      <c r="A916" s="209"/>
      <c r="B916" s="227"/>
      <c r="C916" s="422"/>
      <c r="D916" s="212"/>
      <c r="E916" s="422"/>
      <c r="F916" s="422"/>
      <c r="G916" s="109"/>
      <c r="H916" s="422"/>
      <c r="I916" s="422"/>
      <c r="J916" s="422"/>
      <c r="K916" s="368"/>
      <c r="L916" s="368"/>
      <c r="M916" s="368"/>
      <c r="N916" s="368"/>
      <c r="O916" s="368"/>
    </row>
    <row r="917" spans="1:15" s="57" customFormat="1">
      <c r="A917" s="366"/>
      <c r="B917" s="365" t="s">
        <v>558</v>
      </c>
      <c r="C917" s="425"/>
      <c r="D917" s="367"/>
      <c r="E917" s="425"/>
      <c r="F917" s="425">
        <f>SUM(F898:F916)</f>
        <v>77500</v>
      </c>
      <c r="G917" s="425"/>
      <c r="H917" s="425"/>
      <c r="I917" s="425">
        <f>SUM(I898:I916)</f>
        <v>39404</v>
      </c>
      <c r="J917" s="425"/>
      <c r="K917" s="425">
        <f>SUM(K898:K916)</f>
        <v>-38096</v>
      </c>
      <c r="L917" s="425">
        <f>SUM(L898:L916)</f>
        <v>0</v>
      </c>
      <c r="M917" s="425">
        <f>SUM(M898:M916)</f>
        <v>-38096</v>
      </c>
      <c r="N917" s="425">
        <f>SUM(N898:N916)</f>
        <v>-38096</v>
      </c>
      <c r="O917" s="425"/>
    </row>
    <row r="918" spans="1:15" s="57" customFormat="1">
      <c r="A918" s="209"/>
      <c r="B918" s="210"/>
      <c r="C918" s="427"/>
      <c r="D918" s="225"/>
      <c r="E918" s="427"/>
      <c r="F918" s="427"/>
      <c r="G918" s="109"/>
      <c r="H918" s="427"/>
      <c r="I918" s="427"/>
      <c r="J918" s="427"/>
      <c r="K918" s="368"/>
      <c r="L918" s="368"/>
      <c r="M918" s="368"/>
      <c r="N918" s="368"/>
      <c r="O918" s="368"/>
    </row>
    <row r="919" spans="1:15" s="57" customFormat="1">
      <c r="A919" s="325" t="s">
        <v>302</v>
      </c>
      <c r="B919" s="87" t="s">
        <v>559</v>
      </c>
      <c r="C919" s="421"/>
      <c r="D919" s="88"/>
      <c r="E919" s="421"/>
      <c r="F919" s="421"/>
      <c r="G919" s="421"/>
      <c r="H919" s="421"/>
      <c r="I919" s="421"/>
      <c r="J919" s="421"/>
      <c r="K919" s="421"/>
      <c r="L919" s="421"/>
      <c r="M919" s="421"/>
      <c r="N919" s="421"/>
      <c r="O919" s="421"/>
    </row>
    <row r="920" spans="1:15" s="57" customFormat="1">
      <c r="A920" s="209"/>
      <c r="B920" s="210"/>
      <c r="C920" s="422"/>
      <c r="D920" s="212"/>
      <c r="E920" s="422"/>
      <c r="F920" s="422"/>
      <c r="G920" s="109"/>
      <c r="H920" s="422"/>
      <c r="I920" s="422"/>
      <c r="J920" s="422"/>
      <c r="K920" s="368"/>
      <c r="L920" s="368"/>
      <c r="M920" s="368"/>
      <c r="N920" s="368"/>
      <c r="O920" s="368"/>
    </row>
    <row r="921" spans="1:15" s="57" customFormat="1" ht="26.4">
      <c r="A921" s="209">
        <v>7.1</v>
      </c>
      <c r="B921" s="214" t="s">
        <v>560</v>
      </c>
      <c r="C921" s="422"/>
      <c r="D921" s="212"/>
      <c r="E921" s="422"/>
      <c r="F921" s="422"/>
      <c r="G921" s="422"/>
      <c r="H921" s="422"/>
      <c r="I921" s="422"/>
      <c r="J921" s="422"/>
      <c r="K921" s="368"/>
      <c r="L921" s="368"/>
      <c r="M921" s="368"/>
      <c r="N921" s="368"/>
      <c r="O921" s="368"/>
    </row>
    <row r="922" spans="1:15" s="57" customFormat="1">
      <c r="A922" s="209"/>
      <c r="B922" s="214"/>
      <c r="C922" s="422"/>
      <c r="D922" s="212"/>
      <c r="E922" s="422"/>
      <c r="F922" s="422"/>
      <c r="G922" s="109"/>
      <c r="H922" s="422"/>
      <c r="I922" s="422"/>
      <c r="J922" s="422"/>
      <c r="K922" s="368"/>
      <c r="L922" s="368"/>
      <c r="M922" s="368"/>
      <c r="N922" s="368"/>
      <c r="O922" s="368"/>
    </row>
    <row r="923" spans="1:15" s="57" customFormat="1" ht="26.4">
      <c r="A923" s="209" t="s">
        <v>561</v>
      </c>
      <c r="B923" s="214" t="s">
        <v>562</v>
      </c>
      <c r="C923" s="423"/>
      <c r="D923" s="212" t="s">
        <v>482</v>
      </c>
      <c r="E923" s="452">
        <v>141</v>
      </c>
      <c r="F923" s="109">
        <f>E923*C923</f>
        <v>0</v>
      </c>
      <c r="G923" s="451"/>
      <c r="H923" s="438">
        <f>ROUND(G923,2)</f>
        <v>0</v>
      </c>
      <c r="I923" s="438">
        <f>H923*E923</f>
        <v>0</v>
      </c>
      <c r="J923" s="438">
        <f>G923-C923</f>
        <v>0</v>
      </c>
      <c r="K923" s="438">
        <f>I923-F923</f>
        <v>0</v>
      </c>
      <c r="L923" s="438">
        <f>IF(F923&lt;I923,(I923-F923),0)</f>
        <v>0</v>
      </c>
      <c r="M923" s="438">
        <f>IF(F923&gt;I923,(I923-F923),0)</f>
        <v>0</v>
      </c>
      <c r="N923" s="438">
        <f>M923+L923</f>
        <v>0</v>
      </c>
      <c r="O923" s="368"/>
    </row>
    <row r="924" spans="1:15" s="57" customFormat="1">
      <c r="A924" s="209"/>
      <c r="B924" s="214"/>
      <c r="C924" s="422"/>
      <c r="D924" s="212"/>
      <c r="E924" s="422"/>
      <c r="F924" s="422"/>
      <c r="G924" s="109"/>
      <c r="H924" s="422"/>
      <c r="I924" s="422"/>
      <c r="J924" s="422"/>
      <c r="K924" s="368"/>
      <c r="L924" s="368"/>
      <c r="M924" s="368"/>
      <c r="N924" s="368"/>
      <c r="O924" s="368"/>
    </row>
    <row r="925" spans="1:15" s="57" customFormat="1" ht="26.4">
      <c r="A925" s="209" t="s">
        <v>563</v>
      </c>
      <c r="B925" s="214" t="s">
        <v>564</v>
      </c>
      <c r="C925" s="423">
        <v>150</v>
      </c>
      <c r="D925" s="212" t="s">
        <v>482</v>
      </c>
      <c r="E925" s="452">
        <v>194</v>
      </c>
      <c r="F925" s="109">
        <f>E925*C925</f>
        <v>29100</v>
      </c>
      <c r="G925" s="453">
        <f>'Measurement sheet'!F744</f>
        <v>0</v>
      </c>
      <c r="H925" s="438">
        <f>ROUND(G925,2)</f>
        <v>0</v>
      </c>
      <c r="I925" s="438">
        <f>H925*E925</f>
        <v>0</v>
      </c>
      <c r="J925" s="438">
        <f>G925-C925</f>
        <v>-150</v>
      </c>
      <c r="K925" s="438">
        <f>I925-F925</f>
        <v>-29100</v>
      </c>
      <c r="L925" s="438">
        <f>IF(F925&lt;I925,(I925-F925),0)</f>
        <v>0</v>
      </c>
      <c r="M925" s="438">
        <f>IF(F925&gt;I925,(I925-F925),0)</f>
        <v>-29100</v>
      </c>
      <c r="N925" s="438">
        <f>M925+L925</f>
        <v>-29100</v>
      </c>
      <c r="O925" s="368"/>
    </row>
    <row r="926" spans="1:15" s="57" customFormat="1">
      <c r="A926" s="209"/>
      <c r="B926" s="214"/>
      <c r="C926" s="422"/>
      <c r="D926" s="212"/>
      <c r="E926" s="422"/>
      <c r="F926" s="422"/>
      <c r="G926" s="109"/>
      <c r="H926" s="422"/>
      <c r="I926" s="422"/>
      <c r="J926" s="422"/>
      <c r="K926" s="368"/>
      <c r="L926" s="368"/>
      <c r="M926" s="368"/>
      <c r="N926" s="368"/>
      <c r="O926" s="368"/>
    </row>
    <row r="927" spans="1:15" s="57" customFormat="1">
      <c r="A927" s="209" t="s">
        <v>565</v>
      </c>
      <c r="B927" s="214" t="s">
        <v>566</v>
      </c>
      <c r="C927" s="423">
        <v>6</v>
      </c>
      <c r="D927" s="212" t="s">
        <v>482</v>
      </c>
      <c r="E927" s="452">
        <v>724</v>
      </c>
      <c r="F927" s="109">
        <f>E927*C927</f>
        <v>4344</v>
      </c>
      <c r="G927" s="453">
        <f>'Measurement sheet'!F745</f>
        <v>0</v>
      </c>
      <c r="H927" s="438">
        <f>ROUND(G927,2)</f>
        <v>0</v>
      </c>
      <c r="I927" s="438">
        <f>H927*E927</f>
        <v>0</v>
      </c>
      <c r="J927" s="438">
        <f>G927-C927</f>
        <v>-6</v>
      </c>
      <c r="K927" s="438">
        <f>I927-F927</f>
        <v>-4344</v>
      </c>
      <c r="L927" s="438">
        <f>IF(F927&lt;I927,(I927-F927),0)</f>
        <v>0</v>
      </c>
      <c r="M927" s="438">
        <f>IF(F927&gt;I927,(I927-F927),0)</f>
        <v>-4344</v>
      </c>
      <c r="N927" s="438">
        <f>M927+L927</f>
        <v>-4344</v>
      </c>
      <c r="O927" s="368"/>
    </row>
    <row r="928" spans="1:15" s="57" customFormat="1">
      <c r="A928" s="209"/>
      <c r="B928" s="214"/>
      <c r="C928" s="422"/>
      <c r="D928" s="212"/>
      <c r="E928" s="422"/>
      <c r="F928" s="422"/>
      <c r="G928" s="109"/>
      <c r="H928" s="422"/>
      <c r="I928" s="422"/>
      <c r="J928" s="422"/>
      <c r="K928" s="368"/>
      <c r="L928" s="368"/>
      <c r="M928" s="368"/>
      <c r="N928" s="368"/>
      <c r="O928" s="368"/>
    </row>
    <row r="929" spans="1:15" s="57" customFormat="1">
      <c r="A929" s="209" t="s">
        <v>567</v>
      </c>
      <c r="B929" s="214" t="s">
        <v>568</v>
      </c>
      <c r="C929" s="423"/>
      <c r="D929" s="212" t="s">
        <v>482</v>
      </c>
      <c r="E929" s="452">
        <v>76</v>
      </c>
      <c r="F929" s="109">
        <f>E929*C929</f>
        <v>0</v>
      </c>
      <c r="G929" s="451"/>
      <c r="H929" s="438">
        <f>ROUND(G929,2)</f>
        <v>0</v>
      </c>
      <c r="I929" s="438">
        <f>H929*E929</f>
        <v>0</v>
      </c>
      <c r="J929" s="438">
        <f>G929-C929</f>
        <v>0</v>
      </c>
      <c r="K929" s="438">
        <f>I929-F929</f>
        <v>0</v>
      </c>
      <c r="L929" s="438">
        <f>IF(F929&lt;I929,(I929-F929),0)</f>
        <v>0</v>
      </c>
      <c r="M929" s="438">
        <f>IF(F929&gt;I929,(I929-F929),0)</f>
        <v>0</v>
      </c>
      <c r="N929" s="438">
        <f>M929+L929</f>
        <v>0</v>
      </c>
      <c r="O929" s="368"/>
    </row>
    <row r="930" spans="1:15" s="57" customFormat="1">
      <c r="A930" s="209"/>
      <c r="B930" s="214"/>
      <c r="C930" s="422"/>
      <c r="D930" s="212"/>
      <c r="E930" s="422"/>
      <c r="F930" s="422"/>
      <c r="G930" s="109"/>
      <c r="H930" s="422"/>
      <c r="I930" s="422"/>
      <c r="J930" s="422"/>
      <c r="K930" s="368"/>
      <c r="L930" s="368"/>
      <c r="M930" s="368"/>
      <c r="N930" s="368"/>
      <c r="O930" s="368"/>
    </row>
    <row r="931" spans="1:15" s="57" customFormat="1">
      <c r="A931" s="209" t="s">
        <v>569</v>
      </c>
      <c r="B931" s="214" t="s">
        <v>570</v>
      </c>
      <c r="C931" s="423"/>
      <c r="D931" s="212" t="s">
        <v>482</v>
      </c>
      <c r="E931" s="452">
        <v>114</v>
      </c>
      <c r="F931" s="109">
        <f>E931*C931</f>
        <v>0</v>
      </c>
      <c r="G931" s="451"/>
      <c r="H931" s="438">
        <f>ROUND(G931,2)</f>
        <v>0</v>
      </c>
      <c r="I931" s="438">
        <f>H931*E931</f>
        <v>0</v>
      </c>
      <c r="J931" s="438">
        <f>G931-C931</f>
        <v>0</v>
      </c>
      <c r="K931" s="438">
        <f>I931-F931</f>
        <v>0</v>
      </c>
      <c r="L931" s="438">
        <f>IF(F931&lt;I931,(I931-F931),0)</f>
        <v>0</v>
      </c>
      <c r="M931" s="438">
        <f>IF(F931&gt;I931,(I931-F931),0)</f>
        <v>0</v>
      </c>
      <c r="N931" s="438">
        <f>M931+L931</f>
        <v>0</v>
      </c>
      <c r="O931" s="368"/>
    </row>
    <row r="932" spans="1:15" s="57" customFormat="1">
      <c r="A932" s="209"/>
      <c r="B932" s="214"/>
      <c r="C932" s="422"/>
      <c r="D932" s="212"/>
      <c r="E932" s="422"/>
      <c r="F932" s="422"/>
      <c r="G932" s="109"/>
      <c r="H932" s="422"/>
      <c r="I932" s="422"/>
      <c r="J932" s="422"/>
      <c r="K932" s="368"/>
      <c r="L932" s="368"/>
      <c r="M932" s="368"/>
      <c r="N932" s="368"/>
      <c r="O932" s="368"/>
    </row>
    <row r="933" spans="1:15" s="57" customFormat="1">
      <c r="A933" s="209" t="s">
        <v>571</v>
      </c>
      <c r="B933" s="214" t="s">
        <v>572</v>
      </c>
      <c r="C933" s="423"/>
      <c r="D933" s="212" t="s">
        <v>482</v>
      </c>
      <c r="E933" s="452">
        <v>83</v>
      </c>
      <c r="F933" s="109">
        <f>E933*C933</f>
        <v>0</v>
      </c>
      <c r="G933" s="451"/>
      <c r="H933" s="438">
        <f>ROUND(G933,2)</f>
        <v>0</v>
      </c>
      <c r="I933" s="438">
        <f>H933*E933</f>
        <v>0</v>
      </c>
      <c r="J933" s="438">
        <f>G933-C933</f>
        <v>0</v>
      </c>
      <c r="K933" s="438">
        <f>I933-F933</f>
        <v>0</v>
      </c>
      <c r="L933" s="438">
        <f>IF(F933&lt;I933,(I933-F933),0)</f>
        <v>0</v>
      </c>
      <c r="M933" s="438">
        <f>IF(F933&gt;I933,(I933-F933),0)</f>
        <v>0</v>
      </c>
      <c r="N933" s="438">
        <f>M933+L933</f>
        <v>0</v>
      </c>
      <c r="O933" s="368"/>
    </row>
    <row r="934" spans="1:15" s="57" customFormat="1">
      <c r="A934" s="209"/>
      <c r="B934" s="214"/>
      <c r="C934" s="422"/>
      <c r="D934" s="212"/>
      <c r="E934" s="422"/>
      <c r="F934" s="422"/>
      <c r="G934" s="109"/>
      <c r="H934" s="422"/>
      <c r="I934" s="422"/>
      <c r="J934" s="422"/>
      <c r="K934" s="368"/>
      <c r="L934" s="368"/>
      <c r="M934" s="368"/>
      <c r="N934" s="368"/>
      <c r="O934" s="368"/>
    </row>
    <row r="935" spans="1:15" s="57" customFormat="1" ht="92.4">
      <c r="A935" s="209">
        <v>7.2</v>
      </c>
      <c r="B935" s="214" t="s">
        <v>1397</v>
      </c>
      <c r="C935" s="423"/>
      <c r="D935" s="212" t="s">
        <v>27</v>
      </c>
      <c r="E935" s="452">
        <v>13842</v>
      </c>
      <c r="F935" s="109">
        <f>E935*C935</f>
        <v>0</v>
      </c>
      <c r="G935" s="451"/>
      <c r="H935" s="438">
        <f>ROUND(G935,2)</f>
        <v>0</v>
      </c>
      <c r="I935" s="438">
        <f>H935*E935</f>
        <v>0</v>
      </c>
      <c r="J935" s="438">
        <f>G935-C935</f>
        <v>0</v>
      </c>
      <c r="K935" s="438">
        <f>I935-F935</f>
        <v>0</v>
      </c>
      <c r="L935" s="438">
        <f>IF(F935&lt;I935,(I935-F935),0)</f>
        <v>0</v>
      </c>
      <c r="M935" s="438">
        <f>IF(F935&gt;I935,(I935-F935),0)</f>
        <v>0</v>
      </c>
      <c r="N935" s="438">
        <f>M935+L935</f>
        <v>0</v>
      </c>
      <c r="O935" s="368"/>
    </row>
    <row r="936" spans="1:15" s="57" customFormat="1">
      <c r="A936" s="209"/>
      <c r="B936" s="214"/>
      <c r="C936" s="422"/>
      <c r="D936" s="212"/>
      <c r="E936" s="422"/>
      <c r="F936" s="422"/>
      <c r="G936" s="109"/>
      <c r="H936" s="422"/>
      <c r="I936" s="422"/>
      <c r="J936" s="422"/>
      <c r="K936" s="368"/>
      <c r="L936" s="368"/>
      <c r="M936" s="368"/>
      <c r="N936" s="368"/>
      <c r="O936" s="368"/>
    </row>
    <row r="937" spans="1:15" s="57" customFormat="1" ht="52.8">
      <c r="A937" s="209">
        <v>7.3</v>
      </c>
      <c r="B937" s="214" t="s">
        <v>1398</v>
      </c>
      <c r="C937" s="423"/>
      <c r="D937" s="212" t="s">
        <v>27</v>
      </c>
      <c r="E937" s="452">
        <v>11759</v>
      </c>
      <c r="F937" s="109">
        <f>E937*C937</f>
        <v>0</v>
      </c>
      <c r="G937" s="451"/>
      <c r="H937" s="438">
        <f>ROUND(G937,2)</f>
        <v>0</v>
      </c>
      <c r="I937" s="438">
        <f>H937*E937</f>
        <v>0</v>
      </c>
      <c r="J937" s="438">
        <f>G937-C937</f>
        <v>0</v>
      </c>
      <c r="K937" s="438">
        <f>I937-F937</f>
        <v>0</v>
      </c>
      <c r="L937" s="438">
        <f>IF(F937&lt;I937,(I937-F937),0)</f>
        <v>0</v>
      </c>
      <c r="M937" s="438">
        <f>IF(F937&gt;I937,(I937-F937),0)</f>
        <v>0</v>
      </c>
      <c r="N937" s="438">
        <f>M937+L937</f>
        <v>0</v>
      </c>
      <c r="O937" s="368"/>
    </row>
    <row r="938" spans="1:15" s="57" customFormat="1">
      <c r="A938" s="209"/>
      <c r="B938" s="214"/>
      <c r="C938" s="422"/>
      <c r="D938" s="212"/>
      <c r="E938" s="422"/>
      <c r="F938" s="422"/>
      <c r="G938" s="109"/>
      <c r="H938" s="422"/>
      <c r="I938" s="422"/>
      <c r="J938" s="422"/>
      <c r="K938" s="368"/>
      <c r="L938" s="368"/>
      <c r="M938" s="368"/>
      <c r="N938" s="368"/>
      <c r="O938" s="368"/>
    </row>
    <row r="939" spans="1:15" s="57" customFormat="1" ht="118.8">
      <c r="A939" s="209">
        <v>7.4</v>
      </c>
      <c r="B939" s="214" t="s">
        <v>1399</v>
      </c>
      <c r="C939" s="423">
        <v>3</v>
      </c>
      <c r="D939" s="212" t="s">
        <v>27</v>
      </c>
      <c r="E939" s="452">
        <v>16017</v>
      </c>
      <c r="F939" s="109">
        <f>E939*C939</f>
        <v>48051</v>
      </c>
      <c r="G939" s="453">
        <f>'Measurement sheet'!F746</f>
        <v>0</v>
      </c>
      <c r="H939" s="438">
        <f>ROUND(G939,2)</f>
        <v>0</v>
      </c>
      <c r="I939" s="438">
        <f>H939*E939</f>
        <v>0</v>
      </c>
      <c r="J939" s="438">
        <f>G939-C939</f>
        <v>-3</v>
      </c>
      <c r="K939" s="438">
        <f>I939-F939</f>
        <v>-48051</v>
      </c>
      <c r="L939" s="438">
        <f>IF(F939&lt;I939,(I939-F939),0)</f>
        <v>0</v>
      </c>
      <c r="M939" s="438">
        <f>IF(F939&gt;I939,(I939-F939),0)</f>
        <v>-48051</v>
      </c>
      <c r="N939" s="438">
        <f>M939+L939</f>
        <v>-48051</v>
      </c>
      <c r="O939" s="368"/>
    </row>
    <row r="940" spans="1:15" s="57" customFormat="1">
      <c r="A940" s="291"/>
      <c r="B940" s="244"/>
      <c r="C940" s="427"/>
      <c r="D940" s="225"/>
      <c r="E940" s="427"/>
      <c r="F940" s="427"/>
      <c r="G940" s="109"/>
      <c r="H940" s="427"/>
      <c r="I940" s="427"/>
      <c r="J940" s="427"/>
      <c r="K940" s="368"/>
      <c r="L940" s="368"/>
      <c r="M940" s="368"/>
      <c r="N940" s="368"/>
      <c r="O940" s="368"/>
    </row>
    <row r="941" spans="1:15" s="57" customFormat="1">
      <c r="A941" s="366"/>
      <c r="B941" s="365" t="s">
        <v>573</v>
      </c>
      <c r="C941" s="425"/>
      <c r="D941" s="367"/>
      <c r="E941" s="425"/>
      <c r="F941" s="425">
        <f>SUM(F920:F940)</f>
        <v>81495</v>
      </c>
      <c r="G941" s="425"/>
      <c r="H941" s="425"/>
      <c r="I941" s="425">
        <f t="shared" ref="I941:N941" si="104">SUM(I920:I940)</f>
        <v>0</v>
      </c>
      <c r="J941" s="425">
        <f t="shared" si="104"/>
        <v>-159</v>
      </c>
      <c r="K941" s="425">
        <f t="shared" si="104"/>
        <v>-81495</v>
      </c>
      <c r="L941" s="425">
        <f t="shared" si="104"/>
        <v>0</v>
      </c>
      <c r="M941" s="425">
        <f t="shared" si="104"/>
        <v>-81495</v>
      </c>
      <c r="N941" s="425">
        <f t="shared" si="104"/>
        <v>-81495</v>
      </c>
      <c r="O941" s="425"/>
    </row>
    <row r="942" spans="1:15" s="57" customFormat="1">
      <c r="A942" s="209"/>
      <c r="B942" s="210"/>
      <c r="C942" s="422"/>
      <c r="D942" s="212"/>
      <c r="E942" s="422"/>
      <c r="F942" s="422"/>
      <c r="G942" s="422"/>
      <c r="H942" s="422"/>
      <c r="I942" s="422"/>
      <c r="J942" s="422"/>
      <c r="K942" s="368"/>
      <c r="L942" s="368"/>
      <c r="M942" s="368"/>
      <c r="N942" s="368"/>
      <c r="O942" s="368"/>
    </row>
    <row r="943" spans="1:15" s="57" customFormat="1">
      <c r="A943" s="325" t="s">
        <v>302</v>
      </c>
      <c r="B943" s="87" t="s">
        <v>574</v>
      </c>
      <c r="C943" s="421"/>
      <c r="D943" s="88"/>
      <c r="E943" s="421"/>
      <c r="F943" s="421"/>
      <c r="G943" s="421"/>
      <c r="H943" s="421"/>
      <c r="I943" s="421"/>
      <c r="J943" s="421"/>
      <c r="K943" s="421"/>
      <c r="L943" s="421"/>
      <c r="M943" s="421"/>
      <c r="N943" s="421"/>
      <c r="O943" s="421"/>
    </row>
    <row r="944" spans="1:15" s="57" customFormat="1">
      <c r="A944" s="229"/>
      <c r="B944" s="228"/>
      <c r="C944" s="422"/>
      <c r="D944" s="212"/>
      <c r="E944" s="422"/>
      <c r="F944" s="422"/>
      <c r="G944" s="109"/>
      <c r="H944" s="422"/>
      <c r="I944" s="422"/>
      <c r="J944" s="422"/>
      <c r="K944" s="368"/>
      <c r="L944" s="368"/>
      <c r="M944" s="368"/>
      <c r="N944" s="368"/>
      <c r="O944" s="368"/>
    </row>
    <row r="945" spans="1:15" s="57" customFormat="1" ht="52.8">
      <c r="A945" s="229">
        <v>8.1</v>
      </c>
      <c r="B945" s="227" t="s">
        <v>575</v>
      </c>
      <c r="C945" s="422"/>
      <c r="D945" s="212"/>
      <c r="E945" s="422"/>
      <c r="F945" s="422"/>
      <c r="G945" s="422"/>
      <c r="H945" s="422"/>
      <c r="I945" s="422"/>
      <c r="J945" s="422"/>
      <c r="K945" s="368"/>
      <c r="L945" s="368"/>
      <c r="M945" s="368"/>
      <c r="N945" s="368"/>
      <c r="O945" s="368"/>
    </row>
    <row r="946" spans="1:15" s="57" customFormat="1">
      <c r="A946" s="229" t="s">
        <v>576</v>
      </c>
      <c r="B946" s="227" t="s">
        <v>577</v>
      </c>
      <c r="C946" s="423"/>
      <c r="D946" s="212" t="s">
        <v>27</v>
      </c>
      <c r="E946" s="452">
        <v>13729</v>
      </c>
      <c r="F946" s="109">
        <f>E946*C946</f>
        <v>0</v>
      </c>
      <c r="G946" s="451"/>
      <c r="H946" s="438">
        <f>ROUND(G946,2)</f>
        <v>0</v>
      </c>
      <c r="I946" s="438">
        <f>H946*E946</f>
        <v>0</v>
      </c>
      <c r="J946" s="438">
        <f>G946-C946</f>
        <v>0</v>
      </c>
      <c r="K946" s="438">
        <f>I946-F946</f>
        <v>0</v>
      </c>
      <c r="L946" s="438">
        <f>IF(F946&lt;I946,(I946-F946),0)</f>
        <v>0</v>
      </c>
      <c r="M946" s="438">
        <f>IF(F946&gt;I946,(I946-F946),0)</f>
        <v>0</v>
      </c>
      <c r="N946" s="438">
        <f>M946+L946</f>
        <v>0</v>
      </c>
      <c r="O946" s="368"/>
    </row>
    <row r="947" spans="1:15" s="57" customFormat="1">
      <c r="A947" s="229"/>
      <c r="B947" s="227"/>
      <c r="C947" s="422"/>
      <c r="D947" s="212"/>
      <c r="E947" s="422"/>
      <c r="F947" s="422"/>
      <c r="G947" s="109"/>
      <c r="H947" s="422"/>
      <c r="I947" s="422"/>
      <c r="J947" s="422"/>
      <c r="K947" s="368"/>
      <c r="L947" s="368"/>
      <c r="M947" s="368"/>
      <c r="N947" s="368"/>
      <c r="O947" s="368"/>
    </row>
    <row r="948" spans="1:15" s="57" customFormat="1">
      <c r="A948" s="229" t="s">
        <v>578</v>
      </c>
      <c r="B948" s="227" t="s">
        <v>579</v>
      </c>
      <c r="C948" s="423"/>
      <c r="D948" s="212" t="s">
        <v>27</v>
      </c>
      <c r="E948" s="452">
        <v>14492</v>
      </c>
      <c r="F948" s="109">
        <f>E948*C948</f>
        <v>0</v>
      </c>
      <c r="G948" s="451"/>
      <c r="H948" s="438">
        <f>ROUND(G948,2)</f>
        <v>0</v>
      </c>
      <c r="I948" s="438">
        <f>H948*E948</f>
        <v>0</v>
      </c>
      <c r="J948" s="438">
        <f>G948-C948</f>
        <v>0</v>
      </c>
      <c r="K948" s="438">
        <f>I948-F948</f>
        <v>0</v>
      </c>
      <c r="L948" s="438">
        <f>IF(F948&lt;I948,(I948-F948),0)</f>
        <v>0</v>
      </c>
      <c r="M948" s="438">
        <f>IF(F948&gt;I948,(I948-F948),0)</f>
        <v>0</v>
      </c>
      <c r="N948" s="438">
        <f>M948+L948</f>
        <v>0</v>
      </c>
      <c r="O948" s="368"/>
    </row>
    <row r="949" spans="1:15" s="57" customFormat="1">
      <c r="A949" s="229"/>
      <c r="B949" s="237"/>
      <c r="C949" s="422"/>
      <c r="D949" s="212"/>
      <c r="E949" s="422"/>
      <c r="F949" s="422"/>
      <c r="G949" s="109"/>
      <c r="H949" s="422"/>
      <c r="I949" s="422"/>
      <c r="J949" s="422"/>
      <c r="K949" s="368"/>
      <c r="L949" s="368"/>
      <c r="M949" s="368"/>
      <c r="N949" s="368"/>
      <c r="O949" s="368"/>
    </row>
    <row r="950" spans="1:15" s="57" customFormat="1">
      <c r="A950" s="229" t="s">
        <v>580</v>
      </c>
      <c r="B950" s="227" t="s">
        <v>581</v>
      </c>
      <c r="C950" s="423"/>
      <c r="D950" s="212" t="s">
        <v>27</v>
      </c>
      <c r="E950" s="452">
        <v>15954</v>
      </c>
      <c r="F950" s="109">
        <f>E950*C950</f>
        <v>0</v>
      </c>
      <c r="G950" s="451"/>
      <c r="H950" s="438">
        <f>ROUND(G950,2)</f>
        <v>0</v>
      </c>
      <c r="I950" s="438">
        <f>H950*E950</f>
        <v>0</v>
      </c>
      <c r="J950" s="438">
        <f>G950-C950</f>
        <v>0</v>
      </c>
      <c r="K950" s="438">
        <f>I950-F950</f>
        <v>0</v>
      </c>
      <c r="L950" s="438">
        <f>IF(F950&lt;I950,(I950-F950),0)</f>
        <v>0</v>
      </c>
      <c r="M950" s="438">
        <f>IF(F950&gt;I950,(I950-F950),0)</f>
        <v>0</v>
      </c>
      <c r="N950" s="438">
        <f>M950+L950</f>
        <v>0</v>
      </c>
      <c r="O950" s="368"/>
    </row>
    <row r="951" spans="1:15" s="57" customFormat="1">
      <c r="A951" s="229"/>
      <c r="B951" s="227"/>
      <c r="C951" s="422"/>
      <c r="D951" s="212"/>
      <c r="E951" s="422"/>
      <c r="F951" s="422"/>
      <c r="G951" s="109"/>
      <c r="H951" s="422"/>
      <c r="I951" s="422"/>
      <c r="J951" s="422"/>
      <c r="K951" s="368"/>
      <c r="L951" s="368"/>
      <c r="M951" s="368"/>
      <c r="N951" s="368"/>
      <c r="O951" s="368"/>
    </row>
    <row r="952" spans="1:15" s="57" customFormat="1">
      <c r="A952" s="229" t="s">
        <v>582</v>
      </c>
      <c r="B952" s="227" t="s">
        <v>583</v>
      </c>
      <c r="C952" s="423"/>
      <c r="D952" s="212" t="s">
        <v>27</v>
      </c>
      <c r="E952" s="452">
        <v>18009</v>
      </c>
      <c r="F952" s="109">
        <f>E952*C952</f>
        <v>0</v>
      </c>
      <c r="G952" s="451"/>
      <c r="H952" s="438">
        <f>ROUND(G952,2)</f>
        <v>0</v>
      </c>
      <c r="I952" s="438">
        <f>H952*E952</f>
        <v>0</v>
      </c>
      <c r="J952" s="438">
        <f>G952-C952</f>
        <v>0</v>
      </c>
      <c r="K952" s="438">
        <f>I952-F952</f>
        <v>0</v>
      </c>
      <c r="L952" s="438">
        <f>IF(F952&lt;I952,(I952-F952),0)</f>
        <v>0</v>
      </c>
      <c r="M952" s="438">
        <f>IF(F952&gt;I952,(I952-F952),0)</f>
        <v>0</v>
      </c>
      <c r="N952" s="438">
        <f>M952+L952</f>
        <v>0</v>
      </c>
      <c r="O952" s="368"/>
    </row>
    <row r="953" spans="1:15" s="57" customFormat="1">
      <c r="A953" s="229"/>
      <c r="B953" s="227"/>
      <c r="C953" s="422"/>
      <c r="D953" s="212"/>
      <c r="E953" s="422"/>
      <c r="F953" s="422"/>
      <c r="G953" s="109"/>
      <c r="H953" s="422"/>
      <c r="I953" s="422"/>
      <c r="J953" s="422"/>
      <c r="K953" s="368"/>
      <c r="L953" s="368"/>
      <c r="M953" s="368"/>
      <c r="N953" s="368"/>
      <c r="O953" s="368"/>
    </row>
    <row r="954" spans="1:15" s="57" customFormat="1">
      <c r="A954" s="229" t="s">
        <v>584</v>
      </c>
      <c r="B954" s="227" t="s">
        <v>585</v>
      </c>
      <c r="C954" s="423"/>
      <c r="D954" s="212" t="s">
        <v>27</v>
      </c>
      <c r="E954" s="452">
        <v>19675</v>
      </c>
      <c r="F954" s="109">
        <f>E954*C954</f>
        <v>0</v>
      </c>
      <c r="G954" s="451"/>
      <c r="H954" s="438">
        <f>ROUND(G954,2)</f>
        <v>0</v>
      </c>
      <c r="I954" s="438">
        <f>H954*E954</f>
        <v>0</v>
      </c>
      <c r="J954" s="438">
        <f>G954-C954</f>
        <v>0</v>
      </c>
      <c r="K954" s="438">
        <f>I954-F954</f>
        <v>0</v>
      </c>
      <c r="L954" s="438">
        <f>IF(F954&lt;I954,(I954-F954),0)</f>
        <v>0</v>
      </c>
      <c r="M954" s="438">
        <f>IF(F954&gt;I954,(I954-F954),0)</f>
        <v>0</v>
      </c>
      <c r="N954" s="438">
        <f>M954+L954</f>
        <v>0</v>
      </c>
      <c r="O954" s="368"/>
    </row>
    <row r="955" spans="1:15" s="57" customFormat="1">
      <c r="A955" s="291"/>
      <c r="B955" s="210"/>
      <c r="C955" s="422"/>
      <c r="D955" s="212"/>
      <c r="E955" s="422"/>
      <c r="F955" s="422"/>
      <c r="G955" s="109"/>
      <c r="H955" s="422"/>
      <c r="I955" s="422"/>
      <c r="J955" s="422"/>
      <c r="K955" s="368"/>
      <c r="L955" s="368"/>
      <c r="M955" s="368"/>
      <c r="N955" s="368"/>
      <c r="O955" s="368"/>
    </row>
    <row r="956" spans="1:15" s="57" customFormat="1">
      <c r="A956" s="366"/>
      <c r="B956" s="365" t="s">
        <v>586</v>
      </c>
      <c r="C956" s="425"/>
      <c r="D956" s="367"/>
      <c r="E956" s="425"/>
      <c r="F956" s="425">
        <f>SUM(F945:F955)</f>
        <v>0</v>
      </c>
      <c r="G956" s="425"/>
      <c r="H956" s="425"/>
      <c r="I956" s="425">
        <f t="shared" ref="I956:N956" si="105">SUM(I945:I955)</f>
        <v>0</v>
      </c>
      <c r="J956" s="425">
        <f t="shared" si="105"/>
        <v>0</v>
      </c>
      <c r="K956" s="425">
        <f t="shared" si="105"/>
        <v>0</v>
      </c>
      <c r="L956" s="425">
        <f t="shared" si="105"/>
        <v>0</v>
      </c>
      <c r="M956" s="425">
        <f t="shared" si="105"/>
        <v>0</v>
      </c>
      <c r="N956" s="425">
        <f t="shared" si="105"/>
        <v>0</v>
      </c>
      <c r="O956" s="425"/>
    </row>
    <row r="957" spans="1:15" s="57" customFormat="1">
      <c r="A957" s="209"/>
      <c r="B957" s="210"/>
      <c r="C957" s="427"/>
      <c r="D957" s="225"/>
      <c r="E957" s="427"/>
      <c r="F957" s="427"/>
      <c r="G957" s="109"/>
      <c r="H957" s="427"/>
      <c r="I957" s="427"/>
      <c r="J957" s="427"/>
      <c r="K957" s="368"/>
      <c r="L957" s="368"/>
      <c r="M957" s="368"/>
      <c r="N957" s="368"/>
      <c r="O957" s="368"/>
    </row>
    <row r="958" spans="1:15" s="57" customFormat="1">
      <c r="A958" s="325" t="s">
        <v>302</v>
      </c>
      <c r="B958" s="87" t="s">
        <v>587</v>
      </c>
      <c r="C958" s="421"/>
      <c r="D958" s="88"/>
      <c r="E958" s="421"/>
      <c r="F958" s="421"/>
      <c r="G958" s="421"/>
      <c r="H958" s="421"/>
      <c r="I958" s="421"/>
      <c r="J958" s="421"/>
      <c r="K958" s="421"/>
      <c r="L958" s="421"/>
      <c r="M958" s="421"/>
      <c r="N958" s="421"/>
      <c r="O958" s="421"/>
    </row>
    <row r="959" spans="1:15" s="57" customFormat="1">
      <c r="A959" s="209"/>
      <c r="B959" s="210"/>
      <c r="C959" s="422"/>
      <c r="D959" s="212"/>
      <c r="E959" s="422"/>
      <c r="F959" s="422"/>
      <c r="G959" s="109"/>
      <c r="H959" s="422"/>
      <c r="I959" s="422"/>
      <c r="J959" s="422"/>
      <c r="K959" s="368"/>
      <c r="L959" s="368"/>
      <c r="M959" s="368"/>
      <c r="N959" s="368"/>
      <c r="O959" s="368"/>
    </row>
    <row r="960" spans="1:15" s="57" customFormat="1" ht="79.2">
      <c r="A960" s="209">
        <v>9.1</v>
      </c>
      <c r="B960" s="214" t="s">
        <v>588</v>
      </c>
      <c r="C960" s="422"/>
      <c r="D960" s="212"/>
      <c r="E960" s="422"/>
      <c r="F960" s="422"/>
      <c r="G960" s="422"/>
      <c r="H960" s="422"/>
      <c r="I960" s="422"/>
      <c r="J960" s="422"/>
      <c r="K960" s="368"/>
      <c r="L960" s="368"/>
      <c r="M960" s="368"/>
      <c r="N960" s="368"/>
      <c r="O960" s="368"/>
    </row>
    <row r="961" spans="1:15" s="57" customFormat="1">
      <c r="A961" s="209"/>
      <c r="B961" s="214"/>
      <c r="C961" s="422"/>
      <c r="D961" s="212"/>
      <c r="E961" s="422"/>
      <c r="F961" s="422"/>
      <c r="G961" s="109"/>
      <c r="H961" s="422"/>
      <c r="I961" s="422"/>
      <c r="J961" s="422"/>
      <c r="K961" s="368"/>
      <c r="L961" s="368"/>
      <c r="M961" s="368"/>
      <c r="N961" s="368"/>
      <c r="O961" s="368"/>
    </row>
    <row r="962" spans="1:15" s="57" customFormat="1" ht="28.8">
      <c r="A962" s="229" t="s">
        <v>589</v>
      </c>
      <c r="B962" s="214" t="s">
        <v>1400</v>
      </c>
      <c r="C962" s="423">
        <v>30</v>
      </c>
      <c r="D962" s="230" t="s">
        <v>27</v>
      </c>
      <c r="E962" s="452">
        <v>1137</v>
      </c>
      <c r="F962" s="109">
        <f>E962*C962</f>
        <v>34110</v>
      </c>
      <c r="G962" s="453">
        <f>'Measurement sheet'!F748</f>
        <v>44</v>
      </c>
      <c r="H962" s="438">
        <f>ROUND(G962,2)</f>
        <v>44</v>
      </c>
      <c r="I962" s="438">
        <f>H962*E962</f>
        <v>50028</v>
      </c>
      <c r="J962" s="438">
        <f>G962-C962</f>
        <v>14</v>
      </c>
      <c r="K962" s="438">
        <f>I962-F962</f>
        <v>15918</v>
      </c>
      <c r="L962" s="438">
        <f>IF(F962&lt;I962,(I962-F962),0)</f>
        <v>15918</v>
      </c>
      <c r="M962" s="438">
        <f>IF(F962&gt;I962,(I962-F962),0)</f>
        <v>0</v>
      </c>
      <c r="N962" s="438">
        <f>M962+L962</f>
        <v>15918</v>
      </c>
      <c r="O962" s="478" t="s">
        <v>1610</v>
      </c>
    </row>
    <row r="963" spans="1:15" s="57" customFormat="1">
      <c r="A963" s="229"/>
      <c r="B963" s="227"/>
      <c r="C963" s="429"/>
      <c r="D963" s="230"/>
      <c r="E963" s="429"/>
      <c r="F963" s="429"/>
      <c r="G963" s="109"/>
      <c r="H963" s="429"/>
      <c r="I963" s="429"/>
      <c r="J963" s="429"/>
      <c r="K963" s="368"/>
      <c r="L963" s="368"/>
      <c r="M963" s="368"/>
      <c r="N963" s="368"/>
      <c r="O963" s="368"/>
    </row>
    <row r="964" spans="1:15" s="57" customFormat="1" ht="39.6">
      <c r="A964" s="229" t="s">
        <v>590</v>
      </c>
      <c r="B964" s="227" t="s">
        <v>1401</v>
      </c>
      <c r="C964" s="423">
        <v>45</v>
      </c>
      <c r="D964" s="230" t="s">
        <v>27</v>
      </c>
      <c r="E964" s="452">
        <v>522</v>
      </c>
      <c r="F964" s="109">
        <f>E964*C964</f>
        <v>23490</v>
      </c>
      <c r="G964" s="453">
        <f>'Measurement sheet'!F749</f>
        <v>46</v>
      </c>
      <c r="H964" s="438">
        <f>ROUND(G964,2)</f>
        <v>46</v>
      </c>
      <c r="I964" s="438">
        <f>H964*E964</f>
        <v>24012</v>
      </c>
      <c r="J964" s="438">
        <f>G964-C964</f>
        <v>1</v>
      </c>
      <c r="K964" s="438">
        <f>I964-F964</f>
        <v>522</v>
      </c>
      <c r="L964" s="438">
        <f>IF(F964&lt;I964,(I964-F964),0)</f>
        <v>522</v>
      </c>
      <c r="M964" s="438">
        <f>IF(F964&gt;I964,(I964-F964),0)</f>
        <v>0</v>
      </c>
      <c r="N964" s="438">
        <f>M964+L964</f>
        <v>522</v>
      </c>
      <c r="O964" s="478" t="s">
        <v>1610</v>
      </c>
    </row>
    <row r="965" spans="1:15" s="57" customFormat="1">
      <c r="A965" s="229"/>
      <c r="B965" s="227"/>
      <c r="C965" s="429"/>
      <c r="D965" s="230"/>
      <c r="E965" s="429"/>
      <c r="F965" s="429"/>
      <c r="G965" s="109"/>
      <c r="H965" s="429"/>
      <c r="I965" s="429"/>
      <c r="J965" s="429"/>
      <c r="K965" s="368"/>
      <c r="L965" s="368"/>
      <c r="M965" s="368"/>
      <c r="N965" s="368"/>
      <c r="O965" s="368"/>
    </row>
    <row r="966" spans="1:15" s="57" customFormat="1" ht="39.6">
      <c r="A966" s="229" t="s">
        <v>591</v>
      </c>
      <c r="B966" s="227" t="s">
        <v>592</v>
      </c>
      <c r="C966" s="423"/>
      <c r="D966" s="230" t="s">
        <v>27</v>
      </c>
      <c r="E966" s="452">
        <v>1483</v>
      </c>
      <c r="F966" s="109">
        <f>E966*C966</f>
        <v>0</v>
      </c>
      <c r="G966" s="451"/>
      <c r="H966" s="438">
        <f>ROUND(G966,2)</f>
        <v>0</v>
      </c>
      <c r="I966" s="438">
        <f>H966*E966</f>
        <v>0</v>
      </c>
      <c r="J966" s="438">
        <f>G966-C966</f>
        <v>0</v>
      </c>
      <c r="K966" s="438">
        <f>I966-F966</f>
        <v>0</v>
      </c>
      <c r="L966" s="438">
        <f>IF(F966&lt;I966,(I966-F966),0)</f>
        <v>0</v>
      </c>
      <c r="M966" s="438">
        <f>IF(F966&gt;I966,(I966-F966),0)</f>
        <v>0</v>
      </c>
      <c r="N966" s="438">
        <f>M966+L966</f>
        <v>0</v>
      </c>
      <c r="O966" s="368"/>
    </row>
    <row r="967" spans="1:15" s="57" customFormat="1">
      <c r="A967" s="229"/>
      <c r="B967" s="227"/>
      <c r="C967" s="429"/>
      <c r="D967" s="230"/>
      <c r="E967" s="429"/>
      <c r="F967" s="429"/>
      <c r="G967" s="109"/>
      <c r="H967" s="429"/>
      <c r="I967" s="429"/>
      <c r="J967" s="429"/>
      <c r="K967" s="368"/>
      <c r="L967" s="368"/>
      <c r="M967" s="368"/>
      <c r="N967" s="368"/>
      <c r="O967" s="368"/>
    </row>
    <row r="968" spans="1:15" s="57" customFormat="1">
      <c r="A968" s="229">
        <v>9.1999999999999993</v>
      </c>
      <c r="B968" s="228" t="s">
        <v>593</v>
      </c>
      <c r="C968" s="422"/>
      <c r="D968" s="212"/>
      <c r="E968" s="422"/>
      <c r="F968" s="422"/>
      <c r="G968" s="422"/>
      <c r="H968" s="422"/>
      <c r="I968" s="422"/>
      <c r="J968" s="422"/>
      <c r="K968" s="368"/>
      <c r="L968" s="368"/>
      <c r="M968" s="368"/>
      <c r="N968" s="368"/>
      <c r="O968" s="368"/>
    </row>
    <row r="969" spans="1:15" s="57" customFormat="1">
      <c r="A969" s="231" t="s">
        <v>594</v>
      </c>
      <c r="B969" s="210" t="s">
        <v>595</v>
      </c>
      <c r="C969" s="423">
        <v>25</v>
      </c>
      <c r="D969" s="230" t="s">
        <v>27</v>
      </c>
      <c r="E969" s="452">
        <v>587</v>
      </c>
      <c r="F969" s="109">
        <f>E969*C969</f>
        <v>14675</v>
      </c>
      <c r="G969" s="453">
        <f>'Measurement sheet'!F751</f>
        <v>20</v>
      </c>
      <c r="H969" s="438">
        <f>ROUND(G969,2)</f>
        <v>20</v>
      </c>
      <c r="I969" s="438">
        <f>H969*E969</f>
        <v>11740</v>
      </c>
      <c r="J969" s="438">
        <f>G969-C969</f>
        <v>-5</v>
      </c>
      <c r="K969" s="438">
        <f>I969-F969</f>
        <v>-2935</v>
      </c>
      <c r="L969" s="438">
        <f>IF(F969&lt;I969,(I969-F969),0)</f>
        <v>0</v>
      </c>
      <c r="M969" s="438">
        <f>IF(F969&gt;I969,(I969-F969),0)</f>
        <v>-2935</v>
      </c>
      <c r="N969" s="438">
        <f>M969+L969</f>
        <v>-2935</v>
      </c>
      <c r="O969" s="368"/>
    </row>
    <row r="970" spans="1:15" s="57" customFormat="1" ht="79.2">
      <c r="A970" s="231"/>
      <c r="B970" s="227" t="s">
        <v>596</v>
      </c>
      <c r="C970" s="422"/>
      <c r="D970" s="212"/>
      <c r="E970" s="422"/>
      <c r="F970" s="422"/>
      <c r="G970" s="422"/>
      <c r="H970" s="422"/>
      <c r="I970" s="422"/>
      <c r="J970" s="422"/>
      <c r="K970" s="368"/>
      <c r="L970" s="368"/>
      <c r="M970" s="368"/>
      <c r="N970" s="368"/>
      <c r="O970" s="368"/>
    </row>
    <row r="971" spans="1:15" s="57" customFormat="1">
      <c r="A971" s="231"/>
      <c r="B971" s="227"/>
      <c r="C971" s="422"/>
      <c r="D971" s="212"/>
      <c r="E971" s="422"/>
      <c r="F971" s="422"/>
      <c r="G971" s="109"/>
      <c r="H971" s="422"/>
      <c r="I971" s="422"/>
      <c r="J971" s="422"/>
      <c r="K971" s="368"/>
      <c r="L971" s="368"/>
      <c r="M971" s="368"/>
      <c r="N971" s="368"/>
      <c r="O971" s="368"/>
    </row>
    <row r="972" spans="1:15" s="57" customFormat="1" ht="52.8">
      <c r="A972" s="231" t="s">
        <v>597</v>
      </c>
      <c r="B972" s="227" t="s">
        <v>1402</v>
      </c>
      <c r="C972" s="423">
        <v>3</v>
      </c>
      <c r="D972" s="230" t="s">
        <v>27</v>
      </c>
      <c r="E972" s="452">
        <v>839</v>
      </c>
      <c r="F972" s="109">
        <f>E972*C972</f>
        <v>2517</v>
      </c>
      <c r="G972" s="453">
        <f>'Measurement sheet'!F752</f>
        <v>0</v>
      </c>
      <c r="H972" s="438">
        <f>ROUND(G972,2)</f>
        <v>0</v>
      </c>
      <c r="I972" s="438">
        <f>H972*E972</f>
        <v>0</v>
      </c>
      <c r="J972" s="438">
        <f>G972-C972</f>
        <v>-3</v>
      </c>
      <c r="K972" s="438">
        <f>I972-F972</f>
        <v>-2517</v>
      </c>
      <c r="L972" s="438">
        <f>IF(F972&lt;I972,(I972-F972),0)</f>
        <v>0</v>
      </c>
      <c r="M972" s="438">
        <f>IF(F972&gt;I972,(I972-F972),0)</f>
        <v>-2517</v>
      </c>
      <c r="N972" s="438">
        <f>M972+L972</f>
        <v>-2517</v>
      </c>
      <c r="O972" s="368"/>
    </row>
    <row r="973" spans="1:15" s="57" customFormat="1">
      <c r="A973" s="231"/>
      <c r="B973" s="227"/>
      <c r="C973" s="422"/>
      <c r="D973" s="212"/>
      <c r="E973" s="422"/>
      <c r="F973" s="422"/>
      <c r="G973" s="109"/>
      <c r="H973" s="422"/>
      <c r="I973" s="422"/>
      <c r="J973" s="422"/>
      <c r="K973" s="368"/>
      <c r="L973" s="368"/>
      <c r="M973" s="368"/>
      <c r="N973" s="368"/>
      <c r="O973" s="368"/>
    </row>
    <row r="974" spans="1:15" s="57" customFormat="1" ht="79.2">
      <c r="A974" s="231" t="s">
        <v>598</v>
      </c>
      <c r="B974" s="227" t="s">
        <v>1403</v>
      </c>
      <c r="C974" s="423">
        <v>25</v>
      </c>
      <c r="D974" s="230" t="s">
        <v>27</v>
      </c>
      <c r="E974" s="452">
        <v>1283</v>
      </c>
      <c r="F974" s="109">
        <f>E974*C974</f>
        <v>32075</v>
      </c>
      <c r="G974" s="453">
        <f>'Measurement sheet'!F753</f>
        <v>9</v>
      </c>
      <c r="H974" s="438">
        <f>ROUND(G974,2)</f>
        <v>9</v>
      </c>
      <c r="I974" s="438">
        <f>H974*E974</f>
        <v>11547</v>
      </c>
      <c r="J974" s="438">
        <f>G974-C974</f>
        <v>-16</v>
      </c>
      <c r="K974" s="438">
        <f>I974-F974</f>
        <v>-20528</v>
      </c>
      <c r="L974" s="438">
        <f>IF(F974&lt;I974,(I974-F974),0)</f>
        <v>0</v>
      </c>
      <c r="M974" s="438">
        <f>IF(F974&gt;I974,(I974-F974),0)</f>
        <v>-20528</v>
      </c>
      <c r="N974" s="438">
        <f>M974+L974</f>
        <v>-20528</v>
      </c>
      <c r="O974" s="368"/>
    </row>
    <row r="975" spans="1:15" s="57" customFormat="1">
      <c r="A975" s="231"/>
      <c r="B975" s="227"/>
      <c r="C975" s="422"/>
      <c r="D975" s="212"/>
      <c r="E975" s="422"/>
      <c r="F975" s="422"/>
      <c r="G975" s="109"/>
      <c r="H975" s="422"/>
      <c r="I975" s="422"/>
      <c r="J975" s="422"/>
      <c r="K975" s="368"/>
      <c r="L975" s="368"/>
      <c r="M975" s="368"/>
      <c r="N975" s="368"/>
      <c r="O975" s="368"/>
    </row>
    <row r="976" spans="1:15" s="57" customFormat="1" ht="66">
      <c r="A976" s="231" t="s">
        <v>599</v>
      </c>
      <c r="B976" s="227" t="s">
        <v>1404</v>
      </c>
      <c r="C976" s="423">
        <v>5</v>
      </c>
      <c r="D976" s="230" t="s">
        <v>27</v>
      </c>
      <c r="E976" s="452">
        <v>2288</v>
      </c>
      <c r="F976" s="109">
        <f>E976*C976</f>
        <v>11440</v>
      </c>
      <c r="G976" s="451"/>
      <c r="H976" s="438">
        <f>ROUND(G976,2)</f>
        <v>0</v>
      </c>
      <c r="I976" s="438">
        <f>H976*E976</f>
        <v>0</v>
      </c>
      <c r="J976" s="438">
        <f>G976-C976</f>
        <v>-5</v>
      </c>
      <c r="K976" s="438">
        <f>I976-F976</f>
        <v>-11440</v>
      </c>
      <c r="L976" s="438">
        <f>IF(F976&lt;I976,(I976-F976),0)</f>
        <v>0</v>
      </c>
      <c r="M976" s="438">
        <f>IF(F976&gt;I976,(I976-F976),0)</f>
        <v>-11440</v>
      </c>
      <c r="N976" s="438">
        <f>M976+L976</f>
        <v>-11440</v>
      </c>
      <c r="O976" s="368"/>
    </row>
    <row r="977" spans="1:15" s="57" customFormat="1">
      <c r="A977" s="231"/>
      <c r="B977" s="227"/>
      <c r="C977" s="422"/>
      <c r="D977" s="212"/>
      <c r="E977" s="422"/>
      <c r="F977" s="422"/>
      <c r="G977" s="109"/>
      <c r="H977" s="422"/>
      <c r="I977" s="422"/>
      <c r="J977" s="422"/>
      <c r="K977" s="368"/>
      <c r="L977" s="368"/>
      <c r="M977" s="368"/>
      <c r="N977" s="368"/>
      <c r="O977" s="368"/>
    </row>
    <row r="978" spans="1:15" s="57" customFormat="1">
      <c r="A978" s="366"/>
      <c r="B978" s="365" t="s">
        <v>600</v>
      </c>
      <c r="C978" s="425"/>
      <c r="D978" s="367"/>
      <c r="E978" s="425"/>
      <c r="F978" s="425">
        <f>SUM(F960:F977)</f>
        <v>118307</v>
      </c>
      <c r="G978" s="425"/>
      <c r="H978" s="425"/>
      <c r="I978" s="425">
        <f>SUM(I960:I977)</f>
        <v>97327</v>
      </c>
      <c r="J978" s="425"/>
      <c r="K978" s="425">
        <f>SUM(K960:K977)</f>
        <v>-20980</v>
      </c>
      <c r="L978" s="425">
        <f>SUM(L960:L977)</f>
        <v>16440</v>
      </c>
      <c r="M978" s="425">
        <f>SUM(M960:M977)</f>
        <v>-37420</v>
      </c>
      <c r="N978" s="425">
        <f>SUM(N960:N977)</f>
        <v>-20980</v>
      </c>
      <c r="O978" s="425"/>
    </row>
    <row r="979" spans="1:15" s="57" customFormat="1">
      <c r="A979" s="229"/>
      <c r="B979" s="210"/>
      <c r="C979" s="427"/>
      <c r="D979" s="225"/>
      <c r="E979" s="427"/>
      <c r="F979" s="427"/>
      <c r="G979" s="109"/>
      <c r="H979" s="427"/>
      <c r="I979" s="427"/>
      <c r="J979" s="427"/>
      <c r="K979" s="368"/>
      <c r="L979" s="368"/>
      <c r="M979" s="368"/>
      <c r="N979" s="368"/>
      <c r="O979" s="368"/>
    </row>
    <row r="980" spans="1:15" s="57" customFormat="1">
      <c r="A980" s="325" t="s">
        <v>302</v>
      </c>
      <c r="B980" s="87" t="s">
        <v>601</v>
      </c>
      <c r="C980" s="421"/>
      <c r="D980" s="88"/>
      <c r="E980" s="421"/>
      <c r="F980" s="421"/>
      <c r="G980" s="421"/>
      <c r="H980" s="421"/>
      <c r="I980" s="421"/>
      <c r="J980" s="421"/>
      <c r="K980" s="421"/>
      <c r="L980" s="421"/>
      <c r="M980" s="421"/>
      <c r="N980" s="421"/>
      <c r="O980" s="421"/>
    </row>
    <row r="981" spans="1:15" s="57" customFormat="1">
      <c r="A981" s="209"/>
      <c r="B981" s="210"/>
      <c r="C981" s="422"/>
      <c r="D981" s="212"/>
      <c r="E981" s="422"/>
      <c r="F981" s="422"/>
      <c r="G981" s="109"/>
      <c r="H981" s="422"/>
      <c r="I981" s="422"/>
      <c r="J981" s="422"/>
      <c r="K981" s="368"/>
      <c r="L981" s="368"/>
      <c r="M981" s="368"/>
      <c r="N981" s="368"/>
      <c r="O981" s="368"/>
    </row>
    <row r="982" spans="1:15" s="57" customFormat="1" ht="39.6">
      <c r="A982" s="234">
        <v>10.1</v>
      </c>
      <c r="B982" s="214" t="s">
        <v>602</v>
      </c>
      <c r="C982" s="422"/>
      <c r="D982" s="212"/>
      <c r="E982" s="422"/>
      <c r="F982" s="422"/>
      <c r="G982" s="422"/>
      <c r="H982" s="422"/>
      <c r="I982" s="422"/>
      <c r="J982" s="422"/>
      <c r="K982" s="368"/>
      <c r="L982" s="368"/>
      <c r="M982" s="368"/>
      <c r="N982" s="368"/>
      <c r="O982" s="368"/>
    </row>
    <row r="983" spans="1:15" s="57" customFormat="1">
      <c r="A983" s="234"/>
      <c r="B983" s="214"/>
      <c r="C983" s="422"/>
      <c r="D983" s="235"/>
      <c r="E983" s="422"/>
      <c r="F983" s="422"/>
      <c r="G983" s="109"/>
      <c r="H983" s="422"/>
      <c r="I983" s="422"/>
      <c r="J983" s="422"/>
      <c r="K983" s="368"/>
      <c r="L983" s="368"/>
      <c r="M983" s="368"/>
      <c r="N983" s="368"/>
      <c r="O983" s="368"/>
    </row>
    <row r="984" spans="1:15" s="57" customFormat="1">
      <c r="A984" s="234" t="s">
        <v>603</v>
      </c>
      <c r="B984" s="214" t="s">
        <v>604</v>
      </c>
      <c r="C984" s="423"/>
      <c r="D984" s="235" t="s">
        <v>27</v>
      </c>
      <c r="E984" s="452">
        <v>758</v>
      </c>
      <c r="F984" s="109">
        <f>E984*C984</f>
        <v>0</v>
      </c>
      <c r="G984" s="451"/>
      <c r="H984" s="438">
        <f>ROUND(G984,2)</f>
        <v>0</v>
      </c>
      <c r="I984" s="438">
        <f>H984*E984</f>
        <v>0</v>
      </c>
      <c r="J984" s="438">
        <f>G984-C984</f>
        <v>0</v>
      </c>
      <c r="K984" s="438">
        <f>I984-F984</f>
        <v>0</v>
      </c>
      <c r="L984" s="438">
        <f>IF(F984&lt;I984,(I984-F984),0)</f>
        <v>0</v>
      </c>
      <c r="M984" s="438">
        <f>IF(F984&gt;I984,(I984-F984),0)</f>
        <v>0</v>
      </c>
      <c r="N984" s="438">
        <f>M984+L984</f>
        <v>0</v>
      </c>
      <c r="O984" s="368"/>
    </row>
    <row r="985" spans="1:15" s="57" customFormat="1">
      <c r="A985" s="234"/>
      <c r="B985" s="214"/>
      <c r="C985" s="422"/>
      <c r="D985" s="235"/>
      <c r="E985" s="422"/>
      <c r="F985" s="422"/>
      <c r="G985" s="109"/>
      <c r="H985" s="422"/>
      <c r="I985" s="422"/>
      <c r="J985" s="422"/>
      <c r="K985" s="368"/>
      <c r="L985" s="368"/>
      <c r="M985" s="368"/>
      <c r="N985" s="368"/>
      <c r="O985" s="368"/>
    </row>
    <row r="986" spans="1:15" s="57" customFormat="1">
      <c r="A986" s="234" t="s">
        <v>605</v>
      </c>
      <c r="B986" s="214" t="s">
        <v>606</v>
      </c>
      <c r="C986" s="423"/>
      <c r="D986" s="235" t="s">
        <v>27</v>
      </c>
      <c r="E986" s="452">
        <v>1991</v>
      </c>
      <c r="F986" s="109">
        <f>E986*C986</f>
        <v>0</v>
      </c>
      <c r="G986" s="451"/>
      <c r="H986" s="438">
        <f>ROUND(G986,2)</f>
        <v>0</v>
      </c>
      <c r="I986" s="438">
        <f>H986*E986</f>
        <v>0</v>
      </c>
      <c r="J986" s="438">
        <f>G986-C986</f>
        <v>0</v>
      </c>
      <c r="K986" s="438">
        <f>I986-F986</f>
        <v>0</v>
      </c>
      <c r="L986" s="438">
        <f>IF(F986&lt;I986,(I986-F986),0)</f>
        <v>0</v>
      </c>
      <c r="M986" s="438">
        <f>IF(F986&gt;I986,(I986-F986),0)</f>
        <v>0</v>
      </c>
      <c r="N986" s="438">
        <f>M986+L986</f>
        <v>0</v>
      </c>
      <c r="O986" s="368"/>
    </row>
    <row r="987" spans="1:15" s="57" customFormat="1">
      <c r="A987" s="234"/>
      <c r="B987" s="214"/>
      <c r="C987" s="422"/>
      <c r="D987" s="235"/>
      <c r="E987" s="422"/>
      <c r="F987" s="422"/>
      <c r="G987" s="109"/>
      <c r="H987" s="422"/>
      <c r="I987" s="422"/>
      <c r="J987" s="422"/>
      <c r="K987" s="368"/>
      <c r="L987" s="368"/>
      <c r="M987" s="368"/>
      <c r="N987" s="368"/>
      <c r="O987" s="368"/>
    </row>
    <row r="988" spans="1:15" s="57" customFormat="1" ht="26.4">
      <c r="A988" s="234" t="s">
        <v>607</v>
      </c>
      <c r="B988" s="214" t="s">
        <v>608</v>
      </c>
      <c r="C988" s="423">
        <v>30</v>
      </c>
      <c r="D988" s="235" t="s">
        <v>27</v>
      </c>
      <c r="E988" s="452">
        <v>1226</v>
      </c>
      <c r="F988" s="109">
        <f>E988*C988</f>
        <v>36780</v>
      </c>
      <c r="G988" s="453">
        <f>'Measurement sheet'!F755</f>
        <v>25</v>
      </c>
      <c r="H988" s="438">
        <f>ROUND(G988,2)</f>
        <v>25</v>
      </c>
      <c r="I988" s="438">
        <f>H988*E988</f>
        <v>30650</v>
      </c>
      <c r="J988" s="438">
        <f>G988-C988</f>
        <v>-5</v>
      </c>
      <c r="K988" s="438">
        <f>I988-F988</f>
        <v>-6130</v>
      </c>
      <c r="L988" s="438">
        <f>IF(F988&lt;I988,(I988-F988),0)</f>
        <v>0</v>
      </c>
      <c r="M988" s="438">
        <f>IF(F988&gt;I988,(I988-F988),0)</f>
        <v>-6130</v>
      </c>
      <c r="N988" s="438">
        <f>M988+L988</f>
        <v>-6130</v>
      </c>
      <c r="O988" s="368"/>
    </row>
    <row r="989" spans="1:15" s="57" customFormat="1">
      <c r="A989" s="234"/>
      <c r="B989" s="214"/>
      <c r="C989" s="422"/>
      <c r="D989" s="235"/>
      <c r="E989" s="422"/>
      <c r="F989" s="422"/>
      <c r="G989" s="109"/>
      <c r="H989" s="422"/>
      <c r="I989" s="422"/>
      <c r="J989" s="422"/>
      <c r="K989" s="368"/>
      <c r="L989" s="368"/>
      <c r="M989" s="368"/>
      <c r="N989" s="368"/>
      <c r="O989" s="368"/>
    </row>
    <row r="990" spans="1:15" s="57" customFormat="1" ht="26.4">
      <c r="A990" s="234" t="s">
        <v>609</v>
      </c>
      <c r="B990" s="214" t="s">
        <v>610</v>
      </c>
      <c r="C990" s="423">
        <v>25</v>
      </c>
      <c r="D990" s="235" t="s">
        <v>27</v>
      </c>
      <c r="E990" s="452">
        <v>608</v>
      </c>
      <c r="F990" s="109">
        <f>E990*C990</f>
        <v>15200</v>
      </c>
      <c r="G990" s="453">
        <f>'Measurement sheet'!F756</f>
        <v>21</v>
      </c>
      <c r="H990" s="438">
        <f>ROUND(G990,2)</f>
        <v>21</v>
      </c>
      <c r="I990" s="438">
        <f>H990*E990</f>
        <v>12768</v>
      </c>
      <c r="J990" s="438">
        <f>G990-C990</f>
        <v>-4</v>
      </c>
      <c r="K990" s="438">
        <f>I990-F990</f>
        <v>-2432</v>
      </c>
      <c r="L990" s="438">
        <f>IF(F990&lt;I990,(I990-F990),0)</f>
        <v>0</v>
      </c>
      <c r="M990" s="438">
        <f>IF(F990&gt;I990,(I990-F990),0)</f>
        <v>-2432</v>
      </c>
      <c r="N990" s="438">
        <f>M990+L990</f>
        <v>-2432</v>
      </c>
      <c r="O990" s="368"/>
    </row>
    <row r="991" spans="1:15" s="57" customFormat="1">
      <c r="A991" s="234"/>
      <c r="B991" s="214"/>
      <c r="C991" s="422"/>
      <c r="D991" s="235"/>
      <c r="E991" s="422"/>
      <c r="F991" s="422"/>
      <c r="G991" s="109"/>
      <c r="H991" s="422"/>
      <c r="I991" s="422"/>
      <c r="J991" s="422"/>
      <c r="K991" s="368"/>
      <c r="L991" s="368"/>
      <c r="M991" s="368"/>
      <c r="N991" s="368"/>
      <c r="O991" s="368"/>
    </row>
    <row r="992" spans="1:15" s="57" customFormat="1" ht="26.4">
      <c r="A992" s="234" t="s">
        <v>611</v>
      </c>
      <c r="B992" s="214" t="s">
        <v>612</v>
      </c>
      <c r="C992" s="423">
        <v>4</v>
      </c>
      <c r="D992" s="235" t="s">
        <v>27</v>
      </c>
      <c r="E992" s="452">
        <v>932</v>
      </c>
      <c r="F992" s="109">
        <f>E992*C992</f>
        <v>3728</v>
      </c>
      <c r="G992" s="453">
        <f>'Measurement sheet'!F757</f>
        <v>1.33</v>
      </c>
      <c r="H992" s="438">
        <f>ROUND(G992,2)</f>
        <v>1.33</v>
      </c>
      <c r="I992" s="438">
        <f>H992*E992</f>
        <v>1239.5600000000002</v>
      </c>
      <c r="J992" s="438">
        <f>G992-C992</f>
        <v>-2.67</v>
      </c>
      <c r="K992" s="438">
        <f>I992-F992</f>
        <v>-2488.4399999999996</v>
      </c>
      <c r="L992" s="438">
        <f>IF(F992&lt;I992,(I992-F992),0)</f>
        <v>0</v>
      </c>
      <c r="M992" s="438">
        <f>IF(F992&gt;I992,(I992-F992),0)</f>
        <v>-2488.4399999999996</v>
      </c>
      <c r="N992" s="438">
        <f>M992+L992</f>
        <v>-2488.4399999999996</v>
      </c>
      <c r="O992" s="368"/>
    </row>
    <row r="993" spans="1:15" s="57" customFormat="1">
      <c r="A993" s="234"/>
      <c r="B993" s="214"/>
      <c r="C993" s="422"/>
      <c r="D993" s="235"/>
      <c r="E993" s="422"/>
      <c r="F993" s="422"/>
      <c r="G993" s="109"/>
      <c r="H993" s="422"/>
      <c r="I993" s="422"/>
      <c r="J993" s="422"/>
      <c r="K993" s="368"/>
      <c r="L993" s="368"/>
      <c r="M993" s="368"/>
      <c r="N993" s="368"/>
      <c r="O993" s="368"/>
    </row>
    <row r="994" spans="1:15" s="57" customFormat="1" ht="39.6">
      <c r="A994" s="234" t="s">
        <v>613</v>
      </c>
      <c r="B994" s="214" t="s">
        <v>614</v>
      </c>
      <c r="C994" s="423"/>
      <c r="D994" s="235" t="s">
        <v>27</v>
      </c>
      <c r="E994" s="452">
        <v>1439</v>
      </c>
      <c r="F994" s="109">
        <f>E994*C994</f>
        <v>0</v>
      </c>
      <c r="G994" s="451"/>
      <c r="H994" s="438">
        <f>ROUND(G994,2)</f>
        <v>0</v>
      </c>
      <c r="I994" s="438">
        <f>H994*E994</f>
        <v>0</v>
      </c>
      <c r="J994" s="438">
        <f>G994-C994</f>
        <v>0</v>
      </c>
      <c r="K994" s="438">
        <f>I994-F994</f>
        <v>0</v>
      </c>
      <c r="L994" s="438">
        <f>IF(F994&lt;I994,(I994-F994),0)</f>
        <v>0</v>
      </c>
      <c r="M994" s="438">
        <f>IF(F994&gt;I994,(I994-F994),0)</f>
        <v>0</v>
      </c>
      <c r="N994" s="438">
        <f>M994+L994</f>
        <v>0</v>
      </c>
      <c r="O994" s="368"/>
    </row>
    <row r="995" spans="1:15" s="57" customFormat="1">
      <c r="A995" s="234"/>
      <c r="B995" s="214"/>
      <c r="C995" s="422"/>
      <c r="D995" s="235"/>
      <c r="E995" s="422"/>
      <c r="F995" s="422"/>
      <c r="G995" s="109"/>
      <c r="H995" s="422"/>
      <c r="I995" s="422"/>
      <c r="J995" s="422"/>
      <c r="K995" s="368"/>
      <c r="L995" s="368"/>
      <c r="M995" s="368"/>
      <c r="N995" s="368"/>
      <c r="O995" s="368"/>
    </row>
    <row r="996" spans="1:15" s="57" customFormat="1" ht="39.6">
      <c r="A996" s="234" t="s">
        <v>615</v>
      </c>
      <c r="B996" s="214" t="s">
        <v>616</v>
      </c>
      <c r="C996" s="423">
        <v>2</v>
      </c>
      <c r="D996" s="235" t="s">
        <v>27</v>
      </c>
      <c r="E996" s="452">
        <v>1105</v>
      </c>
      <c r="F996" s="109">
        <f>E996*C996</f>
        <v>2210</v>
      </c>
      <c r="G996" s="453">
        <f>'Measurement sheet'!F758</f>
        <v>0</v>
      </c>
      <c r="H996" s="438">
        <f>ROUND(G996,2)</f>
        <v>0</v>
      </c>
      <c r="I996" s="438">
        <f>H996*E996</f>
        <v>0</v>
      </c>
      <c r="J996" s="438">
        <f>G996-C996</f>
        <v>-2</v>
      </c>
      <c r="K996" s="438">
        <f>I996-F996</f>
        <v>-2210</v>
      </c>
      <c r="L996" s="438">
        <f>IF(F996&lt;I996,(I996-F996),0)</f>
        <v>0</v>
      </c>
      <c r="M996" s="438">
        <f>IF(F996&gt;I996,(I996-F996),0)</f>
        <v>-2210</v>
      </c>
      <c r="N996" s="438">
        <f>M996+L996</f>
        <v>-2210</v>
      </c>
      <c r="O996" s="368"/>
    </row>
    <row r="997" spans="1:15" s="57" customFormat="1">
      <c r="A997" s="234"/>
      <c r="B997" s="214"/>
      <c r="C997" s="422"/>
      <c r="D997" s="235"/>
      <c r="E997" s="422"/>
      <c r="F997" s="422"/>
      <c r="G997" s="109"/>
      <c r="H997" s="422"/>
      <c r="I997" s="422"/>
      <c r="J997" s="422"/>
      <c r="K997" s="368"/>
      <c r="L997" s="368"/>
      <c r="M997" s="368"/>
      <c r="N997" s="368"/>
      <c r="O997" s="368"/>
    </row>
    <row r="998" spans="1:15" s="57" customFormat="1">
      <c r="A998" s="366"/>
      <c r="B998" s="365" t="s">
        <v>617</v>
      </c>
      <c r="C998" s="425"/>
      <c r="D998" s="367"/>
      <c r="E998" s="425"/>
      <c r="F998" s="425">
        <f>SUM(F981:F997)</f>
        <v>57918</v>
      </c>
      <c r="G998" s="425"/>
      <c r="H998" s="425"/>
      <c r="I998" s="425">
        <f>SUM(I981:I997)</f>
        <v>44657.56</v>
      </c>
      <c r="J998" s="425"/>
      <c r="K998" s="425">
        <f>SUM(K981:K997)</f>
        <v>-13260.439999999999</v>
      </c>
      <c r="L998" s="425">
        <f>SUM(L981:L997)</f>
        <v>0</v>
      </c>
      <c r="M998" s="425">
        <f>SUM(M981:M997)</f>
        <v>-13260.439999999999</v>
      </c>
      <c r="N998" s="425">
        <f>SUM(N981:N997)</f>
        <v>-13260.439999999999</v>
      </c>
      <c r="O998" s="425"/>
    </row>
    <row r="999" spans="1:15" s="57" customFormat="1">
      <c r="A999" s="209"/>
      <c r="B999" s="210"/>
      <c r="C999" s="427"/>
      <c r="D999" s="225"/>
      <c r="E999" s="427"/>
      <c r="F999" s="427"/>
      <c r="G999" s="109"/>
      <c r="H999" s="427"/>
      <c r="I999" s="427"/>
      <c r="J999" s="427"/>
      <c r="K999" s="368"/>
      <c r="L999" s="368"/>
      <c r="M999" s="368"/>
      <c r="N999" s="368"/>
      <c r="O999" s="368"/>
    </row>
    <row r="1000" spans="1:15" s="57" customFormat="1">
      <c r="A1000" s="325" t="s">
        <v>302</v>
      </c>
      <c r="B1000" s="87" t="s">
        <v>618</v>
      </c>
      <c r="C1000" s="421"/>
      <c r="D1000" s="88"/>
      <c r="E1000" s="421"/>
      <c r="F1000" s="421"/>
      <c r="G1000" s="421"/>
      <c r="H1000" s="421"/>
      <c r="I1000" s="421"/>
      <c r="J1000" s="421"/>
      <c r="K1000" s="421"/>
      <c r="L1000" s="421"/>
      <c r="M1000" s="421"/>
      <c r="N1000" s="421"/>
      <c r="O1000" s="421"/>
    </row>
    <row r="1001" spans="1:15" s="57" customFormat="1">
      <c r="A1001" s="346"/>
      <c r="B1001" s="210"/>
      <c r="C1001" s="427"/>
      <c r="D1001" s="225"/>
      <c r="E1001" s="427"/>
      <c r="F1001" s="427"/>
      <c r="G1001" s="109"/>
      <c r="H1001" s="427"/>
      <c r="I1001" s="427"/>
      <c r="J1001" s="427"/>
      <c r="K1001" s="368"/>
      <c r="L1001" s="368"/>
      <c r="M1001" s="368"/>
      <c r="N1001" s="368"/>
      <c r="O1001" s="368"/>
    </row>
    <row r="1002" spans="1:15" s="57" customFormat="1" ht="66">
      <c r="A1002" s="236">
        <v>11.1</v>
      </c>
      <c r="B1002" s="237" t="s">
        <v>1405</v>
      </c>
      <c r="C1002" s="422"/>
      <c r="D1002" s="212"/>
      <c r="E1002" s="422"/>
      <c r="F1002" s="422"/>
      <c r="G1002" s="422"/>
      <c r="H1002" s="422"/>
      <c r="I1002" s="422"/>
      <c r="J1002" s="422"/>
      <c r="K1002" s="368"/>
      <c r="L1002" s="368"/>
      <c r="M1002" s="368"/>
      <c r="N1002" s="368"/>
      <c r="O1002" s="368"/>
    </row>
    <row r="1003" spans="1:15" s="57" customFormat="1">
      <c r="A1003" s="238" t="s">
        <v>619</v>
      </c>
      <c r="B1003" s="237" t="s">
        <v>620</v>
      </c>
      <c r="C1003" s="423">
        <v>6</v>
      </c>
      <c r="D1003" s="212" t="s">
        <v>621</v>
      </c>
      <c r="E1003" s="452">
        <v>854</v>
      </c>
      <c r="F1003" s="109">
        <f>E1003*C1003</f>
        <v>5124</v>
      </c>
      <c r="G1003" s="453">
        <f>'Measurement sheet'!F761</f>
        <v>6</v>
      </c>
      <c r="H1003" s="438">
        <f>ROUND(G1003,2)</f>
        <v>6</v>
      </c>
      <c r="I1003" s="438">
        <f>H1003*E1003</f>
        <v>5124</v>
      </c>
      <c r="J1003" s="438">
        <f>G1003-C1003</f>
        <v>0</v>
      </c>
      <c r="K1003" s="438">
        <f>I1003-F1003</f>
        <v>0</v>
      </c>
      <c r="L1003" s="438">
        <f>IF(F1003&lt;I1003,(I1003-F1003),0)</f>
        <v>0</v>
      </c>
      <c r="M1003" s="438">
        <f>IF(F1003&gt;I1003,(I1003-F1003),0)</f>
        <v>0</v>
      </c>
      <c r="N1003" s="438">
        <f>M1003+L1003</f>
        <v>0</v>
      </c>
      <c r="O1003" s="368"/>
    </row>
    <row r="1004" spans="1:15" s="57" customFormat="1">
      <c r="A1004" s="238" t="s">
        <v>622</v>
      </c>
      <c r="B1004" s="237" t="s">
        <v>623</v>
      </c>
      <c r="C1004" s="423">
        <v>4</v>
      </c>
      <c r="D1004" s="212" t="s">
        <v>621</v>
      </c>
      <c r="E1004" s="452">
        <v>1340</v>
      </c>
      <c r="F1004" s="109">
        <f>E1004*C1004</f>
        <v>5360</v>
      </c>
      <c r="G1004" s="453">
        <f>'Measurement sheet'!F762</f>
        <v>4</v>
      </c>
      <c r="H1004" s="438">
        <f>ROUND(G1004,2)</f>
        <v>4</v>
      </c>
      <c r="I1004" s="438">
        <f>H1004*E1004</f>
        <v>5360</v>
      </c>
      <c r="J1004" s="438">
        <f>G1004-C1004</f>
        <v>0</v>
      </c>
      <c r="K1004" s="438">
        <f>I1004-F1004</f>
        <v>0</v>
      </c>
      <c r="L1004" s="438">
        <f>IF(F1004&lt;I1004,(I1004-F1004),0)</f>
        <v>0</v>
      </c>
      <c r="M1004" s="438">
        <f>IF(F1004&gt;I1004,(I1004-F1004),0)</f>
        <v>0</v>
      </c>
      <c r="N1004" s="438">
        <f>M1004+L1004</f>
        <v>0</v>
      </c>
      <c r="O1004" s="368"/>
    </row>
    <row r="1005" spans="1:15" s="57" customFormat="1">
      <c r="A1005" s="238" t="s">
        <v>624</v>
      </c>
      <c r="B1005" s="237" t="s">
        <v>625</v>
      </c>
      <c r="C1005" s="423">
        <v>4</v>
      </c>
      <c r="D1005" s="212" t="s">
        <v>621</v>
      </c>
      <c r="E1005" s="452">
        <v>2045</v>
      </c>
      <c r="F1005" s="109">
        <f>E1005*C1005</f>
        <v>8180</v>
      </c>
      <c r="G1005" s="453">
        <f>'Measurement sheet'!F763</f>
        <v>2</v>
      </c>
      <c r="H1005" s="438">
        <f>ROUND(G1005,2)</f>
        <v>2</v>
      </c>
      <c r="I1005" s="438">
        <f>H1005*E1005</f>
        <v>4090</v>
      </c>
      <c r="J1005" s="438">
        <f>G1005-C1005</f>
        <v>-2</v>
      </c>
      <c r="K1005" s="438">
        <f>I1005-F1005</f>
        <v>-4090</v>
      </c>
      <c r="L1005" s="438">
        <f>IF(F1005&lt;I1005,(I1005-F1005),0)</f>
        <v>0</v>
      </c>
      <c r="M1005" s="438">
        <f>IF(F1005&gt;I1005,(I1005-F1005),0)</f>
        <v>-4090</v>
      </c>
      <c r="N1005" s="438">
        <f>M1005+L1005</f>
        <v>-4090</v>
      </c>
      <c r="O1005" s="368"/>
    </row>
    <row r="1006" spans="1:15" s="57" customFormat="1">
      <c r="A1006" s="238" t="s">
        <v>626</v>
      </c>
      <c r="B1006" s="237" t="s">
        <v>627</v>
      </c>
      <c r="C1006" s="423">
        <v>4</v>
      </c>
      <c r="D1006" s="212" t="s">
        <v>621</v>
      </c>
      <c r="E1006" s="452">
        <v>2733</v>
      </c>
      <c r="F1006" s="109">
        <f>E1006*C1006</f>
        <v>10932</v>
      </c>
      <c r="G1006" s="453">
        <f>'Measurement sheet'!F764</f>
        <v>4</v>
      </c>
      <c r="H1006" s="438">
        <f>ROUND(G1006,2)</f>
        <v>4</v>
      </c>
      <c r="I1006" s="438">
        <f>H1006*E1006</f>
        <v>10932</v>
      </c>
      <c r="J1006" s="438">
        <f>G1006-C1006</f>
        <v>0</v>
      </c>
      <c r="K1006" s="438">
        <f>I1006-F1006</f>
        <v>0</v>
      </c>
      <c r="L1006" s="438">
        <f>IF(F1006&lt;I1006,(I1006-F1006),0)</f>
        <v>0</v>
      </c>
      <c r="M1006" s="438">
        <f>IF(F1006&gt;I1006,(I1006-F1006),0)</f>
        <v>0</v>
      </c>
      <c r="N1006" s="438">
        <f>M1006+L1006</f>
        <v>0</v>
      </c>
      <c r="O1006" s="368"/>
    </row>
    <row r="1007" spans="1:15" s="57" customFormat="1">
      <c r="A1007" s="236"/>
      <c r="B1007" s="237"/>
      <c r="C1007" s="427"/>
      <c r="D1007" s="225"/>
      <c r="E1007" s="427"/>
      <c r="F1007" s="427"/>
      <c r="G1007" s="109"/>
      <c r="H1007" s="427"/>
      <c r="I1007" s="427"/>
      <c r="J1007" s="427"/>
      <c r="K1007" s="368"/>
      <c r="L1007" s="368"/>
      <c r="M1007" s="368"/>
      <c r="N1007" s="368"/>
      <c r="O1007" s="368"/>
    </row>
    <row r="1008" spans="1:15" s="57" customFormat="1" ht="66">
      <c r="A1008" s="236">
        <v>11.2</v>
      </c>
      <c r="B1008" s="237" t="s">
        <v>1406</v>
      </c>
      <c r="C1008" s="427"/>
      <c r="D1008" s="225"/>
      <c r="E1008" s="427"/>
      <c r="F1008" s="427"/>
      <c r="G1008" s="422"/>
      <c r="H1008" s="427"/>
      <c r="I1008" s="427"/>
      <c r="J1008" s="427"/>
      <c r="K1008" s="368"/>
      <c r="L1008" s="368"/>
      <c r="M1008" s="368"/>
      <c r="N1008" s="368"/>
      <c r="O1008" s="368"/>
    </row>
    <row r="1009" spans="1:15" s="57" customFormat="1" ht="28.8">
      <c r="A1009" s="236" t="s">
        <v>628</v>
      </c>
      <c r="B1009" s="237" t="s">
        <v>623</v>
      </c>
      <c r="C1009" s="423">
        <v>4</v>
      </c>
      <c r="D1009" s="212" t="s">
        <v>621</v>
      </c>
      <c r="E1009" s="452">
        <v>1340</v>
      </c>
      <c r="F1009" s="109">
        <f t="shared" ref="F1009:F1017" si="106">E1009*C1009</f>
        <v>5360</v>
      </c>
      <c r="G1009" s="453">
        <f>'Measurement sheet'!F766</f>
        <v>7</v>
      </c>
      <c r="H1009" s="438">
        <f t="shared" ref="H1009:H1017" si="107">ROUND(G1009,2)</f>
        <v>7</v>
      </c>
      <c r="I1009" s="438">
        <f t="shared" ref="I1009:I1017" si="108">H1009*E1009</f>
        <v>9380</v>
      </c>
      <c r="J1009" s="438">
        <f t="shared" ref="J1009:J1017" si="109">G1009-C1009</f>
        <v>3</v>
      </c>
      <c r="K1009" s="438">
        <f t="shared" ref="K1009:K1017" si="110">I1009-F1009</f>
        <v>4020</v>
      </c>
      <c r="L1009" s="438">
        <f t="shared" ref="L1009:L1017" si="111">IF(F1009&lt;I1009,(I1009-F1009),0)</f>
        <v>4020</v>
      </c>
      <c r="M1009" s="438">
        <f t="shared" ref="M1009:M1017" si="112">IF(F1009&gt;I1009,(I1009-F1009),0)</f>
        <v>0</v>
      </c>
      <c r="N1009" s="438">
        <f t="shared" ref="N1009:N1017" si="113">M1009+L1009</f>
        <v>4020</v>
      </c>
      <c r="O1009" s="478" t="s">
        <v>1610</v>
      </c>
    </row>
    <row r="1010" spans="1:15" s="57" customFormat="1">
      <c r="A1010" s="236" t="s">
        <v>629</v>
      </c>
      <c r="B1010" s="237" t="s">
        <v>625</v>
      </c>
      <c r="C1010" s="423">
        <v>5</v>
      </c>
      <c r="D1010" s="212" t="s">
        <v>621</v>
      </c>
      <c r="E1010" s="452">
        <v>2030</v>
      </c>
      <c r="F1010" s="109">
        <f t="shared" si="106"/>
        <v>10150</v>
      </c>
      <c r="G1010" s="451"/>
      <c r="H1010" s="438">
        <f t="shared" si="107"/>
        <v>0</v>
      </c>
      <c r="I1010" s="438">
        <f t="shared" si="108"/>
        <v>0</v>
      </c>
      <c r="J1010" s="438">
        <f t="shared" si="109"/>
        <v>-5</v>
      </c>
      <c r="K1010" s="438">
        <f t="shared" si="110"/>
        <v>-10150</v>
      </c>
      <c r="L1010" s="438">
        <f t="shared" si="111"/>
        <v>0</v>
      </c>
      <c r="M1010" s="438">
        <f t="shared" si="112"/>
        <v>-10150</v>
      </c>
      <c r="N1010" s="438">
        <f t="shared" si="113"/>
        <v>-10150</v>
      </c>
      <c r="O1010" s="368"/>
    </row>
    <row r="1011" spans="1:15" s="57" customFormat="1" ht="28.8">
      <c r="A1011" s="236" t="s">
        <v>630</v>
      </c>
      <c r="B1011" s="237" t="s">
        <v>627</v>
      </c>
      <c r="C1011" s="423">
        <v>4</v>
      </c>
      <c r="D1011" s="212" t="s">
        <v>621</v>
      </c>
      <c r="E1011" s="452">
        <v>2690</v>
      </c>
      <c r="F1011" s="109">
        <f t="shared" si="106"/>
        <v>10760</v>
      </c>
      <c r="G1011" s="453">
        <f>'Measurement sheet'!F767</f>
        <v>6</v>
      </c>
      <c r="H1011" s="438">
        <f t="shared" si="107"/>
        <v>6</v>
      </c>
      <c r="I1011" s="438">
        <f t="shared" si="108"/>
        <v>16140</v>
      </c>
      <c r="J1011" s="438">
        <f t="shared" si="109"/>
        <v>2</v>
      </c>
      <c r="K1011" s="438">
        <f t="shared" si="110"/>
        <v>5380</v>
      </c>
      <c r="L1011" s="438">
        <f t="shared" si="111"/>
        <v>5380</v>
      </c>
      <c r="M1011" s="438">
        <f t="shared" si="112"/>
        <v>0</v>
      </c>
      <c r="N1011" s="438">
        <f t="shared" si="113"/>
        <v>5380</v>
      </c>
      <c r="O1011" s="478" t="s">
        <v>1610</v>
      </c>
    </row>
    <row r="1012" spans="1:15" s="57" customFormat="1">
      <c r="A1012" s="236" t="s">
        <v>631</v>
      </c>
      <c r="B1012" s="237" t="s">
        <v>632</v>
      </c>
      <c r="C1012" s="423"/>
      <c r="D1012" s="212" t="s">
        <v>621</v>
      </c>
      <c r="E1012" s="452">
        <v>1528</v>
      </c>
      <c r="F1012" s="109">
        <f t="shared" si="106"/>
        <v>0</v>
      </c>
      <c r="G1012" s="451"/>
      <c r="H1012" s="438">
        <f t="shared" si="107"/>
        <v>0</v>
      </c>
      <c r="I1012" s="438">
        <f t="shared" si="108"/>
        <v>0</v>
      </c>
      <c r="J1012" s="438">
        <f t="shared" si="109"/>
        <v>0</v>
      </c>
      <c r="K1012" s="438">
        <f t="shared" si="110"/>
        <v>0</v>
      </c>
      <c r="L1012" s="438">
        <f t="shared" si="111"/>
        <v>0</v>
      </c>
      <c r="M1012" s="438">
        <f t="shared" si="112"/>
        <v>0</v>
      </c>
      <c r="N1012" s="438">
        <f t="shared" si="113"/>
        <v>0</v>
      </c>
      <c r="O1012" s="368"/>
    </row>
    <row r="1013" spans="1:15" s="57" customFormat="1">
      <c r="A1013" s="236" t="s">
        <v>633</v>
      </c>
      <c r="B1013" s="237" t="s">
        <v>634</v>
      </c>
      <c r="C1013" s="423"/>
      <c r="D1013" s="212" t="s">
        <v>621</v>
      </c>
      <c r="E1013" s="452">
        <v>2400</v>
      </c>
      <c r="F1013" s="109">
        <f t="shared" si="106"/>
        <v>0</v>
      </c>
      <c r="G1013" s="451"/>
      <c r="H1013" s="438">
        <f t="shared" si="107"/>
        <v>0</v>
      </c>
      <c r="I1013" s="438">
        <f t="shared" si="108"/>
        <v>0</v>
      </c>
      <c r="J1013" s="438">
        <f t="shared" si="109"/>
        <v>0</v>
      </c>
      <c r="K1013" s="438">
        <f t="shared" si="110"/>
        <v>0</v>
      </c>
      <c r="L1013" s="438">
        <f t="shared" si="111"/>
        <v>0</v>
      </c>
      <c r="M1013" s="438">
        <f t="shared" si="112"/>
        <v>0</v>
      </c>
      <c r="N1013" s="438">
        <f t="shared" si="113"/>
        <v>0</v>
      </c>
      <c r="O1013" s="368"/>
    </row>
    <row r="1014" spans="1:15" s="57" customFormat="1">
      <c r="A1014" s="236" t="s">
        <v>635</v>
      </c>
      <c r="B1014" s="237" t="s">
        <v>636</v>
      </c>
      <c r="C1014" s="423"/>
      <c r="D1014" s="212" t="s">
        <v>621</v>
      </c>
      <c r="E1014" s="452">
        <v>3034</v>
      </c>
      <c r="F1014" s="109">
        <f t="shared" si="106"/>
        <v>0</v>
      </c>
      <c r="G1014" s="451"/>
      <c r="H1014" s="438">
        <f t="shared" si="107"/>
        <v>0</v>
      </c>
      <c r="I1014" s="438">
        <f t="shared" si="108"/>
        <v>0</v>
      </c>
      <c r="J1014" s="438">
        <f t="shared" si="109"/>
        <v>0</v>
      </c>
      <c r="K1014" s="438">
        <f t="shared" si="110"/>
        <v>0</v>
      </c>
      <c r="L1014" s="438">
        <f t="shared" si="111"/>
        <v>0</v>
      </c>
      <c r="M1014" s="438">
        <f t="shared" si="112"/>
        <v>0</v>
      </c>
      <c r="N1014" s="438">
        <f t="shared" si="113"/>
        <v>0</v>
      </c>
      <c r="O1014" s="368"/>
    </row>
    <row r="1015" spans="1:15" s="57" customFormat="1">
      <c r="A1015" s="236" t="s">
        <v>637</v>
      </c>
      <c r="B1015" s="237" t="s">
        <v>638</v>
      </c>
      <c r="C1015" s="423"/>
      <c r="D1015" s="212" t="s">
        <v>621</v>
      </c>
      <c r="E1015" s="452">
        <v>2284</v>
      </c>
      <c r="F1015" s="109">
        <f t="shared" si="106"/>
        <v>0</v>
      </c>
      <c r="G1015" s="451"/>
      <c r="H1015" s="438">
        <f t="shared" si="107"/>
        <v>0</v>
      </c>
      <c r="I1015" s="438">
        <f t="shared" si="108"/>
        <v>0</v>
      </c>
      <c r="J1015" s="438">
        <f t="shared" si="109"/>
        <v>0</v>
      </c>
      <c r="K1015" s="438">
        <f t="shared" si="110"/>
        <v>0</v>
      </c>
      <c r="L1015" s="438">
        <f t="shared" si="111"/>
        <v>0</v>
      </c>
      <c r="M1015" s="438">
        <f t="shared" si="112"/>
        <v>0</v>
      </c>
      <c r="N1015" s="438">
        <f t="shared" si="113"/>
        <v>0</v>
      </c>
      <c r="O1015" s="368"/>
    </row>
    <row r="1016" spans="1:15" s="57" customFormat="1">
      <c r="A1016" s="236" t="s">
        <v>639</v>
      </c>
      <c r="B1016" s="237" t="s">
        <v>640</v>
      </c>
      <c r="C1016" s="423"/>
      <c r="D1016" s="212" t="s">
        <v>621</v>
      </c>
      <c r="E1016" s="452">
        <v>3279</v>
      </c>
      <c r="F1016" s="109">
        <f t="shared" si="106"/>
        <v>0</v>
      </c>
      <c r="G1016" s="451"/>
      <c r="H1016" s="438">
        <f t="shared" si="107"/>
        <v>0</v>
      </c>
      <c r="I1016" s="438">
        <f t="shared" si="108"/>
        <v>0</v>
      </c>
      <c r="J1016" s="438">
        <f t="shared" si="109"/>
        <v>0</v>
      </c>
      <c r="K1016" s="438">
        <f t="shared" si="110"/>
        <v>0</v>
      </c>
      <c r="L1016" s="438">
        <f t="shared" si="111"/>
        <v>0</v>
      </c>
      <c r="M1016" s="438">
        <f t="shared" si="112"/>
        <v>0</v>
      </c>
      <c r="N1016" s="438">
        <f t="shared" si="113"/>
        <v>0</v>
      </c>
      <c r="O1016" s="368"/>
    </row>
    <row r="1017" spans="1:15" s="57" customFormat="1">
      <c r="A1017" s="236" t="s">
        <v>641</v>
      </c>
      <c r="B1017" s="237" t="s">
        <v>642</v>
      </c>
      <c r="C1017" s="423"/>
      <c r="D1017" s="212" t="s">
        <v>621</v>
      </c>
      <c r="E1017" s="452">
        <v>4979</v>
      </c>
      <c r="F1017" s="109">
        <f t="shared" si="106"/>
        <v>0</v>
      </c>
      <c r="G1017" s="451"/>
      <c r="H1017" s="438">
        <f t="shared" si="107"/>
        <v>0</v>
      </c>
      <c r="I1017" s="438">
        <f t="shared" si="108"/>
        <v>0</v>
      </c>
      <c r="J1017" s="438">
        <f t="shared" si="109"/>
        <v>0</v>
      </c>
      <c r="K1017" s="438">
        <f t="shared" si="110"/>
        <v>0</v>
      </c>
      <c r="L1017" s="438">
        <f t="shared" si="111"/>
        <v>0</v>
      </c>
      <c r="M1017" s="438">
        <f t="shared" si="112"/>
        <v>0</v>
      </c>
      <c r="N1017" s="438">
        <f t="shared" si="113"/>
        <v>0</v>
      </c>
      <c r="O1017" s="368"/>
    </row>
    <row r="1018" spans="1:15" s="57" customFormat="1">
      <c r="A1018" s="236"/>
      <c r="B1018" s="237"/>
      <c r="C1018" s="422"/>
      <c r="D1018" s="235"/>
      <c r="E1018" s="422"/>
      <c r="F1018" s="422"/>
      <c r="G1018" s="109"/>
      <c r="H1018" s="422"/>
      <c r="I1018" s="422"/>
      <c r="J1018" s="422"/>
      <c r="K1018" s="368"/>
      <c r="L1018" s="368"/>
      <c r="M1018" s="368"/>
      <c r="N1018" s="368"/>
      <c r="O1018" s="368"/>
    </row>
    <row r="1019" spans="1:15" s="57" customFormat="1" ht="92.4">
      <c r="A1019" s="236">
        <v>11.3</v>
      </c>
      <c r="B1019" s="214" t="s">
        <v>1407</v>
      </c>
      <c r="C1019" s="422"/>
      <c r="D1019" s="212"/>
      <c r="E1019" s="422"/>
      <c r="F1019" s="422"/>
      <c r="G1019" s="422"/>
      <c r="H1019" s="422"/>
      <c r="I1019" s="422"/>
      <c r="J1019" s="422"/>
      <c r="K1019" s="368"/>
      <c r="L1019" s="368"/>
      <c r="M1019" s="368"/>
      <c r="N1019" s="368"/>
      <c r="O1019" s="368"/>
    </row>
    <row r="1020" spans="1:15" s="57" customFormat="1">
      <c r="A1020" s="238" t="s">
        <v>643</v>
      </c>
      <c r="B1020" s="214" t="s">
        <v>644</v>
      </c>
      <c r="C1020" s="423">
        <v>4</v>
      </c>
      <c r="D1020" s="212" t="s">
        <v>621</v>
      </c>
      <c r="E1020" s="452">
        <v>1093</v>
      </c>
      <c r="F1020" s="109">
        <f>E1020*C1020</f>
        <v>4372</v>
      </c>
      <c r="G1020" s="453">
        <f>'Measurement sheet'!F769</f>
        <v>3</v>
      </c>
      <c r="H1020" s="438">
        <f>ROUND(G1020,2)</f>
        <v>3</v>
      </c>
      <c r="I1020" s="438">
        <f>H1020*E1020</f>
        <v>3279</v>
      </c>
      <c r="J1020" s="438">
        <f>G1020-C1020</f>
        <v>-1</v>
      </c>
      <c r="K1020" s="438">
        <f>I1020-F1020</f>
        <v>-1093</v>
      </c>
      <c r="L1020" s="438">
        <f>IF(F1020&lt;I1020,(I1020-F1020),0)</f>
        <v>0</v>
      </c>
      <c r="M1020" s="438">
        <f>IF(F1020&gt;I1020,(I1020-F1020),0)</f>
        <v>-1093</v>
      </c>
      <c r="N1020" s="438">
        <f>M1020+L1020</f>
        <v>-1093</v>
      </c>
      <c r="O1020" s="368"/>
    </row>
    <row r="1021" spans="1:15" s="57" customFormat="1">
      <c r="A1021" s="238" t="s">
        <v>645</v>
      </c>
      <c r="B1021" s="214" t="s">
        <v>646</v>
      </c>
      <c r="C1021" s="423">
        <v>4</v>
      </c>
      <c r="D1021" s="212" t="s">
        <v>621</v>
      </c>
      <c r="E1021" s="452">
        <v>1622</v>
      </c>
      <c r="F1021" s="109">
        <f>E1021*C1021</f>
        <v>6488</v>
      </c>
      <c r="G1021" s="453">
        <f>'Measurement sheet'!F770</f>
        <v>2</v>
      </c>
      <c r="H1021" s="438">
        <f>ROUND(G1021,2)</f>
        <v>2</v>
      </c>
      <c r="I1021" s="438">
        <f>H1021*E1021</f>
        <v>3244</v>
      </c>
      <c r="J1021" s="438">
        <f>G1021-C1021</f>
        <v>-2</v>
      </c>
      <c r="K1021" s="438">
        <f>I1021-F1021</f>
        <v>-3244</v>
      </c>
      <c r="L1021" s="438">
        <f>IF(F1021&lt;I1021,(I1021-F1021),0)</f>
        <v>0</v>
      </c>
      <c r="M1021" s="438">
        <f>IF(F1021&gt;I1021,(I1021-F1021),0)</f>
        <v>-3244</v>
      </c>
      <c r="N1021" s="438">
        <f>M1021+L1021</f>
        <v>-3244</v>
      </c>
      <c r="O1021" s="368"/>
    </row>
    <row r="1022" spans="1:15" s="57" customFormat="1">
      <c r="A1022" s="238" t="s">
        <v>647</v>
      </c>
      <c r="B1022" s="214" t="s">
        <v>648</v>
      </c>
      <c r="C1022" s="423">
        <v>6</v>
      </c>
      <c r="D1022" s="212" t="s">
        <v>621</v>
      </c>
      <c r="E1022" s="452">
        <v>2509</v>
      </c>
      <c r="F1022" s="109">
        <f>E1022*C1022</f>
        <v>15054</v>
      </c>
      <c r="G1022" s="453">
        <f>'Measurement sheet'!F771</f>
        <v>4</v>
      </c>
      <c r="H1022" s="438">
        <f>ROUND(G1022,2)</f>
        <v>4</v>
      </c>
      <c r="I1022" s="438">
        <f>H1022*E1022</f>
        <v>10036</v>
      </c>
      <c r="J1022" s="438">
        <f>G1022-C1022</f>
        <v>-2</v>
      </c>
      <c r="K1022" s="438">
        <f>I1022-F1022</f>
        <v>-5018</v>
      </c>
      <c r="L1022" s="438">
        <f>IF(F1022&lt;I1022,(I1022-F1022),0)</f>
        <v>0</v>
      </c>
      <c r="M1022" s="438">
        <f>IF(F1022&gt;I1022,(I1022-F1022),0)</f>
        <v>-5018</v>
      </c>
      <c r="N1022" s="438">
        <f>M1022+L1022</f>
        <v>-5018</v>
      </c>
      <c r="O1022" s="368"/>
    </row>
    <row r="1023" spans="1:15" s="57" customFormat="1" ht="28.8">
      <c r="A1023" s="238" t="s">
        <v>649</v>
      </c>
      <c r="B1023" s="214" t="s">
        <v>650</v>
      </c>
      <c r="C1023" s="423">
        <v>5</v>
      </c>
      <c r="D1023" s="212" t="s">
        <v>621</v>
      </c>
      <c r="E1023" s="452">
        <v>3276</v>
      </c>
      <c r="F1023" s="109">
        <f>E1023*C1023</f>
        <v>16380</v>
      </c>
      <c r="G1023" s="453">
        <f>'Measurement sheet'!F772</f>
        <v>6</v>
      </c>
      <c r="H1023" s="438">
        <f>ROUND(G1023,2)</f>
        <v>6</v>
      </c>
      <c r="I1023" s="438">
        <f>H1023*E1023</f>
        <v>19656</v>
      </c>
      <c r="J1023" s="438">
        <f>G1023-C1023</f>
        <v>1</v>
      </c>
      <c r="K1023" s="438">
        <f>I1023-F1023</f>
        <v>3276</v>
      </c>
      <c r="L1023" s="438">
        <f>IF(F1023&lt;I1023,(I1023-F1023),0)</f>
        <v>3276</v>
      </c>
      <c r="M1023" s="438">
        <f>IF(F1023&gt;I1023,(I1023-F1023),0)</f>
        <v>0</v>
      </c>
      <c r="N1023" s="438">
        <f>M1023+L1023</f>
        <v>3276</v>
      </c>
      <c r="O1023" s="478" t="s">
        <v>1610</v>
      </c>
    </row>
    <row r="1024" spans="1:15" s="57" customFormat="1">
      <c r="A1024" s="209"/>
      <c r="B1024" s="237"/>
      <c r="C1024" s="427"/>
      <c r="D1024" s="225"/>
      <c r="E1024" s="427"/>
      <c r="F1024" s="427"/>
      <c r="G1024" s="109"/>
      <c r="H1024" s="427"/>
      <c r="I1024" s="427"/>
      <c r="J1024" s="427"/>
      <c r="K1024" s="368"/>
      <c r="L1024" s="368"/>
      <c r="M1024" s="368"/>
      <c r="N1024" s="368"/>
      <c r="O1024" s="368"/>
    </row>
    <row r="1025" spans="1:15" s="57" customFormat="1">
      <c r="A1025" s="366"/>
      <c r="B1025" s="365" t="s">
        <v>651</v>
      </c>
      <c r="C1025" s="425"/>
      <c r="D1025" s="367"/>
      <c r="E1025" s="425"/>
      <c r="F1025" s="425">
        <f>SUM(F1002:F1024)</f>
        <v>98160</v>
      </c>
      <c r="G1025" s="425"/>
      <c r="H1025" s="425"/>
      <c r="I1025" s="425">
        <f>SUM(I1002:I1024)</f>
        <v>87241</v>
      </c>
      <c r="J1025" s="425"/>
      <c r="K1025" s="425">
        <f>SUM(K1002:K1024)</f>
        <v>-10919</v>
      </c>
      <c r="L1025" s="425">
        <f>SUM(L1002:L1024)</f>
        <v>12676</v>
      </c>
      <c r="M1025" s="425">
        <f>SUM(M1002:M1024)</f>
        <v>-23595</v>
      </c>
      <c r="N1025" s="425">
        <f>SUM(N1002:N1024)</f>
        <v>-10919</v>
      </c>
      <c r="O1025" s="425"/>
    </row>
    <row r="1026" spans="1:15" s="57" customFormat="1">
      <c r="A1026" s="209"/>
      <c r="B1026" s="210"/>
      <c r="C1026" s="427"/>
      <c r="D1026" s="225"/>
      <c r="E1026" s="427"/>
      <c r="F1026" s="427"/>
      <c r="G1026" s="109"/>
      <c r="H1026" s="427"/>
      <c r="I1026" s="427"/>
      <c r="J1026" s="427"/>
      <c r="K1026" s="368"/>
      <c r="L1026" s="368"/>
      <c r="M1026" s="368"/>
      <c r="N1026" s="368"/>
      <c r="O1026" s="368"/>
    </row>
    <row r="1027" spans="1:15" s="57" customFormat="1">
      <c r="A1027" s="325" t="s">
        <v>302</v>
      </c>
      <c r="B1027" s="87" t="s">
        <v>652</v>
      </c>
      <c r="C1027" s="421"/>
      <c r="D1027" s="88"/>
      <c r="E1027" s="421"/>
      <c r="F1027" s="421"/>
      <c r="G1027" s="421"/>
      <c r="H1027" s="421"/>
      <c r="I1027" s="421"/>
      <c r="J1027" s="421"/>
      <c r="K1027" s="421"/>
      <c r="L1027" s="421"/>
      <c r="M1027" s="421"/>
      <c r="N1027" s="421"/>
      <c r="O1027" s="421"/>
    </row>
    <row r="1028" spans="1:15" s="57" customFormat="1">
      <c r="A1028" s="209"/>
      <c r="B1028" s="214"/>
      <c r="C1028" s="422"/>
      <c r="D1028" s="212"/>
      <c r="E1028" s="422"/>
      <c r="F1028" s="422"/>
      <c r="G1028" s="109"/>
      <c r="H1028" s="422"/>
      <c r="I1028" s="422"/>
      <c r="J1028" s="422"/>
      <c r="K1028" s="368"/>
      <c r="L1028" s="368"/>
      <c r="M1028" s="368"/>
      <c r="N1028" s="368"/>
      <c r="O1028" s="368"/>
    </row>
    <row r="1029" spans="1:15" s="57" customFormat="1">
      <c r="A1029" s="209">
        <v>12.1</v>
      </c>
      <c r="B1029" s="240" t="s">
        <v>653</v>
      </c>
      <c r="C1029" s="422"/>
      <c r="D1029" s="212"/>
      <c r="E1029" s="422"/>
      <c r="F1029" s="422"/>
      <c r="G1029" s="422"/>
      <c r="H1029" s="422"/>
      <c r="I1029" s="422"/>
      <c r="J1029" s="422"/>
      <c r="K1029" s="368"/>
      <c r="L1029" s="368"/>
      <c r="M1029" s="368"/>
      <c r="N1029" s="368"/>
      <c r="O1029" s="368"/>
    </row>
    <row r="1030" spans="1:15" s="57" customFormat="1" ht="39.6">
      <c r="A1030" s="209"/>
      <c r="B1030" s="241" t="s">
        <v>654</v>
      </c>
      <c r="C1030" s="422"/>
      <c r="D1030" s="212"/>
      <c r="E1030" s="422"/>
      <c r="F1030" s="422"/>
      <c r="G1030" s="422"/>
      <c r="H1030" s="422"/>
      <c r="I1030" s="422"/>
      <c r="J1030" s="422"/>
      <c r="K1030" s="368"/>
      <c r="L1030" s="368"/>
      <c r="M1030" s="368"/>
      <c r="N1030" s="368"/>
      <c r="O1030" s="368"/>
    </row>
    <row r="1031" spans="1:15" s="57" customFormat="1" ht="105.6">
      <c r="A1031" s="209" t="s">
        <v>655</v>
      </c>
      <c r="B1031" s="242" t="s">
        <v>656</v>
      </c>
      <c r="C1031" s="422"/>
      <c r="D1031" s="212"/>
      <c r="E1031" s="422"/>
      <c r="F1031" s="422"/>
      <c r="G1031" s="422"/>
      <c r="H1031" s="422"/>
      <c r="I1031" s="422"/>
      <c r="J1031" s="422"/>
      <c r="K1031" s="368"/>
      <c r="L1031" s="368"/>
      <c r="M1031" s="368"/>
      <c r="N1031" s="368"/>
      <c r="O1031" s="368"/>
    </row>
    <row r="1032" spans="1:15" s="57" customFormat="1">
      <c r="A1032" s="209"/>
      <c r="B1032" s="348" t="s">
        <v>657</v>
      </c>
      <c r="C1032" s="422"/>
      <c r="D1032" s="212"/>
      <c r="E1032" s="422"/>
      <c r="F1032" s="422"/>
      <c r="G1032" s="422"/>
      <c r="H1032" s="422"/>
      <c r="I1032" s="422"/>
      <c r="J1032" s="422"/>
      <c r="K1032" s="368"/>
      <c r="L1032" s="368"/>
      <c r="M1032" s="368"/>
      <c r="N1032" s="368"/>
      <c r="O1032" s="368"/>
    </row>
    <row r="1033" spans="1:15" s="57" customFormat="1">
      <c r="A1033" s="209" t="s">
        <v>16</v>
      </c>
      <c r="B1033" s="244" t="s">
        <v>658</v>
      </c>
      <c r="C1033" s="423">
        <v>40</v>
      </c>
      <c r="D1033" s="212" t="s">
        <v>522</v>
      </c>
      <c r="E1033" s="452">
        <v>2118</v>
      </c>
      <c r="F1033" s="109">
        <f>E1033*C1033</f>
        <v>84720</v>
      </c>
      <c r="G1033" s="453">
        <f>'Measurement sheet'!F779</f>
        <v>34</v>
      </c>
      <c r="H1033" s="438">
        <f>ROUND(G1033,2)</f>
        <v>34</v>
      </c>
      <c r="I1033" s="438">
        <f>H1033*E1033</f>
        <v>72012</v>
      </c>
      <c r="J1033" s="438">
        <f>G1033-C1033</f>
        <v>-6</v>
      </c>
      <c r="K1033" s="438">
        <f>I1033-F1033</f>
        <v>-12708</v>
      </c>
      <c r="L1033" s="438">
        <f>IF(F1033&lt;I1033,(I1033-F1033),0)</f>
        <v>0</v>
      </c>
      <c r="M1033" s="438">
        <f>IF(F1033&gt;I1033,(I1033-F1033),0)</f>
        <v>-12708</v>
      </c>
      <c r="N1033" s="438">
        <f>M1033+L1033</f>
        <v>-12708</v>
      </c>
      <c r="O1033" s="368"/>
    </row>
    <row r="1034" spans="1:15" s="57" customFormat="1">
      <c r="A1034" s="209" t="s">
        <v>19</v>
      </c>
      <c r="B1034" s="244" t="s">
        <v>659</v>
      </c>
      <c r="C1034" s="423"/>
      <c r="D1034" s="212" t="s">
        <v>522</v>
      </c>
      <c r="E1034" s="452">
        <v>2118</v>
      </c>
      <c r="F1034" s="109">
        <f>E1034*C1034</f>
        <v>0</v>
      </c>
      <c r="G1034" s="451"/>
      <c r="H1034" s="438">
        <f>ROUND(G1034,2)</f>
        <v>0</v>
      </c>
      <c r="I1034" s="438">
        <f>H1034*E1034</f>
        <v>0</v>
      </c>
      <c r="J1034" s="438">
        <f>G1034-C1034</f>
        <v>0</v>
      </c>
      <c r="K1034" s="438">
        <f>I1034-F1034</f>
        <v>0</v>
      </c>
      <c r="L1034" s="438">
        <f>IF(F1034&lt;I1034,(I1034-F1034),0)</f>
        <v>0</v>
      </c>
      <c r="M1034" s="438">
        <f>IF(F1034&gt;I1034,(I1034-F1034),0)</f>
        <v>0</v>
      </c>
      <c r="N1034" s="438">
        <f>M1034+L1034</f>
        <v>0</v>
      </c>
      <c r="O1034" s="368"/>
    </row>
    <row r="1035" spans="1:15" s="57" customFormat="1">
      <c r="A1035" s="209" t="s">
        <v>21</v>
      </c>
      <c r="B1035" s="244" t="s">
        <v>660</v>
      </c>
      <c r="C1035" s="423"/>
      <c r="D1035" s="212" t="s">
        <v>522</v>
      </c>
      <c r="E1035" s="452">
        <v>2118</v>
      </c>
      <c r="F1035" s="109">
        <f>E1035*C1035</f>
        <v>0</v>
      </c>
      <c r="G1035" s="451"/>
      <c r="H1035" s="438">
        <f>ROUND(G1035,2)</f>
        <v>0</v>
      </c>
      <c r="I1035" s="438">
        <f>H1035*E1035</f>
        <v>0</v>
      </c>
      <c r="J1035" s="438">
        <f>G1035-C1035</f>
        <v>0</v>
      </c>
      <c r="K1035" s="438">
        <f>I1035-F1035</f>
        <v>0</v>
      </c>
      <c r="L1035" s="438">
        <f>IF(F1035&lt;I1035,(I1035-F1035),0)</f>
        <v>0</v>
      </c>
      <c r="M1035" s="438">
        <f>IF(F1035&gt;I1035,(I1035-F1035),0)</f>
        <v>0</v>
      </c>
      <c r="N1035" s="438">
        <f>M1035+L1035</f>
        <v>0</v>
      </c>
      <c r="O1035" s="368"/>
    </row>
    <row r="1036" spans="1:15" s="57" customFormat="1">
      <c r="A1036" s="209"/>
      <c r="B1036" s="244"/>
      <c r="C1036" s="422"/>
      <c r="D1036" s="212"/>
      <c r="E1036" s="422"/>
      <c r="F1036" s="422"/>
      <c r="G1036" s="109"/>
      <c r="H1036" s="422"/>
      <c r="I1036" s="422"/>
      <c r="J1036" s="422"/>
      <c r="K1036" s="368"/>
      <c r="L1036" s="368"/>
      <c r="M1036" s="368"/>
      <c r="N1036" s="368"/>
      <c r="O1036" s="368"/>
    </row>
    <row r="1037" spans="1:15" s="57" customFormat="1" ht="118.8">
      <c r="A1037" s="245" t="s">
        <v>661</v>
      </c>
      <c r="B1037" s="242" t="s">
        <v>662</v>
      </c>
      <c r="C1037" s="422"/>
      <c r="D1037" s="212"/>
      <c r="E1037" s="422"/>
      <c r="F1037" s="422"/>
      <c r="G1037" s="422"/>
      <c r="H1037" s="422"/>
      <c r="I1037" s="422"/>
      <c r="J1037" s="422"/>
      <c r="K1037" s="368"/>
      <c r="L1037" s="368"/>
      <c r="M1037" s="368"/>
      <c r="N1037" s="368"/>
      <c r="O1037" s="368"/>
    </row>
    <row r="1038" spans="1:15" s="57" customFormat="1">
      <c r="A1038" s="209"/>
      <c r="B1038" s="348" t="s">
        <v>657</v>
      </c>
      <c r="C1038" s="422"/>
      <c r="D1038" s="212"/>
      <c r="E1038" s="422"/>
      <c r="F1038" s="422"/>
      <c r="G1038" s="422"/>
      <c r="H1038" s="422"/>
      <c r="I1038" s="422"/>
      <c r="J1038" s="422"/>
      <c r="K1038" s="368"/>
      <c r="L1038" s="368"/>
      <c r="M1038" s="368"/>
      <c r="N1038" s="368"/>
      <c r="O1038" s="368"/>
    </row>
    <row r="1039" spans="1:15" s="57" customFormat="1" ht="28.8">
      <c r="A1039" s="209" t="s">
        <v>16</v>
      </c>
      <c r="B1039" s="244" t="s">
        <v>663</v>
      </c>
      <c r="C1039" s="423">
        <v>35</v>
      </c>
      <c r="D1039" s="212" t="s">
        <v>522</v>
      </c>
      <c r="E1039" s="452">
        <v>922</v>
      </c>
      <c r="F1039" s="109">
        <f>E1039*C1039</f>
        <v>32270</v>
      </c>
      <c r="G1039" s="453">
        <f>'Measurement sheet'!F782</f>
        <v>50</v>
      </c>
      <c r="H1039" s="438">
        <f>ROUND(G1039,2)</f>
        <v>50</v>
      </c>
      <c r="I1039" s="438">
        <f>H1039*E1039</f>
        <v>46100</v>
      </c>
      <c r="J1039" s="438">
        <f>G1039-C1039</f>
        <v>15</v>
      </c>
      <c r="K1039" s="438">
        <f>I1039-F1039</f>
        <v>13830</v>
      </c>
      <c r="L1039" s="438">
        <f>IF(F1039&lt;I1039,(I1039-F1039),0)</f>
        <v>13830</v>
      </c>
      <c r="M1039" s="438">
        <f>IF(F1039&gt;I1039,(I1039-F1039),0)</f>
        <v>0</v>
      </c>
      <c r="N1039" s="438">
        <f>M1039+L1039</f>
        <v>13830</v>
      </c>
      <c r="O1039" s="478" t="s">
        <v>1610</v>
      </c>
    </row>
    <row r="1040" spans="1:15" s="57" customFormat="1">
      <c r="A1040" s="209" t="s">
        <v>19</v>
      </c>
      <c r="B1040" s="244" t="s">
        <v>664</v>
      </c>
      <c r="C1040" s="423"/>
      <c r="D1040" s="212" t="s">
        <v>522</v>
      </c>
      <c r="E1040" s="452">
        <v>833</v>
      </c>
      <c r="F1040" s="109">
        <f>E1040*C1040</f>
        <v>0</v>
      </c>
      <c r="G1040" s="451"/>
      <c r="H1040" s="438">
        <f>ROUND(G1040,2)</f>
        <v>0</v>
      </c>
      <c r="I1040" s="438">
        <f>H1040*E1040</f>
        <v>0</v>
      </c>
      <c r="J1040" s="438">
        <f>G1040-C1040</f>
        <v>0</v>
      </c>
      <c r="K1040" s="438">
        <f>I1040-F1040</f>
        <v>0</v>
      </c>
      <c r="L1040" s="438">
        <f>IF(F1040&lt;I1040,(I1040-F1040),0)</f>
        <v>0</v>
      </c>
      <c r="M1040" s="438">
        <f>IF(F1040&gt;I1040,(I1040-F1040),0)</f>
        <v>0</v>
      </c>
      <c r="N1040" s="438">
        <f>M1040+L1040</f>
        <v>0</v>
      </c>
      <c r="O1040" s="368"/>
    </row>
    <row r="1041" spans="1:15" s="57" customFormat="1">
      <c r="A1041" s="209" t="s">
        <v>21</v>
      </c>
      <c r="B1041" s="244" t="s">
        <v>665</v>
      </c>
      <c r="C1041" s="423"/>
      <c r="D1041" s="212" t="s">
        <v>522</v>
      </c>
      <c r="E1041" s="452">
        <v>715</v>
      </c>
      <c r="F1041" s="109">
        <f>E1041*C1041</f>
        <v>0</v>
      </c>
      <c r="G1041" s="451"/>
      <c r="H1041" s="438">
        <f>ROUND(G1041,2)</f>
        <v>0</v>
      </c>
      <c r="I1041" s="438">
        <f>H1041*E1041</f>
        <v>0</v>
      </c>
      <c r="J1041" s="438">
        <f>G1041-C1041</f>
        <v>0</v>
      </c>
      <c r="K1041" s="438">
        <f>I1041-F1041</f>
        <v>0</v>
      </c>
      <c r="L1041" s="438">
        <f>IF(F1041&lt;I1041,(I1041-F1041),0)</f>
        <v>0</v>
      </c>
      <c r="M1041" s="438">
        <f>IF(F1041&gt;I1041,(I1041-F1041),0)</f>
        <v>0</v>
      </c>
      <c r="N1041" s="438">
        <f>M1041+L1041</f>
        <v>0</v>
      </c>
      <c r="O1041" s="368"/>
    </row>
    <row r="1042" spans="1:15" s="57" customFormat="1">
      <c r="A1042" s="209"/>
      <c r="B1042" s="244"/>
      <c r="C1042" s="422"/>
      <c r="D1042" s="212"/>
      <c r="E1042" s="422"/>
      <c r="F1042" s="422"/>
      <c r="G1042" s="109"/>
      <c r="H1042" s="422"/>
      <c r="I1042" s="422"/>
      <c r="J1042" s="422"/>
      <c r="K1042" s="368"/>
      <c r="L1042" s="368"/>
      <c r="M1042" s="368"/>
      <c r="N1042" s="368"/>
      <c r="O1042" s="368"/>
    </row>
    <row r="1043" spans="1:15" s="57" customFormat="1" ht="118.8">
      <c r="A1043" s="209" t="s">
        <v>666</v>
      </c>
      <c r="B1043" s="242" t="s">
        <v>667</v>
      </c>
      <c r="C1043" s="422"/>
      <c r="D1043" s="212"/>
      <c r="E1043" s="422"/>
      <c r="F1043" s="422"/>
      <c r="G1043" s="422"/>
      <c r="H1043" s="422"/>
      <c r="I1043" s="422"/>
      <c r="J1043" s="422"/>
      <c r="K1043" s="368"/>
      <c r="L1043" s="368"/>
      <c r="M1043" s="368"/>
      <c r="N1043" s="368"/>
      <c r="O1043" s="368"/>
    </row>
    <row r="1044" spans="1:15" s="57" customFormat="1">
      <c r="A1044" s="209"/>
      <c r="B1044" s="348" t="s">
        <v>657</v>
      </c>
      <c r="C1044" s="422"/>
      <c r="D1044" s="212"/>
      <c r="E1044" s="422"/>
      <c r="F1044" s="422"/>
      <c r="G1044" s="422"/>
      <c r="H1044" s="422"/>
      <c r="I1044" s="422"/>
      <c r="J1044" s="422"/>
      <c r="K1044" s="368"/>
      <c r="L1044" s="368"/>
      <c r="M1044" s="368"/>
      <c r="N1044" s="368"/>
      <c r="O1044" s="368"/>
    </row>
    <row r="1045" spans="1:15" s="57" customFormat="1">
      <c r="A1045" s="209" t="s">
        <v>16</v>
      </c>
      <c r="B1045" s="244" t="s">
        <v>668</v>
      </c>
      <c r="C1045" s="423"/>
      <c r="D1045" s="212" t="s">
        <v>522</v>
      </c>
      <c r="E1045" s="452">
        <v>922</v>
      </c>
      <c r="F1045" s="109">
        <f>E1045*C1045</f>
        <v>0</v>
      </c>
      <c r="G1045" s="451"/>
      <c r="H1045" s="438">
        <f>ROUND(G1045,2)</f>
        <v>0</v>
      </c>
      <c r="I1045" s="438">
        <f>H1045*E1045</f>
        <v>0</v>
      </c>
      <c r="J1045" s="438">
        <f>G1045-C1045</f>
        <v>0</v>
      </c>
      <c r="K1045" s="438">
        <f>I1045-F1045</f>
        <v>0</v>
      </c>
      <c r="L1045" s="438">
        <f>IF(F1045&lt;I1045,(I1045-F1045),0)</f>
        <v>0</v>
      </c>
      <c r="M1045" s="438">
        <f>IF(F1045&gt;I1045,(I1045-F1045),0)</f>
        <v>0</v>
      </c>
      <c r="N1045" s="438">
        <f>M1045+L1045</f>
        <v>0</v>
      </c>
      <c r="O1045" s="368"/>
    </row>
    <row r="1046" spans="1:15" s="57" customFormat="1">
      <c r="A1046" s="209" t="s">
        <v>19</v>
      </c>
      <c r="B1046" s="244" t="s">
        <v>669</v>
      </c>
      <c r="C1046" s="423"/>
      <c r="D1046" s="212" t="s">
        <v>522</v>
      </c>
      <c r="E1046" s="452">
        <v>833</v>
      </c>
      <c r="F1046" s="109">
        <f>E1046*C1046</f>
        <v>0</v>
      </c>
      <c r="G1046" s="451"/>
      <c r="H1046" s="438">
        <f>ROUND(G1046,2)</f>
        <v>0</v>
      </c>
      <c r="I1046" s="438">
        <f>H1046*E1046</f>
        <v>0</v>
      </c>
      <c r="J1046" s="438">
        <f>G1046-C1046</f>
        <v>0</v>
      </c>
      <c r="K1046" s="438">
        <f>I1046-F1046</f>
        <v>0</v>
      </c>
      <c r="L1046" s="438">
        <f>IF(F1046&lt;I1046,(I1046-F1046),0)</f>
        <v>0</v>
      </c>
      <c r="M1046" s="438">
        <f>IF(F1046&gt;I1046,(I1046-F1046),0)</f>
        <v>0</v>
      </c>
      <c r="N1046" s="438">
        <f>M1046+L1046</f>
        <v>0</v>
      </c>
      <c r="O1046" s="368"/>
    </row>
    <row r="1047" spans="1:15" s="57" customFormat="1">
      <c r="A1047" s="209" t="s">
        <v>21</v>
      </c>
      <c r="B1047" s="244" t="s">
        <v>670</v>
      </c>
      <c r="C1047" s="423"/>
      <c r="D1047" s="212" t="s">
        <v>522</v>
      </c>
      <c r="E1047" s="452">
        <v>717</v>
      </c>
      <c r="F1047" s="109">
        <f>E1047*C1047</f>
        <v>0</v>
      </c>
      <c r="G1047" s="451"/>
      <c r="H1047" s="438">
        <f>ROUND(G1047,2)</f>
        <v>0</v>
      </c>
      <c r="I1047" s="438">
        <f>H1047*E1047</f>
        <v>0</v>
      </c>
      <c r="J1047" s="438">
        <f>G1047-C1047</f>
        <v>0</v>
      </c>
      <c r="K1047" s="438">
        <f>I1047-F1047</f>
        <v>0</v>
      </c>
      <c r="L1047" s="438">
        <f>IF(F1047&lt;I1047,(I1047-F1047),0)</f>
        <v>0</v>
      </c>
      <c r="M1047" s="438">
        <f>IF(F1047&gt;I1047,(I1047-F1047),0)</f>
        <v>0</v>
      </c>
      <c r="N1047" s="438">
        <f>M1047+L1047</f>
        <v>0</v>
      </c>
      <c r="O1047" s="368"/>
    </row>
    <row r="1048" spans="1:15" s="57" customFormat="1">
      <c r="A1048" s="209"/>
      <c r="B1048" s="244"/>
      <c r="C1048" s="422"/>
      <c r="D1048" s="212"/>
      <c r="E1048" s="422"/>
      <c r="F1048" s="422"/>
      <c r="G1048" s="109"/>
      <c r="H1048" s="422"/>
      <c r="I1048" s="422"/>
      <c r="J1048" s="422"/>
      <c r="K1048" s="368"/>
      <c r="L1048" s="368"/>
      <c r="M1048" s="368"/>
      <c r="N1048" s="368"/>
      <c r="O1048" s="368"/>
    </row>
    <row r="1049" spans="1:15" s="57" customFormat="1" ht="66">
      <c r="A1049" s="209" t="s">
        <v>671</v>
      </c>
      <c r="B1049" s="242" t="s">
        <v>672</v>
      </c>
      <c r="C1049" s="422"/>
      <c r="D1049" s="212"/>
      <c r="E1049" s="422"/>
      <c r="F1049" s="422"/>
      <c r="G1049" s="422"/>
      <c r="H1049" s="422"/>
      <c r="I1049" s="422"/>
      <c r="J1049" s="422"/>
      <c r="K1049" s="368"/>
      <c r="L1049" s="368"/>
      <c r="M1049" s="368"/>
      <c r="N1049" s="368"/>
      <c r="O1049" s="368"/>
    </row>
    <row r="1050" spans="1:15" s="57" customFormat="1">
      <c r="A1050" s="209"/>
      <c r="B1050" s="348" t="s">
        <v>657</v>
      </c>
      <c r="C1050" s="422"/>
      <c r="D1050" s="212"/>
      <c r="E1050" s="422"/>
      <c r="F1050" s="422"/>
      <c r="G1050" s="422"/>
      <c r="H1050" s="422"/>
      <c r="I1050" s="422"/>
      <c r="J1050" s="422"/>
      <c r="K1050" s="368"/>
      <c r="L1050" s="368"/>
      <c r="M1050" s="368"/>
      <c r="N1050" s="368"/>
      <c r="O1050" s="368"/>
    </row>
    <row r="1051" spans="1:15" s="57" customFormat="1">
      <c r="A1051" s="209" t="s">
        <v>16</v>
      </c>
      <c r="B1051" s="244" t="s">
        <v>673</v>
      </c>
      <c r="C1051" s="423"/>
      <c r="D1051" s="212" t="s">
        <v>522</v>
      </c>
      <c r="E1051" s="452">
        <v>3841</v>
      </c>
      <c r="F1051" s="109">
        <f>E1051*C1051</f>
        <v>0</v>
      </c>
      <c r="G1051" s="451"/>
      <c r="H1051" s="438">
        <f>ROUND(G1051,2)</f>
        <v>0</v>
      </c>
      <c r="I1051" s="438">
        <f>H1051*E1051</f>
        <v>0</v>
      </c>
      <c r="J1051" s="438">
        <f>G1051-C1051</f>
        <v>0</v>
      </c>
      <c r="K1051" s="438">
        <f>I1051-F1051</f>
        <v>0</v>
      </c>
      <c r="L1051" s="438">
        <f>IF(F1051&lt;I1051,(I1051-F1051),0)</f>
        <v>0</v>
      </c>
      <c r="M1051" s="438">
        <f>IF(F1051&gt;I1051,(I1051-F1051),0)</f>
        <v>0</v>
      </c>
      <c r="N1051" s="438">
        <f>M1051+L1051</f>
        <v>0</v>
      </c>
      <c r="O1051" s="368"/>
    </row>
    <row r="1052" spans="1:15" s="57" customFormat="1">
      <c r="A1052" s="209"/>
      <c r="B1052" s="244"/>
      <c r="C1052" s="422"/>
      <c r="D1052" s="212"/>
      <c r="E1052" s="422"/>
      <c r="F1052" s="422"/>
      <c r="G1052" s="109"/>
      <c r="H1052" s="422"/>
      <c r="I1052" s="422"/>
      <c r="J1052" s="422"/>
      <c r="K1052" s="368"/>
      <c r="L1052" s="368"/>
      <c r="M1052" s="368"/>
      <c r="N1052" s="368"/>
      <c r="O1052" s="368"/>
    </row>
    <row r="1053" spans="1:15" s="57" customFormat="1" ht="66">
      <c r="A1053" s="209" t="s">
        <v>674</v>
      </c>
      <c r="B1053" s="242" t="s">
        <v>675</v>
      </c>
      <c r="C1053" s="422"/>
      <c r="D1053" s="212"/>
      <c r="E1053" s="422"/>
      <c r="F1053" s="422"/>
      <c r="G1053" s="422"/>
      <c r="H1053" s="422"/>
      <c r="I1053" s="422"/>
      <c r="J1053" s="422"/>
      <c r="K1053" s="368"/>
      <c r="L1053" s="368"/>
      <c r="M1053" s="368"/>
      <c r="N1053" s="368"/>
      <c r="O1053" s="368"/>
    </row>
    <row r="1054" spans="1:15" s="57" customFormat="1">
      <c r="A1054" s="209"/>
      <c r="B1054" s="348" t="s">
        <v>657</v>
      </c>
      <c r="C1054" s="422"/>
      <c r="D1054" s="212"/>
      <c r="E1054" s="422"/>
      <c r="F1054" s="422"/>
      <c r="G1054" s="422"/>
      <c r="H1054" s="422"/>
      <c r="I1054" s="422"/>
      <c r="J1054" s="422"/>
      <c r="K1054" s="368"/>
      <c r="L1054" s="368"/>
      <c r="M1054" s="368"/>
      <c r="N1054" s="368"/>
      <c r="O1054" s="368"/>
    </row>
    <row r="1055" spans="1:15" s="57" customFormat="1">
      <c r="A1055" s="209" t="s">
        <v>16</v>
      </c>
      <c r="B1055" s="244" t="s">
        <v>673</v>
      </c>
      <c r="C1055" s="423"/>
      <c r="D1055" s="212" t="s">
        <v>522</v>
      </c>
      <c r="E1055" s="452">
        <v>4258</v>
      </c>
      <c r="F1055" s="109">
        <f>E1055*C1055</f>
        <v>0</v>
      </c>
      <c r="G1055" s="451"/>
      <c r="H1055" s="438">
        <f>ROUND(G1055,2)</f>
        <v>0</v>
      </c>
      <c r="I1055" s="438">
        <f>H1055*E1055</f>
        <v>0</v>
      </c>
      <c r="J1055" s="438">
        <f>G1055-C1055</f>
        <v>0</v>
      </c>
      <c r="K1055" s="438">
        <f>I1055-F1055</f>
        <v>0</v>
      </c>
      <c r="L1055" s="438">
        <f>IF(F1055&lt;I1055,(I1055-F1055),0)</f>
        <v>0</v>
      </c>
      <c r="M1055" s="438">
        <f>IF(F1055&gt;I1055,(I1055-F1055),0)</f>
        <v>0</v>
      </c>
      <c r="N1055" s="438">
        <f>M1055+L1055</f>
        <v>0</v>
      </c>
      <c r="O1055" s="368"/>
    </row>
    <row r="1056" spans="1:15" s="57" customFormat="1">
      <c r="A1056" s="209"/>
      <c r="B1056" s="244"/>
      <c r="C1056" s="422"/>
      <c r="D1056" s="212"/>
      <c r="E1056" s="422"/>
      <c r="F1056" s="422"/>
      <c r="G1056" s="109"/>
      <c r="H1056" s="422"/>
      <c r="I1056" s="422"/>
      <c r="J1056" s="422"/>
      <c r="K1056" s="368"/>
      <c r="L1056" s="368"/>
      <c r="M1056" s="368"/>
      <c r="N1056" s="368"/>
      <c r="O1056" s="368"/>
    </row>
    <row r="1057" spans="1:15" s="57" customFormat="1" ht="39.6">
      <c r="A1057" s="209" t="s">
        <v>676</v>
      </c>
      <c r="B1057" s="242" t="s">
        <v>677</v>
      </c>
      <c r="C1057" s="422"/>
      <c r="D1057" s="212"/>
      <c r="E1057" s="422"/>
      <c r="F1057" s="422"/>
      <c r="G1057" s="422"/>
      <c r="H1057" s="422"/>
      <c r="I1057" s="422"/>
      <c r="J1057" s="422"/>
      <c r="K1057" s="368"/>
      <c r="L1057" s="368"/>
      <c r="M1057" s="368"/>
      <c r="N1057" s="368"/>
      <c r="O1057" s="368"/>
    </row>
    <row r="1058" spans="1:15" s="57" customFormat="1">
      <c r="A1058" s="209"/>
      <c r="B1058" s="348" t="s">
        <v>678</v>
      </c>
      <c r="C1058" s="422"/>
      <c r="D1058" s="212"/>
      <c r="E1058" s="422"/>
      <c r="F1058" s="422"/>
      <c r="G1058" s="422"/>
      <c r="H1058" s="422"/>
      <c r="I1058" s="422"/>
      <c r="J1058" s="422"/>
      <c r="K1058" s="368"/>
      <c r="L1058" s="368"/>
      <c r="M1058" s="368"/>
      <c r="N1058" s="368"/>
      <c r="O1058" s="368"/>
    </row>
    <row r="1059" spans="1:15" s="57" customFormat="1">
      <c r="A1059" s="209" t="s">
        <v>16</v>
      </c>
      <c r="B1059" s="244" t="s">
        <v>679</v>
      </c>
      <c r="C1059" s="423"/>
      <c r="D1059" s="212" t="s">
        <v>522</v>
      </c>
      <c r="E1059" s="452">
        <v>466</v>
      </c>
      <c r="F1059" s="109">
        <f>E1059*C1059</f>
        <v>0</v>
      </c>
      <c r="G1059" s="451"/>
      <c r="H1059" s="438">
        <f>ROUND(G1059,2)</f>
        <v>0</v>
      </c>
      <c r="I1059" s="438">
        <f>H1059*E1059</f>
        <v>0</v>
      </c>
      <c r="J1059" s="438">
        <f>G1059-C1059</f>
        <v>0</v>
      </c>
      <c r="K1059" s="438">
        <f>I1059-F1059</f>
        <v>0</v>
      </c>
      <c r="L1059" s="438">
        <f>IF(F1059&lt;I1059,(I1059-F1059),0)</f>
        <v>0</v>
      </c>
      <c r="M1059" s="438">
        <f>IF(F1059&gt;I1059,(I1059-F1059),0)</f>
        <v>0</v>
      </c>
      <c r="N1059" s="438">
        <f>M1059+L1059</f>
        <v>0</v>
      </c>
      <c r="O1059" s="368"/>
    </row>
    <row r="1060" spans="1:15" s="57" customFormat="1">
      <c r="A1060" s="209" t="s">
        <v>19</v>
      </c>
      <c r="B1060" s="244" t="s">
        <v>680</v>
      </c>
      <c r="C1060" s="423">
        <v>15</v>
      </c>
      <c r="D1060" s="212" t="s">
        <v>522</v>
      </c>
      <c r="E1060" s="452">
        <v>542</v>
      </c>
      <c r="F1060" s="109">
        <f>E1060*C1060</f>
        <v>8130</v>
      </c>
      <c r="G1060" s="453">
        <f>'Measurement sheet'!F783</f>
        <v>0</v>
      </c>
      <c r="H1060" s="438">
        <f>ROUND(G1060,2)</f>
        <v>0</v>
      </c>
      <c r="I1060" s="438">
        <f>H1060*E1060</f>
        <v>0</v>
      </c>
      <c r="J1060" s="438">
        <f>G1060-C1060</f>
        <v>-15</v>
      </c>
      <c r="K1060" s="438">
        <f>I1060-F1060</f>
        <v>-8130</v>
      </c>
      <c r="L1060" s="438">
        <f>IF(F1060&lt;I1060,(I1060-F1060),0)</f>
        <v>0</v>
      </c>
      <c r="M1060" s="438">
        <f>IF(F1060&gt;I1060,(I1060-F1060),0)</f>
        <v>-8130</v>
      </c>
      <c r="N1060" s="438">
        <f>M1060+L1060</f>
        <v>-8130</v>
      </c>
      <c r="O1060" s="368"/>
    </row>
    <row r="1061" spans="1:15" s="57" customFormat="1">
      <c r="A1061" s="209"/>
      <c r="B1061" s="348" t="s">
        <v>657</v>
      </c>
      <c r="C1061" s="422"/>
      <c r="D1061" s="212"/>
      <c r="E1061" s="422"/>
      <c r="F1061" s="422"/>
      <c r="G1061" s="422"/>
      <c r="H1061" s="422"/>
      <c r="I1061" s="422"/>
      <c r="J1061" s="422"/>
      <c r="K1061" s="368"/>
      <c r="L1061" s="368"/>
      <c r="M1061" s="368"/>
      <c r="N1061" s="368"/>
      <c r="O1061" s="368"/>
    </row>
    <row r="1062" spans="1:15" s="57" customFormat="1">
      <c r="A1062" s="209" t="s">
        <v>21</v>
      </c>
      <c r="B1062" s="244" t="s">
        <v>679</v>
      </c>
      <c r="C1062" s="423"/>
      <c r="D1062" s="212" t="s">
        <v>522</v>
      </c>
      <c r="E1062" s="452">
        <v>466</v>
      </c>
      <c r="F1062" s="109">
        <f>E1062*C1062</f>
        <v>0</v>
      </c>
      <c r="G1062" s="451"/>
      <c r="H1062" s="438">
        <f>ROUND(G1062,2)</f>
        <v>0</v>
      </c>
      <c r="I1062" s="438">
        <f>H1062*E1062</f>
        <v>0</v>
      </c>
      <c r="J1062" s="438">
        <f>G1062-C1062</f>
        <v>0</v>
      </c>
      <c r="K1062" s="438">
        <f>I1062-F1062</f>
        <v>0</v>
      </c>
      <c r="L1062" s="438">
        <f>IF(F1062&lt;I1062,(I1062-F1062),0)</f>
        <v>0</v>
      </c>
      <c r="M1062" s="438">
        <f>IF(F1062&gt;I1062,(I1062-F1062),0)</f>
        <v>0</v>
      </c>
      <c r="N1062" s="438">
        <f>M1062+L1062</f>
        <v>0</v>
      </c>
      <c r="O1062" s="368"/>
    </row>
    <row r="1063" spans="1:15" s="57" customFormat="1">
      <c r="A1063" s="209" t="s">
        <v>23</v>
      </c>
      <c r="B1063" s="244" t="s">
        <v>681</v>
      </c>
      <c r="C1063" s="423"/>
      <c r="D1063" s="212" t="s">
        <v>522</v>
      </c>
      <c r="E1063" s="452">
        <v>527</v>
      </c>
      <c r="F1063" s="109">
        <f>E1063*C1063</f>
        <v>0</v>
      </c>
      <c r="G1063" s="451"/>
      <c r="H1063" s="438">
        <f>ROUND(G1063,2)</f>
        <v>0</v>
      </c>
      <c r="I1063" s="438">
        <f>H1063*E1063</f>
        <v>0</v>
      </c>
      <c r="J1063" s="438">
        <f>G1063-C1063</f>
        <v>0</v>
      </c>
      <c r="K1063" s="438">
        <f>I1063-F1063</f>
        <v>0</v>
      </c>
      <c r="L1063" s="438">
        <f>IF(F1063&lt;I1063,(I1063-F1063),0)</f>
        <v>0</v>
      </c>
      <c r="M1063" s="438">
        <f>IF(F1063&gt;I1063,(I1063-F1063),0)</f>
        <v>0</v>
      </c>
      <c r="N1063" s="438">
        <f>M1063+L1063</f>
        <v>0</v>
      </c>
      <c r="O1063" s="368"/>
    </row>
    <row r="1064" spans="1:15" s="57" customFormat="1">
      <c r="A1064" s="209"/>
      <c r="B1064" s="214"/>
      <c r="C1064" s="422"/>
      <c r="D1064" s="212"/>
      <c r="E1064" s="422"/>
      <c r="F1064" s="422"/>
      <c r="G1064" s="109"/>
      <c r="H1064" s="422"/>
      <c r="I1064" s="422"/>
      <c r="J1064" s="422"/>
      <c r="K1064" s="368"/>
      <c r="L1064" s="368"/>
      <c r="M1064" s="368"/>
      <c r="N1064" s="368"/>
      <c r="O1064" s="368"/>
    </row>
    <row r="1065" spans="1:15" s="57" customFormat="1" ht="118.8">
      <c r="A1065" s="245" t="s">
        <v>682</v>
      </c>
      <c r="B1065" s="242" t="s">
        <v>683</v>
      </c>
      <c r="C1065" s="422"/>
      <c r="D1065" s="212"/>
      <c r="E1065" s="422"/>
      <c r="F1065" s="422"/>
      <c r="G1065" s="422"/>
      <c r="H1065" s="422"/>
      <c r="I1065" s="422"/>
      <c r="J1065" s="422"/>
      <c r="K1065" s="368"/>
      <c r="L1065" s="368"/>
      <c r="M1065" s="368"/>
      <c r="N1065" s="368"/>
      <c r="O1065" s="368"/>
    </row>
    <row r="1066" spans="1:15" s="57" customFormat="1">
      <c r="A1066" s="209"/>
      <c r="B1066" s="348" t="s">
        <v>657</v>
      </c>
      <c r="C1066" s="422"/>
      <c r="D1066" s="212"/>
      <c r="E1066" s="422"/>
      <c r="F1066" s="422"/>
      <c r="G1066" s="422"/>
      <c r="H1066" s="422"/>
      <c r="I1066" s="422"/>
      <c r="J1066" s="422"/>
      <c r="K1066" s="368"/>
      <c r="L1066" s="368"/>
      <c r="M1066" s="368"/>
      <c r="N1066" s="368"/>
      <c r="O1066" s="368"/>
    </row>
    <row r="1067" spans="1:15" s="57" customFormat="1">
      <c r="A1067" s="209" t="s">
        <v>16</v>
      </c>
      <c r="B1067" s="244" t="s">
        <v>663</v>
      </c>
      <c r="C1067" s="423"/>
      <c r="D1067" s="212" t="s">
        <v>522</v>
      </c>
      <c r="E1067" s="452">
        <v>988</v>
      </c>
      <c r="F1067" s="109">
        <f>E1067*C1067</f>
        <v>0</v>
      </c>
      <c r="G1067" s="451"/>
      <c r="H1067" s="438">
        <f>ROUND(G1067,2)</f>
        <v>0</v>
      </c>
      <c r="I1067" s="438">
        <f>H1067*E1067</f>
        <v>0</v>
      </c>
      <c r="J1067" s="438">
        <f>G1067-C1067</f>
        <v>0</v>
      </c>
      <c r="K1067" s="438">
        <f>I1067-F1067</f>
        <v>0</v>
      </c>
      <c r="L1067" s="438">
        <f>IF(F1067&lt;I1067,(I1067-F1067),0)</f>
        <v>0</v>
      </c>
      <c r="M1067" s="438">
        <f>IF(F1067&gt;I1067,(I1067-F1067),0)</f>
        <v>0</v>
      </c>
      <c r="N1067" s="438">
        <f>M1067+L1067</f>
        <v>0</v>
      </c>
      <c r="O1067" s="368"/>
    </row>
    <row r="1068" spans="1:15" s="57" customFormat="1">
      <c r="A1068" s="209" t="s">
        <v>19</v>
      </c>
      <c r="B1068" s="244" t="s">
        <v>664</v>
      </c>
      <c r="C1068" s="423"/>
      <c r="D1068" s="212" t="s">
        <v>522</v>
      </c>
      <c r="E1068" s="452">
        <v>876</v>
      </c>
      <c r="F1068" s="109">
        <f>E1068*C1068</f>
        <v>0</v>
      </c>
      <c r="G1068" s="451"/>
      <c r="H1068" s="438">
        <f>ROUND(G1068,2)</f>
        <v>0</v>
      </c>
      <c r="I1068" s="438">
        <f>H1068*E1068</f>
        <v>0</v>
      </c>
      <c r="J1068" s="438">
        <f>G1068-C1068</f>
        <v>0</v>
      </c>
      <c r="K1068" s="438">
        <f>I1068-F1068</f>
        <v>0</v>
      </c>
      <c r="L1068" s="438">
        <f>IF(F1068&lt;I1068,(I1068-F1068),0)</f>
        <v>0</v>
      </c>
      <c r="M1068" s="438">
        <f>IF(F1068&gt;I1068,(I1068-F1068),0)</f>
        <v>0</v>
      </c>
      <c r="N1068" s="438">
        <f>M1068+L1068</f>
        <v>0</v>
      </c>
      <c r="O1068" s="368"/>
    </row>
    <row r="1069" spans="1:15" s="57" customFormat="1">
      <c r="A1069" s="209" t="s">
        <v>21</v>
      </c>
      <c r="B1069" s="244" t="s">
        <v>665</v>
      </c>
      <c r="C1069" s="423"/>
      <c r="D1069" s="212" t="s">
        <v>522</v>
      </c>
      <c r="E1069" s="452">
        <v>716</v>
      </c>
      <c r="F1069" s="109">
        <f>E1069*C1069</f>
        <v>0</v>
      </c>
      <c r="G1069" s="451"/>
      <c r="H1069" s="438">
        <f>ROUND(G1069,2)</f>
        <v>0</v>
      </c>
      <c r="I1069" s="438">
        <f>H1069*E1069</f>
        <v>0</v>
      </c>
      <c r="J1069" s="438">
        <f>G1069-C1069</f>
        <v>0</v>
      </c>
      <c r="K1069" s="438">
        <f>I1069-F1069</f>
        <v>0</v>
      </c>
      <c r="L1069" s="438">
        <f>IF(F1069&lt;I1069,(I1069-F1069),0)</f>
        <v>0</v>
      </c>
      <c r="M1069" s="438">
        <f>IF(F1069&gt;I1069,(I1069-F1069),0)</f>
        <v>0</v>
      </c>
      <c r="N1069" s="438">
        <f>M1069+L1069</f>
        <v>0</v>
      </c>
      <c r="O1069" s="368"/>
    </row>
    <row r="1070" spans="1:15" s="57" customFormat="1">
      <c r="A1070" s="209"/>
      <c r="B1070" s="214"/>
      <c r="C1070" s="422"/>
      <c r="D1070" s="212"/>
      <c r="E1070" s="422"/>
      <c r="F1070" s="422"/>
      <c r="G1070" s="109"/>
      <c r="H1070" s="422"/>
      <c r="I1070" s="422"/>
      <c r="J1070" s="422"/>
      <c r="K1070" s="368"/>
      <c r="L1070" s="368"/>
      <c r="M1070" s="368"/>
      <c r="N1070" s="368"/>
      <c r="O1070" s="368"/>
    </row>
    <row r="1071" spans="1:15" s="57" customFormat="1" ht="52.8">
      <c r="A1071" s="245" t="s">
        <v>684</v>
      </c>
      <c r="B1071" s="214" t="s">
        <v>1408</v>
      </c>
      <c r="C1071" s="423">
        <v>3</v>
      </c>
      <c r="D1071" s="212" t="s">
        <v>522</v>
      </c>
      <c r="E1071" s="452">
        <v>2002</v>
      </c>
      <c r="F1071" s="109">
        <f>E1071*C1071</f>
        <v>6006</v>
      </c>
      <c r="G1071" s="453">
        <f>'Measurement sheet'!F784</f>
        <v>3</v>
      </c>
      <c r="H1071" s="438">
        <f>ROUND(G1071,2)</f>
        <v>3</v>
      </c>
      <c r="I1071" s="438">
        <f>H1071*E1071</f>
        <v>6006</v>
      </c>
      <c r="J1071" s="438">
        <f>G1071-C1071</f>
        <v>0</v>
      </c>
      <c r="K1071" s="438">
        <f>I1071-F1071</f>
        <v>0</v>
      </c>
      <c r="L1071" s="438">
        <f>IF(F1071&lt;I1071,(I1071-F1071),0)</f>
        <v>0</v>
      </c>
      <c r="M1071" s="438">
        <f>IF(F1071&gt;I1071,(I1071-F1071),0)</f>
        <v>0</v>
      </c>
      <c r="N1071" s="438">
        <f>M1071+L1071</f>
        <v>0</v>
      </c>
      <c r="O1071" s="368"/>
    </row>
    <row r="1072" spans="1:15" s="57" customFormat="1">
      <c r="A1072" s="245"/>
      <c r="B1072" s="214"/>
      <c r="C1072" s="422"/>
      <c r="D1072" s="212"/>
      <c r="E1072" s="422"/>
      <c r="F1072" s="422"/>
      <c r="G1072" s="109"/>
      <c r="H1072" s="422"/>
      <c r="I1072" s="422"/>
      <c r="J1072" s="422"/>
      <c r="K1072" s="368"/>
      <c r="L1072" s="368"/>
      <c r="M1072" s="368"/>
      <c r="N1072" s="368"/>
      <c r="O1072" s="368"/>
    </row>
    <row r="1073" spans="1:15" s="57" customFormat="1" ht="66">
      <c r="A1073" s="245" t="s">
        <v>685</v>
      </c>
      <c r="B1073" s="214" t="s">
        <v>1409</v>
      </c>
      <c r="C1073" s="423"/>
      <c r="D1073" s="212" t="s">
        <v>522</v>
      </c>
      <c r="E1073" s="452">
        <v>2034</v>
      </c>
      <c r="F1073" s="109">
        <f>E1073*C1073</f>
        <v>0</v>
      </c>
      <c r="G1073" s="451"/>
      <c r="H1073" s="438">
        <f>ROUND(G1073,2)</f>
        <v>0</v>
      </c>
      <c r="I1073" s="438">
        <f>H1073*E1073</f>
        <v>0</v>
      </c>
      <c r="J1073" s="438">
        <f>G1073-C1073</f>
        <v>0</v>
      </c>
      <c r="K1073" s="438">
        <f>I1073-F1073</f>
        <v>0</v>
      </c>
      <c r="L1073" s="438">
        <f>IF(F1073&lt;I1073,(I1073-F1073),0)</f>
        <v>0</v>
      </c>
      <c r="M1073" s="438">
        <f>IF(F1073&gt;I1073,(I1073-F1073),0)</f>
        <v>0</v>
      </c>
      <c r="N1073" s="438">
        <f>M1073+L1073</f>
        <v>0</v>
      </c>
      <c r="O1073" s="368"/>
    </row>
    <row r="1074" spans="1:15" s="57" customFormat="1">
      <c r="A1074" s="209"/>
      <c r="B1074" s="214"/>
      <c r="C1074" s="422"/>
      <c r="D1074" s="212"/>
      <c r="E1074" s="422"/>
      <c r="F1074" s="422"/>
      <c r="G1074" s="109"/>
      <c r="H1074" s="422"/>
      <c r="I1074" s="422"/>
      <c r="J1074" s="422"/>
      <c r="K1074" s="368"/>
      <c r="L1074" s="368"/>
      <c r="M1074" s="368"/>
      <c r="N1074" s="368"/>
      <c r="O1074" s="368"/>
    </row>
    <row r="1075" spans="1:15" s="57" customFormat="1" ht="39.6">
      <c r="A1075" s="245" t="s">
        <v>686</v>
      </c>
      <c r="B1075" s="214" t="s">
        <v>687</v>
      </c>
      <c r="C1075" s="423">
        <v>2</v>
      </c>
      <c r="D1075" s="212" t="s">
        <v>522</v>
      </c>
      <c r="E1075" s="452">
        <v>2449</v>
      </c>
      <c r="F1075" s="109">
        <f>E1075*C1075</f>
        <v>4898</v>
      </c>
      <c r="G1075" s="453">
        <f>'Measurement sheet'!F785</f>
        <v>4</v>
      </c>
      <c r="H1075" s="438">
        <f>ROUND(G1075,2)</f>
        <v>4</v>
      </c>
      <c r="I1075" s="438">
        <f>H1075*E1075</f>
        <v>9796</v>
      </c>
      <c r="J1075" s="438">
        <f>G1075-C1075</f>
        <v>2</v>
      </c>
      <c r="K1075" s="438">
        <f>I1075-F1075</f>
        <v>4898</v>
      </c>
      <c r="L1075" s="438">
        <f>IF(F1075&lt;I1075,(I1075-F1075),0)</f>
        <v>4898</v>
      </c>
      <c r="M1075" s="438">
        <f>IF(F1075&gt;I1075,(I1075-F1075),0)</f>
        <v>0</v>
      </c>
      <c r="N1075" s="438">
        <f>M1075+L1075</f>
        <v>4898</v>
      </c>
      <c r="O1075" s="478" t="s">
        <v>1610</v>
      </c>
    </row>
    <row r="1076" spans="1:15" s="57" customFormat="1">
      <c r="A1076" s="245"/>
      <c r="B1076" s="214"/>
      <c r="C1076" s="422"/>
      <c r="D1076" s="212"/>
      <c r="E1076" s="422"/>
      <c r="F1076" s="422"/>
      <c r="G1076" s="109"/>
      <c r="H1076" s="422"/>
      <c r="I1076" s="422"/>
      <c r="J1076" s="422"/>
      <c r="K1076" s="368"/>
      <c r="L1076" s="368"/>
      <c r="M1076" s="368"/>
      <c r="N1076" s="368"/>
      <c r="O1076" s="368"/>
    </row>
    <row r="1077" spans="1:15" s="57" customFormat="1" ht="39.6">
      <c r="A1077" s="245" t="s">
        <v>688</v>
      </c>
      <c r="B1077" s="214" t="s">
        <v>689</v>
      </c>
      <c r="C1077" s="423">
        <v>2</v>
      </c>
      <c r="D1077" s="212" t="s">
        <v>522</v>
      </c>
      <c r="E1077" s="452">
        <v>2836</v>
      </c>
      <c r="F1077" s="109">
        <f>E1077*C1077</f>
        <v>5672</v>
      </c>
      <c r="G1077" s="453">
        <f>'Measurement sheet'!F786</f>
        <v>2</v>
      </c>
      <c r="H1077" s="438">
        <f>ROUND(G1077,2)</f>
        <v>2</v>
      </c>
      <c r="I1077" s="438">
        <f>H1077*E1077</f>
        <v>5672</v>
      </c>
      <c r="J1077" s="438">
        <f>G1077-C1077</f>
        <v>0</v>
      </c>
      <c r="K1077" s="438">
        <f>I1077-F1077</f>
        <v>0</v>
      </c>
      <c r="L1077" s="438">
        <f>IF(F1077&lt;I1077,(I1077-F1077),0)</f>
        <v>0</v>
      </c>
      <c r="M1077" s="438">
        <f>IF(F1077&gt;I1077,(I1077-F1077),0)</f>
        <v>0</v>
      </c>
      <c r="N1077" s="438">
        <f>M1077+L1077</f>
        <v>0</v>
      </c>
      <c r="O1077" s="368"/>
    </row>
    <row r="1078" spans="1:15" s="57" customFormat="1">
      <c r="A1078" s="245"/>
      <c r="B1078" s="214"/>
      <c r="C1078" s="422"/>
      <c r="D1078" s="212"/>
      <c r="E1078" s="422"/>
      <c r="F1078" s="422"/>
      <c r="G1078" s="109"/>
      <c r="H1078" s="422"/>
      <c r="I1078" s="422"/>
      <c r="J1078" s="422"/>
      <c r="K1078" s="368"/>
      <c r="L1078" s="368"/>
      <c r="M1078" s="368"/>
      <c r="N1078" s="368"/>
      <c r="O1078" s="368"/>
    </row>
    <row r="1079" spans="1:15" s="57" customFormat="1">
      <c r="A1079" s="366"/>
      <c r="B1079" s="365" t="s">
        <v>690</v>
      </c>
      <c r="C1079" s="425"/>
      <c r="D1079" s="367"/>
      <c r="E1079" s="425"/>
      <c r="F1079" s="425">
        <f>SUM(F1030:F1078)</f>
        <v>141696</v>
      </c>
      <c r="G1079" s="425"/>
      <c r="H1079" s="425"/>
      <c r="I1079" s="425">
        <f>SUM(I1030:I1078)</f>
        <v>139586</v>
      </c>
      <c r="J1079" s="425"/>
      <c r="K1079" s="425">
        <f>SUM(K1030:K1078)</f>
        <v>-2110</v>
      </c>
      <c r="L1079" s="425">
        <f>SUM(L1030:L1078)</f>
        <v>18728</v>
      </c>
      <c r="M1079" s="425">
        <f>SUM(M1030:M1078)</f>
        <v>-20838</v>
      </c>
      <c r="N1079" s="425">
        <f>SUM(N1030:N1078)</f>
        <v>-2110</v>
      </c>
      <c r="O1079" s="425"/>
    </row>
    <row r="1080" spans="1:15" s="57" customFormat="1">
      <c r="A1080" s="209"/>
      <c r="B1080" s="210"/>
      <c r="C1080" s="427"/>
      <c r="D1080" s="225"/>
      <c r="E1080" s="427"/>
      <c r="F1080" s="427"/>
      <c r="G1080" s="109"/>
      <c r="H1080" s="427"/>
      <c r="I1080" s="427"/>
      <c r="J1080" s="427"/>
      <c r="K1080" s="368"/>
      <c r="L1080" s="368"/>
      <c r="M1080" s="368"/>
      <c r="N1080" s="368"/>
      <c r="O1080" s="368"/>
    </row>
    <row r="1081" spans="1:15" s="57" customFormat="1">
      <c r="A1081" s="325" t="s">
        <v>302</v>
      </c>
      <c r="B1081" s="87" t="s">
        <v>691</v>
      </c>
      <c r="C1081" s="421"/>
      <c r="D1081" s="88"/>
      <c r="E1081" s="421"/>
      <c r="F1081" s="421"/>
      <c r="G1081" s="421"/>
      <c r="H1081" s="421"/>
      <c r="I1081" s="421"/>
      <c r="J1081" s="421"/>
      <c r="K1081" s="421"/>
      <c r="L1081" s="421"/>
      <c r="M1081" s="421"/>
      <c r="N1081" s="421"/>
      <c r="O1081" s="421"/>
    </row>
    <row r="1082" spans="1:15" s="57" customFormat="1">
      <c r="A1082" s="209"/>
      <c r="B1082" s="210"/>
      <c r="C1082" s="422"/>
      <c r="D1082" s="212"/>
      <c r="E1082" s="422"/>
      <c r="F1082" s="422"/>
      <c r="G1082" s="109"/>
      <c r="H1082" s="422"/>
      <c r="I1082" s="422"/>
      <c r="J1082" s="422"/>
      <c r="K1082" s="368"/>
      <c r="L1082" s="368"/>
      <c r="M1082" s="368"/>
      <c r="N1082" s="368"/>
      <c r="O1082" s="368"/>
    </row>
    <row r="1083" spans="1:15" s="57" customFormat="1" ht="79.2">
      <c r="A1083" s="209">
        <v>13.1</v>
      </c>
      <c r="B1083" s="214" t="s">
        <v>692</v>
      </c>
      <c r="C1083" s="422"/>
      <c r="D1083" s="212"/>
      <c r="E1083" s="422"/>
      <c r="F1083" s="422"/>
      <c r="G1083" s="422"/>
      <c r="H1083" s="422"/>
      <c r="I1083" s="422"/>
      <c r="J1083" s="422"/>
      <c r="K1083" s="368"/>
      <c r="L1083" s="368"/>
      <c r="M1083" s="368"/>
      <c r="N1083" s="368"/>
      <c r="O1083" s="368"/>
    </row>
    <row r="1084" spans="1:15" s="57" customFormat="1">
      <c r="A1084" s="209" t="s">
        <v>693</v>
      </c>
      <c r="B1084" s="214" t="s">
        <v>694</v>
      </c>
      <c r="C1084" s="423"/>
      <c r="D1084" s="212" t="s">
        <v>482</v>
      </c>
      <c r="E1084" s="452">
        <v>305</v>
      </c>
      <c r="F1084" s="109">
        <f>E1084*C1084</f>
        <v>0</v>
      </c>
      <c r="G1084" s="451"/>
      <c r="H1084" s="438">
        <f>ROUND(G1084,2)</f>
        <v>0</v>
      </c>
      <c r="I1084" s="438">
        <f>H1084*E1084</f>
        <v>0</v>
      </c>
      <c r="J1084" s="438">
        <f>G1084-C1084</f>
        <v>0</v>
      </c>
      <c r="K1084" s="438">
        <f>I1084-F1084</f>
        <v>0</v>
      </c>
      <c r="L1084" s="438">
        <f>IF(F1084&lt;I1084,(I1084-F1084),0)</f>
        <v>0</v>
      </c>
      <c r="M1084" s="438">
        <f>IF(F1084&gt;I1084,(I1084-F1084),0)</f>
        <v>0</v>
      </c>
      <c r="N1084" s="438">
        <f>M1084+L1084</f>
        <v>0</v>
      </c>
      <c r="O1084" s="368"/>
    </row>
    <row r="1085" spans="1:15" s="57" customFormat="1">
      <c r="A1085" s="209" t="s">
        <v>695</v>
      </c>
      <c r="B1085" s="214" t="s">
        <v>696</v>
      </c>
      <c r="C1085" s="423"/>
      <c r="D1085" s="212" t="s">
        <v>482</v>
      </c>
      <c r="E1085" s="452">
        <v>404</v>
      </c>
      <c r="F1085" s="109">
        <f>E1085*C1085</f>
        <v>0</v>
      </c>
      <c r="G1085" s="451"/>
      <c r="H1085" s="438">
        <f>ROUND(G1085,2)</f>
        <v>0</v>
      </c>
      <c r="I1085" s="438">
        <f>H1085*E1085</f>
        <v>0</v>
      </c>
      <c r="J1085" s="438">
        <f>G1085-C1085</f>
        <v>0</v>
      </c>
      <c r="K1085" s="438">
        <f>I1085-F1085</f>
        <v>0</v>
      </c>
      <c r="L1085" s="438">
        <f>IF(F1085&lt;I1085,(I1085-F1085),0)</f>
        <v>0</v>
      </c>
      <c r="M1085" s="438">
        <f>IF(F1085&gt;I1085,(I1085-F1085),0)</f>
        <v>0</v>
      </c>
      <c r="N1085" s="438">
        <f>M1085+L1085</f>
        <v>0</v>
      </c>
      <c r="O1085" s="368"/>
    </row>
    <row r="1086" spans="1:15" s="57" customFormat="1">
      <c r="A1086" s="209" t="s">
        <v>697</v>
      </c>
      <c r="B1086" s="214" t="s">
        <v>698</v>
      </c>
      <c r="C1086" s="423"/>
      <c r="D1086" s="212" t="s">
        <v>482</v>
      </c>
      <c r="E1086" s="452">
        <v>495</v>
      </c>
      <c r="F1086" s="109">
        <f>E1086*C1086</f>
        <v>0</v>
      </c>
      <c r="G1086" s="451"/>
      <c r="H1086" s="438">
        <f>ROUND(G1086,2)</f>
        <v>0</v>
      </c>
      <c r="I1086" s="438">
        <f>H1086*E1086</f>
        <v>0</v>
      </c>
      <c r="J1086" s="438">
        <f>G1086-C1086</f>
        <v>0</v>
      </c>
      <c r="K1086" s="438">
        <f>I1086-F1086</f>
        <v>0</v>
      </c>
      <c r="L1086" s="438">
        <f>IF(F1086&lt;I1086,(I1086-F1086),0)</f>
        <v>0</v>
      </c>
      <c r="M1086" s="438">
        <f>IF(F1086&gt;I1086,(I1086-F1086),0)</f>
        <v>0</v>
      </c>
      <c r="N1086" s="438">
        <f>M1086+L1086</f>
        <v>0</v>
      </c>
      <c r="O1086" s="368"/>
    </row>
    <row r="1087" spans="1:15" s="57" customFormat="1">
      <c r="A1087" s="209" t="s">
        <v>699</v>
      </c>
      <c r="B1087" s="214" t="s">
        <v>700</v>
      </c>
      <c r="C1087" s="423"/>
      <c r="D1087" s="212" t="s">
        <v>482</v>
      </c>
      <c r="E1087" s="452">
        <v>572</v>
      </c>
      <c r="F1087" s="109">
        <f>E1087*C1087</f>
        <v>0</v>
      </c>
      <c r="G1087" s="451"/>
      <c r="H1087" s="438">
        <f>ROUND(G1087,2)</f>
        <v>0</v>
      </c>
      <c r="I1087" s="438">
        <f>H1087*E1087</f>
        <v>0</v>
      </c>
      <c r="J1087" s="438">
        <f>G1087-C1087</f>
        <v>0</v>
      </c>
      <c r="K1087" s="438">
        <f>I1087-F1087</f>
        <v>0</v>
      </c>
      <c r="L1087" s="438">
        <f>IF(F1087&lt;I1087,(I1087-F1087),0)</f>
        <v>0</v>
      </c>
      <c r="M1087" s="438">
        <f>IF(F1087&gt;I1087,(I1087-F1087),0)</f>
        <v>0</v>
      </c>
      <c r="N1087" s="438">
        <f>M1087+L1087</f>
        <v>0</v>
      </c>
      <c r="O1087" s="368"/>
    </row>
    <row r="1088" spans="1:15" s="57" customFormat="1">
      <c r="A1088" s="209" t="s">
        <v>701</v>
      </c>
      <c r="B1088" s="214" t="s">
        <v>702</v>
      </c>
      <c r="C1088" s="423"/>
      <c r="D1088" s="212" t="s">
        <v>482</v>
      </c>
      <c r="E1088" s="452">
        <v>762</v>
      </c>
      <c r="F1088" s="109">
        <f>E1088*C1088</f>
        <v>0</v>
      </c>
      <c r="G1088" s="451"/>
      <c r="H1088" s="438">
        <f>ROUND(G1088,2)</f>
        <v>0</v>
      </c>
      <c r="I1088" s="438">
        <f>H1088*E1088</f>
        <v>0</v>
      </c>
      <c r="J1088" s="438">
        <f>G1088-C1088</f>
        <v>0</v>
      </c>
      <c r="K1088" s="438">
        <f>I1088-F1088</f>
        <v>0</v>
      </c>
      <c r="L1088" s="438">
        <f>IF(F1088&lt;I1088,(I1088-F1088),0)</f>
        <v>0</v>
      </c>
      <c r="M1088" s="438">
        <f>IF(F1088&gt;I1088,(I1088-F1088),0)</f>
        <v>0</v>
      </c>
      <c r="N1088" s="438">
        <f>M1088+L1088</f>
        <v>0</v>
      </c>
      <c r="O1088" s="368"/>
    </row>
    <row r="1089" spans="1:15" s="57" customFormat="1">
      <c r="A1089" s="209"/>
      <c r="B1089" s="214"/>
      <c r="C1089" s="422"/>
      <c r="D1089" s="212"/>
      <c r="E1089" s="422"/>
      <c r="F1089" s="422"/>
      <c r="G1089" s="109"/>
      <c r="H1089" s="422"/>
      <c r="I1089" s="422"/>
      <c r="J1089" s="422"/>
      <c r="K1089" s="368"/>
      <c r="L1089" s="368"/>
      <c r="M1089" s="368"/>
      <c r="N1089" s="368"/>
      <c r="O1089" s="368"/>
    </row>
    <row r="1090" spans="1:15" s="57" customFormat="1" ht="39.6">
      <c r="A1090" s="234">
        <v>13.2</v>
      </c>
      <c r="B1090" s="214" t="s">
        <v>703</v>
      </c>
      <c r="C1090" s="422"/>
      <c r="D1090" s="212"/>
      <c r="E1090" s="422"/>
      <c r="F1090" s="422"/>
      <c r="G1090" s="422"/>
      <c r="H1090" s="422"/>
      <c r="I1090" s="422"/>
      <c r="J1090" s="422"/>
      <c r="K1090" s="368"/>
      <c r="L1090" s="368"/>
      <c r="M1090" s="368"/>
      <c r="N1090" s="368"/>
      <c r="O1090" s="368"/>
    </row>
    <row r="1091" spans="1:15" s="57" customFormat="1">
      <c r="A1091" s="234" t="s">
        <v>704</v>
      </c>
      <c r="B1091" s="214" t="s">
        <v>705</v>
      </c>
      <c r="C1091" s="423"/>
      <c r="D1091" s="212" t="s">
        <v>522</v>
      </c>
      <c r="E1091" s="452">
        <v>686</v>
      </c>
      <c r="F1091" s="109">
        <f>E1091*C1091</f>
        <v>0</v>
      </c>
      <c r="G1091" s="451"/>
      <c r="H1091" s="438">
        <f>ROUND(G1091,2)</f>
        <v>0</v>
      </c>
      <c r="I1091" s="438">
        <f>H1091*E1091</f>
        <v>0</v>
      </c>
      <c r="J1091" s="438">
        <f>G1091-C1091</f>
        <v>0</v>
      </c>
      <c r="K1091" s="438">
        <f>I1091-F1091</f>
        <v>0</v>
      </c>
      <c r="L1091" s="438">
        <f>IF(F1091&lt;I1091,(I1091-F1091),0)</f>
        <v>0</v>
      </c>
      <c r="M1091" s="438">
        <f>IF(F1091&gt;I1091,(I1091-F1091),0)</f>
        <v>0</v>
      </c>
      <c r="N1091" s="438">
        <f>M1091+L1091</f>
        <v>0</v>
      </c>
      <c r="O1091" s="368"/>
    </row>
    <row r="1092" spans="1:15" s="57" customFormat="1">
      <c r="A1092" s="234" t="s">
        <v>706</v>
      </c>
      <c r="B1092" s="214" t="s">
        <v>707</v>
      </c>
      <c r="C1092" s="423">
        <v>4</v>
      </c>
      <c r="D1092" s="212" t="s">
        <v>522</v>
      </c>
      <c r="E1092" s="452">
        <v>911</v>
      </c>
      <c r="F1092" s="109">
        <f>E1092*C1092</f>
        <v>3644</v>
      </c>
      <c r="G1092" s="453">
        <f>'Measurement sheet'!F789</f>
        <v>3</v>
      </c>
      <c r="H1092" s="438">
        <f>ROUND(G1092,2)</f>
        <v>3</v>
      </c>
      <c r="I1092" s="438">
        <f>H1092*E1092</f>
        <v>2733</v>
      </c>
      <c r="J1092" s="438">
        <f>G1092-C1092</f>
        <v>-1</v>
      </c>
      <c r="K1092" s="438">
        <f>I1092-F1092</f>
        <v>-911</v>
      </c>
      <c r="L1092" s="438">
        <f>IF(F1092&lt;I1092,(I1092-F1092),0)</f>
        <v>0</v>
      </c>
      <c r="M1092" s="438">
        <f>IF(F1092&gt;I1092,(I1092-F1092),0)</f>
        <v>-911</v>
      </c>
      <c r="N1092" s="438">
        <f>M1092+L1092</f>
        <v>-911</v>
      </c>
      <c r="O1092" s="368"/>
    </row>
    <row r="1093" spans="1:15" s="57" customFormat="1">
      <c r="A1093" s="234" t="s">
        <v>708</v>
      </c>
      <c r="B1093" s="214" t="s">
        <v>709</v>
      </c>
      <c r="C1093" s="423">
        <v>5</v>
      </c>
      <c r="D1093" s="212" t="s">
        <v>522</v>
      </c>
      <c r="E1093" s="452">
        <v>1048</v>
      </c>
      <c r="F1093" s="109">
        <f>E1093*C1093</f>
        <v>5240</v>
      </c>
      <c r="G1093" s="453">
        <f>'Measurement sheet'!F790</f>
        <v>2</v>
      </c>
      <c r="H1093" s="438">
        <f>ROUND(G1093,2)</f>
        <v>2</v>
      </c>
      <c r="I1093" s="438">
        <f>H1093*E1093</f>
        <v>2096</v>
      </c>
      <c r="J1093" s="438">
        <f>G1093-C1093</f>
        <v>-3</v>
      </c>
      <c r="K1093" s="438">
        <f>I1093-F1093</f>
        <v>-3144</v>
      </c>
      <c r="L1093" s="438">
        <f>IF(F1093&lt;I1093,(I1093-F1093),0)</f>
        <v>0</v>
      </c>
      <c r="M1093" s="438">
        <f>IF(F1093&gt;I1093,(I1093-F1093),0)</f>
        <v>-3144</v>
      </c>
      <c r="N1093" s="438">
        <f>M1093+L1093</f>
        <v>-3144</v>
      </c>
      <c r="O1093" s="368"/>
    </row>
    <row r="1094" spans="1:15" s="57" customFormat="1" ht="28.8">
      <c r="A1094" s="234" t="s">
        <v>710</v>
      </c>
      <c r="B1094" s="214" t="s">
        <v>711</v>
      </c>
      <c r="C1094" s="423">
        <v>8</v>
      </c>
      <c r="D1094" s="212" t="s">
        <v>522</v>
      </c>
      <c r="E1094" s="452">
        <v>1144</v>
      </c>
      <c r="F1094" s="109">
        <f>E1094*C1094</f>
        <v>9152</v>
      </c>
      <c r="G1094" s="453">
        <f>'Measurement sheet'!F791</f>
        <v>9</v>
      </c>
      <c r="H1094" s="438">
        <f>ROUND(G1094,2)</f>
        <v>9</v>
      </c>
      <c r="I1094" s="438">
        <f>H1094*E1094</f>
        <v>10296</v>
      </c>
      <c r="J1094" s="438">
        <f>G1094-C1094</f>
        <v>1</v>
      </c>
      <c r="K1094" s="438">
        <f>I1094-F1094</f>
        <v>1144</v>
      </c>
      <c r="L1094" s="438">
        <f>IF(F1094&lt;I1094,(I1094-F1094),0)</f>
        <v>1144</v>
      </c>
      <c r="M1094" s="438">
        <f>IF(F1094&gt;I1094,(I1094-F1094),0)</f>
        <v>0</v>
      </c>
      <c r="N1094" s="438">
        <f>M1094+L1094</f>
        <v>1144</v>
      </c>
      <c r="O1094" s="478" t="s">
        <v>1610</v>
      </c>
    </row>
    <row r="1095" spans="1:15" s="57" customFormat="1">
      <c r="A1095" s="209"/>
      <c r="B1095" s="214"/>
      <c r="C1095" s="422"/>
      <c r="D1095" s="212"/>
      <c r="E1095" s="422"/>
      <c r="F1095" s="422"/>
      <c r="G1095" s="109"/>
      <c r="H1095" s="422"/>
      <c r="I1095" s="422"/>
      <c r="J1095" s="422"/>
      <c r="K1095" s="368"/>
      <c r="L1095" s="368"/>
      <c r="M1095" s="368"/>
      <c r="N1095" s="368"/>
      <c r="O1095" s="368"/>
    </row>
    <row r="1096" spans="1:15" s="57" customFormat="1" ht="26.4">
      <c r="A1096" s="209">
        <v>13.3</v>
      </c>
      <c r="B1096" s="214" t="s">
        <v>712</v>
      </c>
      <c r="C1096" s="422"/>
      <c r="D1096" s="212"/>
      <c r="E1096" s="422"/>
      <c r="F1096" s="422"/>
      <c r="G1096" s="422"/>
      <c r="H1096" s="422"/>
      <c r="I1096" s="422"/>
      <c r="J1096" s="422"/>
      <c r="K1096" s="368"/>
      <c r="L1096" s="368"/>
      <c r="M1096" s="368"/>
      <c r="N1096" s="368"/>
      <c r="O1096" s="368"/>
    </row>
    <row r="1097" spans="1:15" s="57" customFormat="1">
      <c r="A1097" s="209" t="s">
        <v>713</v>
      </c>
      <c r="B1097" s="214" t="s">
        <v>714</v>
      </c>
      <c r="C1097" s="423">
        <v>4</v>
      </c>
      <c r="D1097" s="212" t="s">
        <v>482</v>
      </c>
      <c r="E1097" s="452">
        <v>50</v>
      </c>
      <c r="F1097" s="109">
        <f>E1097*C1097</f>
        <v>200</v>
      </c>
      <c r="G1097" s="451"/>
      <c r="H1097" s="438">
        <f>ROUND(G1097,2)</f>
        <v>0</v>
      </c>
      <c r="I1097" s="438">
        <f>H1097*E1097</f>
        <v>0</v>
      </c>
      <c r="J1097" s="438">
        <f>G1097-C1097</f>
        <v>-4</v>
      </c>
      <c r="K1097" s="438">
        <f>I1097-F1097</f>
        <v>-200</v>
      </c>
      <c r="L1097" s="438">
        <f>IF(F1097&lt;I1097,(I1097-F1097),0)</f>
        <v>0</v>
      </c>
      <c r="M1097" s="438">
        <f>IF(F1097&gt;I1097,(I1097-F1097),0)</f>
        <v>-200</v>
      </c>
      <c r="N1097" s="438">
        <f>M1097+L1097</f>
        <v>-200</v>
      </c>
      <c r="O1097" s="368"/>
    </row>
    <row r="1098" spans="1:15" s="57" customFormat="1" ht="28.8">
      <c r="A1098" s="209" t="s">
        <v>715</v>
      </c>
      <c r="B1098" s="214" t="s">
        <v>716</v>
      </c>
      <c r="C1098" s="423">
        <v>25</v>
      </c>
      <c r="D1098" s="212" t="s">
        <v>482</v>
      </c>
      <c r="E1098" s="452">
        <v>55</v>
      </c>
      <c r="F1098" s="109">
        <f>E1098*C1098</f>
        <v>1375</v>
      </c>
      <c r="G1098" s="453">
        <f>'Measurement sheet'!F794</f>
        <v>38</v>
      </c>
      <c r="H1098" s="438">
        <f>ROUND(G1098,2)</f>
        <v>38</v>
      </c>
      <c r="I1098" s="438">
        <f>H1098*E1098</f>
        <v>2090</v>
      </c>
      <c r="J1098" s="438">
        <f>G1098-C1098</f>
        <v>13</v>
      </c>
      <c r="K1098" s="438">
        <f>I1098-F1098</f>
        <v>715</v>
      </c>
      <c r="L1098" s="438">
        <f>IF(F1098&lt;I1098,(I1098-F1098),0)</f>
        <v>715</v>
      </c>
      <c r="M1098" s="438">
        <f>IF(F1098&gt;I1098,(I1098-F1098),0)</f>
        <v>0</v>
      </c>
      <c r="N1098" s="438">
        <f>M1098+L1098</f>
        <v>715</v>
      </c>
      <c r="O1098" s="478" t="s">
        <v>1610</v>
      </c>
    </row>
    <row r="1099" spans="1:15" s="57" customFormat="1" ht="28.8">
      <c r="A1099" s="209" t="s">
        <v>717</v>
      </c>
      <c r="B1099" s="214" t="s">
        <v>718</v>
      </c>
      <c r="C1099" s="423">
        <v>200</v>
      </c>
      <c r="D1099" s="212" t="s">
        <v>482</v>
      </c>
      <c r="E1099" s="452">
        <v>73</v>
      </c>
      <c r="F1099" s="109">
        <f>E1099*C1099</f>
        <v>14600</v>
      </c>
      <c r="G1099" s="453">
        <f>'Measurement sheet'!F795</f>
        <v>210</v>
      </c>
      <c r="H1099" s="438">
        <f>ROUND(G1099,2)</f>
        <v>210</v>
      </c>
      <c r="I1099" s="438">
        <f>H1099*E1099</f>
        <v>15330</v>
      </c>
      <c r="J1099" s="438">
        <f>G1099-C1099</f>
        <v>10</v>
      </c>
      <c r="K1099" s="438">
        <f>I1099-F1099</f>
        <v>730</v>
      </c>
      <c r="L1099" s="438">
        <f>IF(F1099&lt;I1099,(I1099-F1099),0)</f>
        <v>730</v>
      </c>
      <c r="M1099" s="438">
        <f>IF(F1099&gt;I1099,(I1099-F1099),0)</f>
        <v>0</v>
      </c>
      <c r="N1099" s="438">
        <f>M1099+L1099</f>
        <v>730</v>
      </c>
      <c r="O1099" s="478" t="s">
        <v>1610</v>
      </c>
    </row>
    <row r="1100" spans="1:15" s="57" customFormat="1">
      <c r="A1100" s="209"/>
      <c r="B1100" s="214"/>
      <c r="C1100" s="422"/>
      <c r="D1100" s="212"/>
      <c r="E1100" s="422"/>
      <c r="F1100" s="422"/>
      <c r="G1100" s="109"/>
      <c r="H1100" s="422"/>
      <c r="I1100" s="422"/>
      <c r="J1100" s="422"/>
      <c r="K1100" s="368"/>
      <c r="L1100" s="368"/>
      <c r="M1100" s="368"/>
      <c r="N1100" s="368"/>
      <c r="O1100" s="368"/>
    </row>
    <row r="1101" spans="1:15" s="57" customFormat="1" ht="26.4">
      <c r="A1101" s="209">
        <v>13.4</v>
      </c>
      <c r="B1101" s="214" t="s">
        <v>719</v>
      </c>
      <c r="C1101" s="422"/>
      <c r="D1101" s="212"/>
      <c r="E1101" s="422"/>
      <c r="F1101" s="422"/>
      <c r="G1101" s="422"/>
      <c r="H1101" s="422"/>
      <c r="I1101" s="422"/>
      <c r="J1101" s="422"/>
      <c r="K1101" s="368"/>
      <c r="L1101" s="368"/>
      <c r="M1101" s="368"/>
      <c r="N1101" s="368"/>
      <c r="O1101" s="368"/>
    </row>
    <row r="1102" spans="1:15" s="57" customFormat="1">
      <c r="A1102" s="209" t="s">
        <v>720</v>
      </c>
      <c r="B1102" s="214" t="s">
        <v>721</v>
      </c>
      <c r="C1102" s="423">
        <v>10</v>
      </c>
      <c r="D1102" s="212" t="s">
        <v>482</v>
      </c>
      <c r="E1102" s="452">
        <v>53</v>
      </c>
      <c r="F1102" s="109">
        <f>E1102*C1102</f>
        <v>530</v>
      </c>
      <c r="G1102" s="453">
        <f>'Measurement sheet'!F798</f>
        <v>10</v>
      </c>
      <c r="H1102" s="438">
        <f>ROUND(G1102,2)</f>
        <v>10</v>
      </c>
      <c r="I1102" s="438">
        <f>H1102*E1102</f>
        <v>530</v>
      </c>
      <c r="J1102" s="438">
        <f>G1102-C1102</f>
        <v>0</v>
      </c>
      <c r="K1102" s="438">
        <f>I1102-F1102</f>
        <v>0</v>
      </c>
      <c r="L1102" s="438">
        <f>IF(F1102&lt;I1102,(I1102-F1102),0)</f>
        <v>0</v>
      </c>
      <c r="M1102" s="438">
        <f>IF(F1102&gt;I1102,(I1102-F1102),0)</f>
        <v>0</v>
      </c>
      <c r="N1102" s="438">
        <f>M1102+L1102</f>
        <v>0</v>
      </c>
      <c r="O1102" s="368"/>
    </row>
    <row r="1103" spans="1:15" s="57" customFormat="1">
      <c r="A1103" s="209" t="s">
        <v>722</v>
      </c>
      <c r="B1103" s="214" t="s">
        <v>723</v>
      </c>
      <c r="C1103" s="423">
        <v>20</v>
      </c>
      <c r="D1103" s="212" t="s">
        <v>482</v>
      </c>
      <c r="E1103" s="452">
        <v>97</v>
      </c>
      <c r="F1103" s="109">
        <f>E1103*C1103</f>
        <v>1940</v>
      </c>
      <c r="G1103" s="453">
        <f>'Measurement sheet'!F799</f>
        <v>20</v>
      </c>
      <c r="H1103" s="438">
        <f>ROUND(G1103,2)</f>
        <v>20</v>
      </c>
      <c r="I1103" s="438">
        <f>H1103*E1103</f>
        <v>1940</v>
      </c>
      <c r="J1103" s="438">
        <f>G1103-C1103</f>
        <v>0</v>
      </c>
      <c r="K1103" s="438">
        <f>I1103-F1103</f>
        <v>0</v>
      </c>
      <c r="L1103" s="438">
        <f>IF(F1103&lt;I1103,(I1103-F1103),0)</f>
        <v>0</v>
      </c>
      <c r="M1103" s="438">
        <f>IF(F1103&gt;I1103,(I1103-F1103),0)</f>
        <v>0</v>
      </c>
      <c r="N1103" s="438">
        <f>M1103+L1103</f>
        <v>0</v>
      </c>
      <c r="O1103" s="368"/>
    </row>
    <row r="1104" spans="1:15" s="57" customFormat="1">
      <c r="A1104" s="209"/>
      <c r="B1104" s="214"/>
      <c r="C1104" s="422"/>
      <c r="D1104" s="212"/>
      <c r="E1104" s="422"/>
      <c r="F1104" s="422"/>
      <c r="G1104" s="109"/>
      <c r="H1104" s="422"/>
      <c r="I1104" s="422"/>
      <c r="J1104" s="422"/>
      <c r="K1104" s="368"/>
      <c r="L1104" s="368"/>
      <c r="M1104" s="368"/>
      <c r="N1104" s="368"/>
      <c r="O1104" s="368"/>
    </row>
    <row r="1105" spans="1:15" s="57" customFormat="1" ht="39.6">
      <c r="A1105" s="234">
        <v>13.5</v>
      </c>
      <c r="B1105" s="214" t="s">
        <v>724</v>
      </c>
      <c r="C1105" s="422"/>
      <c r="D1105" s="212"/>
      <c r="E1105" s="422"/>
      <c r="F1105" s="422"/>
      <c r="G1105" s="422"/>
      <c r="H1105" s="422"/>
      <c r="I1105" s="422"/>
      <c r="J1105" s="422"/>
      <c r="K1105" s="368"/>
      <c r="L1105" s="368"/>
      <c r="M1105" s="368"/>
      <c r="N1105" s="368"/>
      <c r="O1105" s="368"/>
    </row>
    <row r="1106" spans="1:15" s="57" customFormat="1">
      <c r="A1106" s="234" t="s">
        <v>725</v>
      </c>
      <c r="B1106" s="214" t="s">
        <v>726</v>
      </c>
      <c r="C1106" s="423"/>
      <c r="D1106" s="212" t="s">
        <v>727</v>
      </c>
      <c r="E1106" s="452">
        <v>861</v>
      </c>
      <c r="F1106" s="109">
        <f>E1106*C1106</f>
        <v>0</v>
      </c>
      <c r="G1106" s="451"/>
      <c r="H1106" s="438">
        <f>ROUND(G1106,2)</f>
        <v>0</v>
      </c>
      <c r="I1106" s="438">
        <f>H1106*E1106</f>
        <v>0</v>
      </c>
      <c r="J1106" s="438">
        <f>G1106-C1106</f>
        <v>0</v>
      </c>
      <c r="K1106" s="438">
        <f>I1106-F1106</f>
        <v>0</v>
      </c>
      <c r="L1106" s="438">
        <f>IF(F1106&lt;I1106,(I1106-F1106),0)</f>
        <v>0</v>
      </c>
      <c r="M1106" s="438">
        <f>IF(F1106&gt;I1106,(I1106-F1106),0)</f>
        <v>0</v>
      </c>
      <c r="N1106" s="438">
        <f>M1106+L1106</f>
        <v>0</v>
      </c>
      <c r="O1106" s="368"/>
    </row>
    <row r="1107" spans="1:15" s="57" customFormat="1">
      <c r="A1107" s="234" t="s">
        <v>728</v>
      </c>
      <c r="B1107" s="214" t="s">
        <v>729</v>
      </c>
      <c r="C1107" s="423"/>
      <c r="D1107" s="212" t="s">
        <v>727</v>
      </c>
      <c r="E1107" s="452">
        <v>550</v>
      </c>
      <c r="F1107" s="109">
        <f>E1107*C1107</f>
        <v>0</v>
      </c>
      <c r="G1107" s="451"/>
      <c r="H1107" s="438">
        <f>ROUND(G1107,2)</f>
        <v>0</v>
      </c>
      <c r="I1107" s="438">
        <f>H1107*E1107</f>
        <v>0</v>
      </c>
      <c r="J1107" s="438">
        <f>G1107-C1107</f>
        <v>0</v>
      </c>
      <c r="K1107" s="438">
        <f>I1107-F1107</f>
        <v>0</v>
      </c>
      <c r="L1107" s="438">
        <f>IF(F1107&lt;I1107,(I1107-F1107),0)</f>
        <v>0</v>
      </c>
      <c r="M1107" s="438">
        <f>IF(F1107&gt;I1107,(I1107-F1107),0)</f>
        <v>0</v>
      </c>
      <c r="N1107" s="438">
        <f>M1107+L1107</f>
        <v>0</v>
      </c>
      <c r="O1107" s="368"/>
    </row>
    <row r="1108" spans="1:15" s="57" customFormat="1">
      <c r="A1108" s="234" t="s">
        <v>730</v>
      </c>
      <c r="B1108" s="214" t="s">
        <v>731</v>
      </c>
      <c r="C1108" s="423"/>
      <c r="D1108" s="212" t="s">
        <v>727</v>
      </c>
      <c r="E1108" s="452">
        <v>482</v>
      </c>
      <c r="F1108" s="109">
        <f>E1108*C1108</f>
        <v>0</v>
      </c>
      <c r="G1108" s="451"/>
      <c r="H1108" s="438">
        <f>ROUND(G1108,2)</f>
        <v>0</v>
      </c>
      <c r="I1108" s="438">
        <f>H1108*E1108</f>
        <v>0</v>
      </c>
      <c r="J1108" s="438">
        <f>G1108-C1108</f>
        <v>0</v>
      </c>
      <c r="K1108" s="438">
        <f>I1108-F1108</f>
        <v>0</v>
      </c>
      <c r="L1108" s="438">
        <f>IF(F1108&lt;I1108,(I1108-F1108),0)</f>
        <v>0</v>
      </c>
      <c r="M1108" s="438">
        <f>IF(F1108&gt;I1108,(I1108-F1108),0)</f>
        <v>0</v>
      </c>
      <c r="N1108" s="438">
        <f>M1108+L1108</f>
        <v>0</v>
      </c>
      <c r="O1108" s="368"/>
    </row>
    <row r="1109" spans="1:15" s="57" customFormat="1">
      <c r="A1109" s="234"/>
      <c r="B1109" s="214"/>
      <c r="C1109" s="430"/>
      <c r="D1109" s="349"/>
      <c r="E1109" s="430"/>
      <c r="F1109" s="430"/>
      <c r="G1109" s="109"/>
      <c r="H1109" s="430"/>
      <c r="I1109" s="430"/>
      <c r="J1109" s="430"/>
      <c r="K1109" s="368"/>
      <c r="L1109" s="368"/>
      <c r="M1109" s="368"/>
      <c r="N1109" s="368"/>
      <c r="O1109" s="368"/>
    </row>
    <row r="1110" spans="1:15" s="57" customFormat="1" ht="26.4">
      <c r="A1110" s="209">
        <v>13.6</v>
      </c>
      <c r="B1110" s="214" t="s">
        <v>732</v>
      </c>
      <c r="C1110" s="422"/>
      <c r="D1110" s="212"/>
      <c r="E1110" s="422"/>
      <c r="F1110" s="422"/>
      <c r="G1110" s="422"/>
      <c r="H1110" s="422"/>
      <c r="I1110" s="422"/>
      <c r="J1110" s="422"/>
      <c r="K1110" s="368"/>
      <c r="L1110" s="368"/>
      <c r="M1110" s="368"/>
      <c r="N1110" s="368"/>
      <c r="O1110" s="368"/>
    </row>
    <row r="1111" spans="1:15" s="57" customFormat="1">
      <c r="A1111" s="209" t="s">
        <v>733</v>
      </c>
      <c r="B1111" s="214" t="s">
        <v>721</v>
      </c>
      <c r="C1111" s="423"/>
      <c r="D1111" s="212" t="s">
        <v>482</v>
      </c>
      <c r="E1111" s="452">
        <v>175</v>
      </c>
      <c r="F1111" s="109">
        <f>E1111*C1111</f>
        <v>0</v>
      </c>
      <c r="G1111" s="451"/>
      <c r="H1111" s="438">
        <f>ROUND(G1111,2)</f>
        <v>0</v>
      </c>
      <c r="I1111" s="438">
        <f>H1111*E1111</f>
        <v>0</v>
      </c>
      <c r="J1111" s="438">
        <f>G1111-C1111</f>
        <v>0</v>
      </c>
      <c r="K1111" s="438">
        <f>I1111-F1111</f>
        <v>0</v>
      </c>
      <c r="L1111" s="438">
        <f>IF(F1111&lt;I1111,(I1111-F1111),0)</f>
        <v>0</v>
      </c>
      <c r="M1111" s="438">
        <f>IF(F1111&gt;I1111,(I1111-F1111),0)</f>
        <v>0</v>
      </c>
      <c r="N1111" s="438">
        <f>M1111+L1111</f>
        <v>0</v>
      </c>
      <c r="O1111" s="368"/>
    </row>
    <row r="1112" spans="1:15" s="57" customFormat="1">
      <c r="A1112" s="209" t="s">
        <v>734</v>
      </c>
      <c r="B1112" s="214" t="s">
        <v>723</v>
      </c>
      <c r="C1112" s="423"/>
      <c r="D1112" s="212" t="s">
        <v>482</v>
      </c>
      <c r="E1112" s="452">
        <v>350</v>
      </c>
      <c r="F1112" s="109">
        <f>E1112*C1112</f>
        <v>0</v>
      </c>
      <c r="G1112" s="451"/>
      <c r="H1112" s="438">
        <f>ROUND(G1112,2)</f>
        <v>0</v>
      </c>
      <c r="I1112" s="438">
        <f>H1112*E1112</f>
        <v>0</v>
      </c>
      <c r="J1112" s="438">
        <f>G1112-C1112</f>
        <v>0</v>
      </c>
      <c r="K1112" s="438">
        <f>I1112-F1112</f>
        <v>0</v>
      </c>
      <c r="L1112" s="438">
        <f>IF(F1112&lt;I1112,(I1112-F1112),0)</f>
        <v>0</v>
      </c>
      <c r="M1112" s="438">
        <f>IF(F1112&gt;I1112,(I1112-F1112),0)</f>
        <v>0</v>
      </c>
      <c r="N1112" s="438">
        <f>M1112+L1112</f>
        <v>0</v>
      </c>
      <c r="O1112" s="368"/>
    </row>
    <row r="1113" spans="1:15" s="57" customFormat="1">
      <c r="A1113" s="209"/>
      <c r="B1113" s="214"/>
      <c r="C1113" s="422"/>
      <c r="D1113" s="212"/>
      <c r="E1113" s="422"/>
      <c r="F1113" s="422"/>
      <c r="G1113" s="109"/>
      <c r="H1113" s="422"/>
      <c r="I1113" s="422"/>
      <c r="J1113" s="422"/>
      <c r="K1113" s="368"/>
      <c r="L1113" s="368"/>
      <c r="M1113" s="368"/>
      <c r="N1113" s="368"/>
      <c r="O1113" s="368"/>
    </row>
    <row r="1114" spans="1:15" s="57" customFormat="1">
      <c r="A1114" s="366"/>
      <c r="B1114" s="365" t="s">
        <v>735</v>
      </c>
      <c r="C1114" s="425"/>
      <c r="D1114" s="367"/>
      <c r="E1114" s="425"/>
      <c r="F1114" s="425">
        <f>SUM(F1083:F1112)</f>
        <v>36681</v>
      </c>
      <c r="G1114" s="425"/>
      <c r="H1114" s="425"/>
      <c r="I1114" s="425">
        <f>SUM(I1083:I1112)</f>
        <v>35015</v>
      </c>
      <c r="J1114" s="425"/>
      <c r="K1114" s="425">
        <f>SUM(K1083:K1112)</f>
        <v>-1666</v>
      </c>
      <c r="L1114" s="425">
        <f>SUM(L1083:L1112)</f>
        <v>2589</v>
      </c>
      <c r="M1114" s="425">
        <f>SUM(M1083:M1112)</f>
        <v>-4255</v>
      </c>
      <c r="N1114" s="425">
        <f>SUM(N1083:N1112)</f>
        <v>-1666</v>
      </c>
      <c r="O1114" s="425"/>
    </row>
    <row r="1115" spans="1:15" s="57" customFormat="1">
      <c r="A1115" s="209"/>
      <c r="B1115" s="210"/>
      <c r="C1115" s="427"/>
      <c r="D1115" s="225"/>
      <c r="E1115" s="427"/>
      <c r="F1115" s="427"/>
      <c r="G1115" s="109"/>
      <c r="H1115" s="427"/>
      <c r="I1115" s="427"/>
      <c r="J1115" s="427"/>
      <c r="K1115" s="368"/>
      <c r="L1115" s="368"/>
      <c r="M1115" s="368"/>
      <c r="N1115" s="368"/>
      <c r="O1115" s="368"/>
    </row>
    <row r="1116" spans="1:15" s="57" customFormat="1">
      <c r="A1116" s="325" t="s">
        <v>736</v>
      </c>
      <c r="B1116" s="87" t="s">
        <v>737</v>
      </c>
      <c r="C1116" s="421"/>
      <c r="D1116" s="88"/>
      <c r="E1116" s="421"/>
      <c r="F1116" s="421"/>
      <c r="G1116" s="421"/>
      <c r="H1116" s="421"/>
      <c r="I1116" s="421"/>
      <c r="J1116" s="421"/>
      <c r="K1116" s="421"/>
      <c r="L1116" s="421"/>
      <c r="M1116" s="421"/>
      <c r="N1116" s="421"/>
      <c r="O1116" s="421"/>
    </row>
    <row r="1117" spans="1:15" s="57" customFormat="1" ht="92.4">
      <c r="A1117" s="291">
        <v>14.1</v>
      </c>
      <c r="B1117" s="214" t="s">
        <v>1410</v>
      </c>
      <c r="C1117" s="423"/>
      <c r="D1117" s="350" t="s">
        <v>621</v>
      </c>
      <c r="E1117" s="452">
        <v>6059</v>
      </c>
      <c r="F1117" s="109">
        <f>E1117*C1117</f>
        <v>0</v>
      </c>
      <c r="G1117" s="451"/>
      <c r="H1117" s="438">
        <f>ROUND(G1117,2)</f>
        <v>0</v>
      </c>
      <c r="I1117" s="438">
        <f>H1117*E1117</f>
        <v>0</v>
      </c>
      <c r="J1117" s="438">
        <f>G1117-C1117</f>
        <v>0</v>
      </c>
      <c r="K1117" s="438">
        <f>I1117-F1117</f>
        <v>0</v>
      </c>
      <c r="L1117" s="438">
        <f>IF(F1117&lt;I1117,(I1117-F1117),0)</f>
        <v>0</v>
      </c>
      <c r="M1117" s="438">
        <f>IF(F1117&gt;I1117,(I1117-F1117),0)</f>
        <v>0</v>
      </c>
      <c r="N1117" s="438">
        <f>M1117+L1117</f>
        <v>0</v>
      </c>
      <c r="O1117" s="368"/>
    </row>
    <row r="1118" spans="1:15" s="57" customFormat="1">
      <c r="A1118" s="291"/>
      <c r="B1118" s="214"/>
      <c r="C1118" s="431"/>
      <c r="D1118" s="350"/>
      <c r="E1118" s="431"/>
      <c r="F1118" s="431"/>
      <c r="G1118" s="109"/>
      <c r="H1118" s="431"/>
      <c r="I1118" s="431"/>
      <c r="J1118" s="431"/>
      <c r="K1118" s="368"/>
      <c r="L1118" s="368"/>
      <c r="M1118" s="368"/>
      <c r="N1118" s="368"/>
      <c r="O1118" s="368"/>
    </row>
    <row r="1119" spans="1:15" s="57" customFormat="1">
      <c r="A1119" s="366"/>
      <c r="B1119" s="365" t="s">
        <v>738</v>
      </c>
      <c r="C1119" s="425"/>
      <c r="D1119" s="367"/>
      <c r="E1119" s="425"/>
      <c r="F1119" s="425">
        <f>SUM(F1117:F1118)</f>
        <v>0</v>
      </c>
      <c r="G1119" s="425"/>
      <c r="H1119" s="425"/>
      <c r="I1119" s="425">
        <f>SUM(I1117:I1118)</f>
        <v>0</v>
      </c>
      <c r="J1119" s="425"/>
      <c r="K1119" s="425">
        <f>SUM(K1117:K1118)</f>
        <v>0</v>
      </c>
      <c r="L1119" s="425">
        <f>SUM(L1117:L1118)</f>
        <v>0</v>
      </c>
      <c r="M1119" s="425">
        <f>SUM(M1117:M1118)</f>
        <v>0</v>
      </c>
      <c r="N1119" s="425">
        <f>SUM(N1117:N1118)</f>
        <v>0</v>
      </c>
      <c r="O1119" s="425"/>
    </row>
    <row r="1120" spans="1:15" s="57" customFormat="1">
      <c r="A1120" s="291"/>
      <c r="B1120" s="214"/>
      <c r="C1120" s="431"/>
      <c r="D1120" s="350"/>
      <c r="E1120" s="431"/>
      <c r="F1120" s="431"/>
      <c r="G1120" s="109"/>
      <c r="H1120" s="431"/>
      <c r="I1120" s="431"/>
      <c r="J1120" s="431"/>
      <c r="K1120" s="368"/>
      <c r="L1120" s="368"/>
      <c r="M1120" s="368"/>
      <c r="N1120" s="368"/>
      <c r="O1120" s="368"/>
    </row>
    <row r="1121" spans="1:24">
      <c r="A1121" s="325" t="s">
        <v>302</v>
      </c>
      <c r="B1121" s="87" t="s">
        <v>739</v>
      </c>
      <c r="C1121" s="421"/>
      <c r="D1121" s="88"/>
      <c r="E1121" s="421"/>
      <c r="F1121" s="421"/>
      <c r="G1121" s="421"/>
      <c r="H1121" s="421"/>
      <c r="I1121" s="421"/>
      <c r="J1121" s="421"/>
      <c r="K1121" s="421"/>
      <c r="L1121" s="421"/>
      <c r="M1121" s="421"/>
      <c r="N1121" s="421"/>
      <c r="O1121" s="421"/>
      <c r="P1121" s="57"/>
      <c r="Q1121" s="57"/>
      <c r="R1121" s="57"/>
      <c r="S1121" s="57"/>
      <c r="T1121" s="57"/>
      <c r="U1121" s="57"/>
      <c r="V1121" s="57"/>
      <c r="W1121" s="57"/>
      <c r="X1121" s="57"/>
    </row>
    <row r="1122" spans="1:24" ht="57.6">
      <c r="A1122" s="209">
        <v>15.1</v>
      </c>
      <c r="B1122" s="292" t="s">
        <v>740</v>
      </c>
      <c r="C1122" s="423">
        <v>1</v>
      </c>
      <c r="D1122" s="230" t="s">
        <v>741</v>
      </c>
      <c r="E1122" s="452">
        <v>17034</v>
      </c>
      <c r="F1122" s="109">
        <f>E1122*C1122</f>
        <v>17034</v>
      </c>
      <c r="G1122" s="453">
        <f>'Measurement sheet'!F801</f>
        <v>1</v>
      </c>
      <c r="H1122" s="438">
        <f>ROUND(G1122,2)</f>
        <v>1</v>
      </c>
      <c r="I1122" s="438">
        <f>H1122*E1122</f>
        <v>17034</v>
      </c>
      <c r="J1122" s="438">
        <f>G1122-C1122</f>
        <v>0</v>
      </c>
      <c r="K1122" s="438">
        <f>I1122-F1122</f>
        <v>0</v>
      </c>
      <c r="L1122" s="438">
        <f>IF(F1122&lt;I1122,(I1122-F1122),0)</f>
        <v>0</v>
      </c>
      <c r="M1122" s="438">
        <f>IF(F1122&gt;I1122,(I1122-F1122),0)</f>
        <v>0</v>
      </c>
      <c r="N1122" s="438">
        <f>M1122+L1122</f>
        <v>0</v>
      </c>
      <c r="O1122" s="487" t="s">
        <v>1613</v>
      </c>
      <c r="P1122" s="57"/>
      <c r="Q1122" s="57"/>
      <c r="R1122" s="57"/>
      <c r="S1122" s="57"/>
      <c r="T1122" s="57"/>
      <c r="U1122" s="57"/>
      <c r="V1122" s="57"/>
      <c r="W1122" s="57"/>
      <c r="X1122" s="57"/>
    </row>
    <row r="1123" spans="1:24">
      <c r="A1123" s="209"/>
      <c r="B1123" s="292"/>
      <c r="C1123" s="429"/>
      <c r="D1123" s="230"/>
      <c r="E1123" s="429"/>
      <c r="F1123" s="429"/>
      <c r="G1123" s="109"/>
      <c r="H1123" s="429"/>
      <c r="I1123" s="429"/>
      <c r="J1123" s="429"/>
      <c r="K1123" s="368"/>
      <c r="L1123" s="368"/>
      <c r="M1123" s="368"/>
      <c r="N1123" s="368"/>
      <c r="O1123" s="368"/>
      <c r="P1123" s="57"/>
      <c r="Q1123" s="57"/>
      <c r="R1123" s="57"/>
      <c r="S1123" s="57"/>
      <c r="T1123" s="57"/>
      <c r="U1123" s="57"/>
      <c r="V1123" s="57"/>
      <c r="W1123" s="57"/>
      <c r="X1123" s="57"/>
    </row>
    <row r="1124" spans="1:24" ht="52.8">
      <c r="A1124" s="209">
        <v>15.2</v>
      </c>
      <c r="B1124" s="351" t="s">
        <v>742</v>
      </c>
      <c r="C1124" s="429"/>
      <c r="D1124" s="230"/>
      <c r="E1124" s="429"/>
      <c r="F1124" s="429"/>
      <c r="G1124" s="422"/>
      <c r="H1124" s="429"/>
      <c r="I1124" s="429"/>
      <c r="J1124" s="429"/>
      <c r="K1124" s="368"/>
      <c r="L1124" s="368"/>
      <c r="M1124" s="368"/>
      <c r="N1124" s="368"/>
      <c r="O1124" s="368"/>
      <c r="P1124" s="57"/>
      <c r="Q1124" s="57"/>
      <c r="R1124" s="57"/>
      <c r="S1124" s="57"/>
      <c r="T1124" s="57"/>
      <c r="U1124" s="57"/>
      <c r="V1124" s="57"/>
      <c r="W1124" s="57"/>
      <c r="X1124" s="57"/>
    </row>
    <row r="1125" spans="1:24">
      <c r="A1125" s="209" t="s">
        <v>14</v>
      </c>
      <c r="B1125" s="292" t="s">
        <v>743</v>
      </c>
      <c r="C1125" s="423"/>
      <c r="D1125" s="230" t="s">
        <v>744</v>
      </c>
      <c r="E1125" s="452">
        <v>12107</v>
      </c>
      <c r="F1125" s="109">
        <f>E1125*C1125</f>
        <v>0</v>
      </c>
      <c r="G1125" s="451"/>
      <c r="H1125" s="438">
        <f>ROUND(G1125,2)</f>
        <v>0</v>
      </c>
      <c r="I1125" s="438">
        <f>H1125*E1125</f>
        <v>0</v>
      </c>
      <c r="J1125" s="438">
        <f>G1125-C1125</f>
        <v>0</v>
      </c>
      <c r="K1125" s="438">
        <f>I1125-F1125</f>
        <v>0</v>
      </c>
      <c r="L1125" s="438">
        <f>IF(F1125&lt;I1125,(I1125-F1125),0)</f>
        <v>0</v>
      </c>
      <c r="M1125" s="438">
        <f>IF(F1125&gt;I1125,(I1125-F1125),0)</f>
        <v>0</v>
      </c>
      <c r="N1125" s="438">
        <f>M1125+L1125</f>
        <v>0</v>
      </c>
      <c r="O1125" s="368"/>
      <c r="P1125" s="57"/>
      <c r="Q1125" s="57"/>
      <c r="R1125" s="57"/>
      <c r="S1125" s="57"/>
      <c r="T1125" s="57"/>
      <c r="U1125" s="57"/>
      <c r="V1125" s="57"/>
      <c r="W1125" s="57"/>
      <c r="X1125" s="57"/>
    </row>
    <row r="1126" spans="1:24">
      <c r="A1126" s="209" t="s">
        <v>44</v>
      </c>
      <c r="B1126" s="292" t="s">
        <v>745</v>
      </c>
      <c r="C1126" s="423"/>
      <c r="D1126" s="230" t="s">
        <v>744</v>
      </c>
      <c r="E1126" s="452">
        <v>15134</v>
      </c>
      <c r="F1126" s="109">
        <f>E1126*C1126</f>
        <v>0</v>
      </c>
      <c r="G1126" s="451"/>
      <c r="H1126" s="438">
        <f>ROUND(G1126,2)</f>
        <v>0</v>
      </c>
      <c r="I1126" s="438">
        <f>H1126*E1126</f>
        <v>0</v>
      </c>
      <c r="J1126" s="438">
        <f>G1126-C1126</f>
        <v>0</v>
      </c>
      <c r="K1126" s="438">
        <f>I1126-F1126</f>
        <v>0</v>
      </c>
      <c r="L1126" s="438">
        <f>IF(F1126&lt;I1126,(I1126-F1126),0)</f>
        <v>0</v>
      </c>
      <c r="M1126" s="438">
        <f>IF(F1126&gt;I1126,(I1126-F1126),0)</f>
        <v>0</v>
      </c>
      <c r="N1126" s="438">
        <f>M1126+L1126</f>
        <v>0</v>
      </c>
      <c r="O1126" s="368"/>
      <c r="P1126" s="57"/>
      <c r="Q1126" s="57"/>
      <c r="R1126" s="57"/>
      <c r="S1126" s="57"/>
      <c r="T1126" s="57"/>
      <c r="U1126" s="57"/>
      <c r="V1126" s="57"/>
      <c r="W1126" s="57"/>
      <c r="X1126" s="57"/>
    </row>
    <row r="1127" spans="1:24">
      <c r="A1127" s="209" t="s">
        <v>46</v>
      </c>
      <c r="B1127" s="292" t="s">
        <v>746</v>
      </c>
      <c r="C1127" s="423"/>
      <c r="D1127" s="230" t="s">
        <v>744</v>
      </c>
      <c r="E1127" s="452">
        <v>18221</v>
      </c>
      <c r="F1127" s="109">
        <f>E1127*C1127</f>
        <v>0</v>
      </c>
      <c r="G1127" s="451"/>
      <c r="H1127" s="438">
        <f>ROUND(G1127,2)</f>
        <v>0</v>
      </c>
      <c r="I1127" s="438">
        <f>H1127*E1127</f>
        <v>0</v>
      </c>
      <c r="J1127" s="438">
        <f>G1127-C1127</f>
        <v>0</v>
      </c>
      <c r="K1127" s="438">
        <f>I1127-F1127</f>
        <v>0</v>
      </c>
      <c r="L1127" s="438">
        <f>IF(F1127&lt;I1127,(I1127-F1127),0)</f>
        <v>0</v>
      </c>
      <c r="M1127" s="438">
        <f>IF(F1127&gt;I1127,(I1127-F1127),0)</f>
        <v>0</v>
      </c>
      <c r="N1127" s="438">
        <f>M1127+L1127</f>
        <v>0</v>
      </c>
      <c r="O1127" s="368"/>
      <c r="P1127" s="57"/>
      <c r="Q1127" s="57"/>
      <c r="R1127" s="57"/>
      <c r="S1127" s="57"/>
      <c r="T1127" s="57"/>
      <c r="U1127" s="57"/>
      <c r="V1127" s="57"/>
      <c r="W1127" s="57"/>
      <c r="X1127" s="57"/>
    </row>
    <row r="1128" spans="1:24">
      <c r="A1128" s="209"/>
      <c r="B1128" s="292"/>
      <c r="C1128" s="429"/>
      <c r="D1128" s="230"/>
      <c r="E1128" s="429"/>
      <c r="F1128" s="429"/>
      <c r="G1128" s="109"/>
      <c r="H1128" s="429"/>
      <c r="I1128" s="429"/>
      <c r="J1128" s="429"/>
      <c r="K1128" s="368"/>
      <c r="L1128" s="368"/>
      <c r="M1128" s="368"/>
      <c r="N1128" s="368"/>
      <c r="O1128" s="368"/>
      <c r="P1128" s="57"/>
      <c r="Q1128" s="57"/>
      <c r="R1128" s="57"/>
      <c r="S1128" s="57"/>
      <c r="T1128" s="57"/>
      <c r="U1128" s="57"/>
      <c r="V1128" s="57"/>
      <c r="W1128" s="57"/>
      <c r="X1128" s="57"/>
    </row>
    <row r="1129" spans="1:24" ht="79.2">
      <c r="A1129" s="209">
        <v>15.3</v>
      </c>
      <c r="B1129" s="351" t="s">
        <v>1411</v>
      </c>
      <c r="C1129" s="423"/>
      <c r="D1129" s="230" t="s">
        <v>747</v>
      </c>
      <c r="E1129" s="452">
        <v>3334</v>
      </c>
      <c r="F1129" s="109">
        <f>E1129*C1129</f>
        <v>0</v>
      </c>
      <c r="G1129" s="451"/>
      <c r="H1129" s="438">
        <f>ROUND(G1129,2)</f>
        <v>0</v>
      </c>
      <c r="I1129" s="438">
        <f>H1129*E1129</f>
        <v>0</v>
      </c>
      <c r="J1129" s="438">
        <f>G1129-C1129</f>
        <v>0</v>
      </c>
      <c r="K1129" s="438">
        <f>I1129-F1129</f>
        <v>0</v>
      </c>
      <c r="L1129" s="438">
        <f>IF(F1129&lt;I1129,(I1129-F1129),0)</f>
        <v>0</v>
      </c>
      <c r="M1129" s="438">
        <f>IF(F1129&gt;I1129,(I1129-F1129),0)</f>
        <v>0</v>
      </c>
      <c r="N1129" s="438">
        <f>M1129+L1129</f>
        <v>0</v>
      </c>
      <c r="O1129" s="368"/>
      <c r="P1129" s="57"/>
      <c r="Q1129" s="57"/>
      <c r="R1129" s="57"/>
      <c r="S1129" s="57"/>
      <c r="T1129" s="57"/>
      <c r="U1129" s="57"/>
      <c r="V1129" s="57"/>
      <c r="W1129" s="57"/>
      <c r="X1129" s="57"/>
    </row>
    <row r="1130" spans="1:24">
      <c r="A1130" s="209"/>
      <c r="B1130" s="214"/>
      <c r="C1130" s="422"/>
      <c r="D1130" s="212"/>
      <c r="E1130" s="422"/>
      <c r="F1130" s="422"/>
      <c r="G1130" s="109"/>
      <c r="H1130" s="422"/>
      <c r="I1130" s="422"/>
      <c r="J1130" s="422"/>
      <c r="K1130" s="368"/>
      <c r="L1130" s="368"/>
      <c r="M1130" s="368"/>
      <c r="N1130" s="368"/>
      <c r="O1130" s="368"/>
      <c r="P1130" s="57"/>
      <c r="Q1130" s="57"/>
      <c r="R1130" s="57"/>
      <c r="S1130" s="57"/>
      <c r="T1130" s="57"/>
      <c r="U1130" s="57"/>
      <c r="V1130" s="57"/>
      <c r="W1130" s="57"/>
      <c r="X1130" s="57"/>
    </row>
    <row r="1131" spans="1:24">
      <c r="A1131" s="366"/>
      <c r="B1131" s="365" t="s">
        <v>748</v>
      </c>
      <c r="C1131" s="425"/>
      <c r="D1131" s="367"/>
      <c r="E1131" s="425"/>
      <c r="F1131" s="425">
        <f>SUM(F1122:F1129)</f>
        <v>17034</v>
      </c>
      <c r="G1131" s="425"/>
      <c r="H1131" s="425"/>
      <c r="I1131" s="425">
        <f>SUM(I1122:I1129)</f>
        <v>17034</v>
      </c>
      <c r="J1131" s="425"/>
      <c r="K1131" s="425">
        <f>SUM(K1122:K1129)</f>
        <v>0</v>
      </c>
      <c r="L1131" s="425">
        <f>SUM(L1122:L1129)</f>
        <v>0</v>
      </c>
      <c r="M1131" s="425">
        <f>SUM(M1122:M1129)</f>
        <v>0</v>
      </c>
      <c r="N1131" s="425">
        <f>SUM(N1122:N1129)</f>
        <v>0</v>
      </c>
      <c r="O1131" s="425"/>
      <c r="P1131" s="57"/>
      <c r="Q1131" s="57"/>
      <c r="R1131" s="57"/>
      <c r="S1131" s="57"/>
      <c r="T1131" s="57"/>
      <c r="U1131" s="57"/>
      <c r="V1131" s="57"/>
      <c r="W1131" s="57"/>
      <c r="X1131" s="57"/>
    </row>
    <row r="1132" spans="1:24" s="66" customFormat="1">
      <c r="A1132" s="458"/>
      <c r="B1132" s="459"/>
      <c r="C1132" s="460"/>
      <c r="D1132" s="461"/>
      <c r="E1132" s="460"/>
      <c r="F1132" s="460"/>
      <c r="G1132" s="460"/>
      <c r="H1132" s="460"/>
      <c r="I1132" s="460"/>
      <c r="J1132" s="460"/>
      <c r="K1132" s="460"/>
      <c r="L1132" s="460"/>
      <c r="M1132" s="460"/>
      <c r="N1132" s="460"/>
      <c r="O1132" s="460"/>
    </row>
    <row r="1133" spans="1:24">
      <c r="A1133" s="366"/>
      <c r="B1133" s="387" t="s">
        <v>1552</v>
      </c>
      <c r="C1133" s="425"/>
      <c r="D1133" s="367"/>
      <c r="E1133" s="425"/>
      <c r="F1133" s="425">
        <f>$F$602</f>
        <v>237741</v>
      </c>
      <c r="G1133" s="425"/>
      <c r="H1133" s="425"/>
      <c r="I1133" s="425">
        <f>I602</f>
        <v>212537</v>
      </c>
      <c r="J1133" s="425"/>
      <c r="K1133" s="425">
        <f>K602</f>
        <v>-25204</v>
      </c>
      <c r="L1133" s="425">
        <f>L602</f>
        <v>0</v>
      </c>
      <c r="M1133" s="425">
        <f>M602</f>
        <v>-25204</v>
      </c>
      <c r="N1133" s="425">
        <f>N602</f>
        <v>-25204</v>
      </c>
      <c r="O1133" s="425"/>
      <c r="P1133" s="57"/>
      <c r="Q1133" s="57"/>
      <c r="R1133" s="57"/>
      <c r="S1133" s="57"/>
      <c r="T1133" s="57"/>
      <c r="U1133" s="57"/>
      <c r="V1133" s="57"/>
      <c r="W1133" s="57"/>
      <c r="X1133" s="57"/>
    </row>
    <row r="1134" spans="1:24">
      <c r="A1134" s="366"/>
      <c r="B1134" s="387" t="s">
        <v>1553</v>
      </c>
      <c r="C1134" s="425"/>
      <c r="D1134" s="367"/>
      <c r="E1134" s="425"/>
      <c r="F1134" s="425">
        <f>$F$656</f>
        <v>55333</v>
      </c>
      <c r="G1134" s="425"/>
      <c r="H1134" s="425"/>
      <c r="I1134" s="425">
        <f>I656</f>
        <v>0</v>
      </c>
      <c r="J1134" s="425"/>
      <c r="K1134" s="425">
        <f>K656</f>
        <v>-55333</v>
      </c>
      <c r="L1134" s="425">
        <f>L656</f>
        <v>0</v>
      </c>
      <c r="M1134" s="425">
        <f>M656</f>
        <v>-55333</v>
      </c>
      <c r="N1134" s="425">
        <f>N656</f>
        <v>-55333</v>
      </c>
      <c r="O1134" s="425"/>
      <c r="P1134" s="57"/>
      <c r="Q1134" s="57"/>
      <c r="R1134" s="57"/>
      <c r="S1134" s="57"/>
      <c r="T1134" s="57"/>
      <c r="U1134" s="57"/>
      <c r="V1134" s="57"/>
      <c r="W1134" s="57"/>
      <c r="X1134" s="57"/>
    </row>
    <row r="1135" spans="1:24">
      <c r="A1135" s="366"/>
      <c r="B1135" s="387" t="s">
        <v>1554</v>
      </c>
      <c r="C1135" s="425"/>
      <c r="D1135" s="367"/>
      <c r="E1135" s="425"/>
      <c r="F1135" s="425">
        <f>$F$776</f>
        <v>0</v>
      </c>
      <c r="G1135" s="425"/>
      <c r="H1135" s="425"/>
      <c r="I1135" s="425">
        <f>I776</f>
        <v>0</v>
      </c>
      <c r="J1135" s="425"/>
      <c r="K1135" s="425">
        <f>K776</f>
        <v>0</v>
      </c>
      <c r="L1135" s="425">
        <f>L776</f>
        <v>0</v>
      </c>
      <c r="M1135" s="425">
        <f>M776</f>
        <v>0</v>
      </c>
      <c r="N1135" s="425">
        <f>N776</f>
        <v>0</v>
      </c>
      <c r="O1135" s="425"/>
      <c r="P1135" s="57"/>
      <c r="Q1135" s="57"/>
      <c r="R1135" s="57"/>
      <c r="S1135" s="57"/>
      <c r="T1135" s="57"/>
      <c r="U1135" s="57"/>
      <c r="V1135" s="57"/>
      <c r="W1135" s="57"/>
      <c r="X1135" s="57"/>
    </row>
    <row r="1136" spans="1:24">
      <c r="A1136" s="366"/>
      <c r="B1136" s="387" t="s">
        <v>1555</v>
      </c>
      <c r="C1136" s="425"/>
      <c r="D1136" s="367"/>
      <c r="E1136" s="425"/>
      <c r="F1136" s="425">
        <f>$F$822</f>
        <v>27304</v>
      </c>
      <c r="G1136" s="425"/>
      <c r="H1136" s="425"/>
      <c r="I1136" s="425">
        <f>I822</f>
        <v>38366</v>
      </c>
      <c r="J1136" s="425"/>
      <c r="K1136" s="425">
        <f>K822</f>
        <v>11062</v>
      </c>
      <c r="L1136" s="425">
        <f>L822</f>
        <v>38366</v>
      </c>
      <c r="M1136" s="425">
        <f>M822</f>
        <v>-27304</v>
      </c>
      <c r="N1136" s="425">
        <f>N822</f>
        <v>11062</v>
      </c>
      <c r="O1136" s="425"/>
      <c r="P1136" s="57"/>
      <c r="Q1136" s="57"/>
      <c r="R1136" s="57"/>
      <c r="S1136" s="57"/>
      <c r="T1136" s="57"/>
      <c r="U1136" s="57"/>
      <c r="V1136" s="57"/>
      <c r="W1136" s="57"/>
      <c r="X1136" s="57"/>
    </row>
    <row r="1137" spans="1:24">
      <c r="A1137" s="366"/>
      <c r="B1137" s="387" t="s">
        <v>1556</v>
      </c>
      <c r="C1137" s="425"/>
      <c r="D1137" s="367"/>
      <c r="E1137" s="425"/>
      <c r="F1137" s="425">
        <f>$F$894</f>
        <v>157690</v>
      </c>
      <c r="G1137" s="425"/>
      <c r="H1137" s="425"/>
      <c r="I1137" s="425">
        <f>I894</f>
        <v>82487</v>
      </c>
      <c r="J1137" s="425"/>
      <c r="K1137" s="425">
        <f>K894</f>
        <v>-75203</v>
      </c>
      <c r="L1137" s="425">
        <f>L894</f>
        <v>16640</v>
      </c>
      <c r="M1137" s="425">
        <f>M894</f>
        <v>-91843</v>
      </c>
      <c r="N1137" s="425">
        <f>N894</f>
        <v>-75203</v>
      </c>
      <c r="O1137" s="425"/>
      <c r="P1137" s="57"/>
      <c r="Q1137" s="57"/>
      <c r="R1137" s="57"/>
      <c r="S1137" s="57"/>
      <c r="T1137" s="57"/>
      <c r="U1137" s="57"/>
      <c r="V1137" s="57"/>
      <c r="W1137" s="57"/>
      <c r="X1137" s="57"/>
    </row>
    <row r="1138" spans="1:24">
      <c r="A1138" s="366"/>
      <c r="B1138" s="387" t="s">
        <v>1557</v>
      </c>
      <c r="C1138" s="425"/>
      <c r="D1138" s="367"/>
      <c r="E1138" s="425"/>
      <c r="F1138" s="425">
        <f>$F$917</f>
        <v>77500</v>
      </c>
      <c r="G1138" s="425"/>
      <c r="H1138" s="425"/>
      <c r="I1138" s="425">
        <f>I917</f>
        <v>39404</v>
      </c>
      <c r="J1138" s="425"/>
      <c r="K1138" s="425">
        <f>K917</f>
        <v>-38096</v>
      </c>
      <c r="L1138" s="425">
        <f>L917</f>
        <v>0</v>
      </c>
      <c r="M1138" s="425">
        <f>M917</f>
        <v>-38096</v>
      </c>
      <c r="N1138" s="425">
        <f>N917</f>
        <v>-38096</v>
      </c>
      <c r="O1138" s="425"/>
      <c r="P1138" s="57"/>
      <c r="Q1138" s="57"/>
      <c r="R1138" s="57"/>
      <c r="S1138" s="57"/>
      <c r="T1138" s="57"/>
      <c r="U1138" s="57"/>
      <c r="V1138" s="57"/>
      <c r="W1138" s="57"/>
      <c r="X1138" s="57"/>
    </row>
    <row r="1139" spans="1:24">
      <c r="A1139" s="366"/>
      <c r="B1139" s="387" t="s">
        <v>1558</v>
      </c>
      <c r="C1139" s="425"/>
      <c r="D1139" s="367"/>
      <c r="E1139" s="425"/>
      <c r="F1139" s="425">
        <f>$F$941</f>
        <v>81495</v>
      </c>
      <c r="G1139" s="425"/>
      <c r="H1139" s="425"/>
      <c r="I1139" s="425">
        <f>I941</f>
        <v>0</v>
      </c>
      <c r="J1139" s="425"/>
      <c r="K1139" s="425">
        <f>K941</f>
        <v>-81495</v>
      </c>
      <c r="L1139" s="425">
        <f>L941</f>
        <v>0</v>
      </c>
      <c r="M1139" s="425">
        <f>M941</f>
        <v>-81495</v>
      </c>
      <c r="N1139" s="425">
        <f>N941</f>
        <v>-81495</v>
      </c>
      <c r="O1139" s="425"/>
      <c r="P1139" s="57"/>
      <c r="Q1139" s="57"/>
      <c r="R1139" s="57"/>
      <c r="S1139" s="57"/>
      <c r="T1139" s="57"/>
      <c r="U1139" s="57"/>
      <c r="V1139" s="57"/>
      <c r="W1139" s="57"/>
      <c r="X1139" s="57"/>
    </row>
    <row r="1140" spans="1:24">
      <c r="A1140" s="366"/>
      <c r="B1140" s="387" t="s">
        <v>1559</v>
      </c>
      <c r="C1140" s="425"/>
      <c r="D1140" s="367"/>
      <c r="E1140" s="425"/>
      <c r="F1140" s="425">
        <f>$F$956</f>
        <v>0</v>
      </c>
      <c r="G1140" s="425"/>
      <c r="H1140" s="425"/>
      <c r="I1140" s="425">
        <f>I956</f>
        <v>0</v>
      </c>
      <c r="J1140" s="425"/>
      <c r="K1140" s="425">
        <f>K956</f>
        <v>0</v>
      </c>
      <c r="L1140" s="425">
        <f>L956</f>
        <v>0</v>
      </c>
      <c r="M1140" s="425">
        <f>M956</f>
        <v>0</v>
      </c>
      <c r="N1140" s="425">
        <f>N956</f>
        <v>0</v>
      </c>
      <c r="O1140" s="425"/>
      <c r="P1140" s="57"/>
      <c r="Q1140" s="57"/>
      <c r="R1140" s="57"/>
      <c r="S1140" s="57"/>
      <c r="T1140" s="57"/>
      <c r="U1140" s="57"/>
      <c r="V1140" s="57"/>
      <c r="W1140" s="57"/>
      <c r="X1140" s="57"/>
    </row>
    <row r="1141" spans="1:24">
      <c r="A1141" s="366"/>
      <c r="B1141" s="387" t="s">
        <v>1560</v>
      </c>
      <c r="C1141" s="425"/>
      <c r="D1141" s="367"/>
      <c r="E1141" s="425"/>
      <c r="F1141" s="425">
        <f>$F$978</f>
        <v>118307</v>
      </c>
      <c r="G1141" s="425"/>
      <c r="H1141" s="425"/>
      <c r="I1141" s="425">
        <f>I978</f>
        <v>97327</v>
      </c>
      <c r="J1141" s="425"/>
      <c r="K1141" s="425">
        <f>K978</f>
        <v>-20980</v>
      </c>
      <c r="L1141" s="425">
        <f>L978</f>
        <v>16440</v>
      </c>
      <c r="M1141" s="425">
        <f>M978</f>
        <v>-37420</v>
      </c>
      <c r="N1141" s="425">
        <f>N978</f>
        <v>-20980</v>
      </c>
      <c r="O1141" s="425"/>
      <c r="P1141" s="57"/>
      <c r="Q1141" s="57"/>
      <c r="R1141" s="57"/>
      <c r="S1141" s="57"/>
      <c r="T1141" s="57"/>
      <c r="U1141" s="57"/>
      <c r="V1141" s="57"/>
      <c r="W1141" s="57"/>
      <c r="X1141" s="57"/>
    </row>
    <row r="1142" spans="1:24">
      <c r="A1142" s="366"/>
      <c r="B1142" s="387" t="s">
        <v>1561</v>
      </c>
      <c r="C1142" s="425"/>
      <c r="D1142" s="367"/>
      <c r="E1142" s="425"/>
      <c r="F1142" s="425">
        <f>$F$998</f>
        <v>57918</v>
      </c>
      <c r="G1142" s="425"/>
      <c r="H1142" s="425"/>
      <c r="I1142" s="425">
        <f>I998</f>
        <v>44657.56</v>
      </c>
      <c r="J1142" s="425"/>
      <c r="K1142" s="425">
        <f>K998</f>
        <v>-13260.439999999999</v>
      </c>
      <c r="L1142" s="425">
        <f>L998</f>
        <v>0</v>
      </c>
      <c r="M1142" s="425">
        <f>M998</f>
        <v>-13260.439999999999</v>
      </c>
      <c r="N1142" s="425">
        <f>N998</f>
        <v>-13260.439999999999</v>
      </c>
      <c r="O1142" s="425"/>
      <c r="P1142" s="57"/>
      <c r="Q1142" s="57"/>
      <c r="R1142" s="57"/>
      <c r="S1142" s="57"/>
      <c r="T1142" s="57"/>
      <c r="U1142" s="57"/>
      <c r="V1142" s="57"/>
      <c r="W1142" s="57"/>
      <c r="X1142" s="57"/>
    </row>
    <row r="1143" spans="1:24">
      <c r="A1143" s="366"/>
      <c r="B1143" s="387" t="s">
        <v>1562</v>
      </c>
      <c r="C1143" s="425"/>
      <c r="D1143" s="367"/>
      <c r="E1143" s="425"/>
      <c r="F1143" s="425">
        <f>$F$1025</f>
        <v>98160</v>
      </c>
      <c r="G1143" s="425"/>
      <c r="H1143" s="425"/>
      <c r="I1143" s="425">
        <f>I1025</f>
        <v>87241</v>
      </c>
      <c r="J1143" s="425"/>
      <c r="K1143" s="425">
        <f>K1025</f>
        <v>-10919</v>
      </c>
      <c r="L1143" s="425">
        <f>L1025</f>
        <v>12676</v>
      </c>
      <c r="M1143" s="425">
        <f>M1025</f>
        <v>-23595</v>
      </c>
      <c r="N1143" s="425">
        <f>N1025</f>
        <v>-10919</v>
      </c>
      <c r="O1143" s="425"/>
      <c r="P1143" s="57"/>
      <c r="Q1143" s="57"/>
      <c r="R1143" s="57"/>
      <c r="S1143" s="57"/>
      <c r="T1143" s="57"/>
      <c r="U1143" s="57"/>
      <c r="V1143" s="57"/>
      <c r="W1143" s="57"/>
      <c r="X1143" s="57"/>
    </row>
    <row r="1144" spans="1:24">
      <c r="A1144" s="366"/>
      <c r="B1144" s="387" t="s">
        <v>1563</v>
      </c>
      <c r="C1144" s="425"/>
      <c r="D1144" s="367"/>
      <c r="E1144" s="425"/>
      <c r="F1144" s="425">
        <f>$F$1079</f>
        <v>141696</v>
      </c>
      <c r="G1144" s="425"/>
      <c r="H1144" s="425"/>
      <c r="I1144" s="425">
        <f>I1079</f>
        <v>139586</v>
      </c>
      <c r="J1144" s="425"/>
      <c r="K1144" s="425">
        <f>K1079</f>
        <v>-2110</v>
      </c>
      <c r="L1144" s="425">
        <f>L1079</f>
        <v>18728</v>
      </c>
      <c r="M1144" s="425">
        <f>M1079</f>
        <v>-20838</v>
      </c>
      <c r="N1144" s="425">
        <f>N1079</f>
        <v>-2110</v>
      </c>
      <c r="O1144" s="425"/>
      <c r="P1144" s="57"/>
      <c r="Q1144" s="57"/>
      <c r="R1144" s="57"/>
      <c r="S1144" s="57"/>
      <c r="T1144" s="57"/>
      <c r="U1144" s="57"/>
      <c r="V1144" s="57"/>
      <c r="W1144" s="57"/>
      <c r="X1144" s="57"/>
    </row>
    <row r="1145" spans="1:24">
      <c r="A1145" s="366"/>
      <c r="B1145" s="387" t="s">
        <v>1564</v>
      </c>
      <c r="C1145" s="425"/>
      <c r="D1145" s="367"/>
      <c r="E1145" s="425"/>
      <c r="F1145" s="425">
        <f>$F$1114</f>
        <v>36681</v>
      </c>
      <c r="G1145" s="425"/>
      <c r="H1145" s="425"/>
      <c r="I1145" s="425">
        <f>I1114</f>
        <v>35015</v>
      </c>
      <c r="J1145" s="425"/>
      <c r="K1145" s="425">
        <f>K1114</f>
        <v>-1666</v>
      </c>
      <c r="L1145" s="425">
        <f>L1114</f>
        <v>2589</v>
      </c>
      <c r="M1145" s="425">
        <f>M1114</f>
        <v>-4255</v>
      </c>
      <c r="N1145" s="425">
        <f>N1114</f>
        <v>-1666</v>
      </c>
      <c r="O1145" s="425"/>
      <c r="P1145" s="57"/>
      <c r="Q1145" s="57"/>
      <c r="R1145" s="57"/>
      <c r="S1145" s="57"/>
      <c r="T1145" s="57"/>
      <c r="U1145" s="57"/>
      <c r="V1145" s="57"/>
      <c r="W1145" s="57"/>
      <c r="X1145" s="57"/>
    </row>
    <row r="1146" spans="1:24">
      <c r="A1146" s="366"/>
      <c r="B1146" s="387" t="s">
        <v>1565</v>
      </c>
      <c r="C1146" s="425"/>
      <c r="D1146" s="367"/>
      <c r="E1146" s="425"/>
      <c r="F1146" s="425">
        <f>$F$1119</f>
        <v>0</v>
      </c>
      <c r="G1146" s="425"/>
      <c r="H1146" s="425"/>
      <c r="I1146" s="425">
        <f>I1119</f>
        <v>0</v>
      </c>
      <c r="J1146" s="425"/>
      <c r="K1146" s="425">
        <f>K1119</f>
        <v>0</v>
      </c>
      <c r="L1146" s="425">
        <f>L1119</f>
        <v>0</v>
      </c>
      <c r="M1146" s="425">
        <f>M1119</f>
        <v>0</v>
      </c>
      <c r="N1146" s="425">
        <f>N1119</f>
        <v>0</v>
      </c>
      <c r="O1146" s="425"/>
      <c r="P1146" s="57"/>
      <c r="Q1146" s="57"/>
      <c r="R1146" s="57"/>
      <c r="S1146" s="57"/>
      <c r="T1146" s="57"/>
      <c r="U1146" s="57"/>
      <c r="V1146" s="57"/>
      <c r="W1146" s="57"/>
      <c r="X1146" s="57"/>
    </row>
    <row r="1147" spans="1:24">
      <c r="A1147" s="366"/>
      <c r="B1147" s="387" t="s">
        <v>1566</v>
      </c>
      <c r="C1147" s="425"/>
      <c r="D1147" s="367"/>
      <c r="E1147" s="425"/>
      <c r="F1147" s="425">
        <f>$F$1131</f>
        <v>17034</v>
      </c>
      <c r="G1147" s="425"/>
      <c r="H1147" s="425"/>
      <c r="I1147" s="425">
        <f>I1131</f>
        <v>17034</v>
      </c>
      <c r="J1147" s="425"/>
      <c r="K1147" s="425">
        <f>K1131</f>
        <v>0</v>
      </c>
      <c r="L1147" s="425">
        <f>L1131</f>
        <v>0</v>
      </c>
      <c r="M1147" s="425">
        <f>M1131</f>
        <v>0</v>
      </c>
      <c r="N1147" s="425">
        <f>N1131</f>
        <v>0</v>
      </c>
      <c r="O1147" s="425"/>
      <c r="P1147" s="57"/>
      <c r="Q1147" s="57"/>
      <c r="R1147" s="57"/>
      <c r="S1147" s="57"/>
      <c r="T1147" s="57"/>
      <c r="U1147" s="57"/>
      <c r="V1147" s="57"/>
      <c r="W1147" s="57"/>
      <c r="X1147" s="57"/>
    </row>
    <row r="1148" spans="1:24">
      <c r="A1148" s="363"/>
      <c r="B1148" s="359" t="s">
        <v>749</v>
      </c>
      <c r="C1148" s="417"/>
      <c r="D1148" s="364"/>
      <c r="E1148" s="417"/>
      <c r="F1148" s="416">
        <f>SUM(F1133:F1147)</f>
        <v>1106859</v>
      </c>
      <c r="G1148" s="403"/>
      <c r="H1148" s="416"/>
      <c r="I1148" s="416">
        <f>SUM(I1133:I1147)</f>
        <v>793654.56</v>
      </c>
      <c r="J1148" s="416"/>
      <c r="K1148" s="416">
        <f>SUM(K1133:K1147)</f>
        <v>-313204.44</v>
      </c>
      <c r="L1148" s="416">
        <f>SUM(L1133:L1147)</f>
        <v>105439</v>
      </c>
      <c r="M1148" s="416">
        <f>SUM(M1133:M1147)</f>
        <v>-418643.44</v>
      </c>
      <c r="N1148" s="416">
        <f>SUM(N1133:N1147)</f>
        <v>-313204.44</v>
      </c>
      <c r="O1148" s="403"/>
      <c r="P1148" s="57"/>
      <c r="Q1148" s="57"/>
      <c r="R1148" s="57"/>
      <c r="S1148" s="57"/>
      <c r="T1148" s="57"/>
      <c r="U1148" s="57"/>
      <c r="V1148" s="57"/>
      <c r="W1148" s="57"/>
      <c r="X1148" s="57"/>
    </row>
    <row r="1149" spans="1:24">
      <c r="A1149" s="300"/>
      <c r="B1149" s="300"/>
      <c r="C1149" s="408"/>
      <c r="D1149" s="316"/>
      <c r="E1149" s="408"/>
      <c r="F1149" s="408"/>
      <c r="G1149" s="408"/>
      <c r="H1149" s="408"/>
      <c r="I1149" s="408"/>
      <c r="J1149" s="408"/>
      <c r="K1149" s="368"/>
      <c r="L1149" s="368"/>
      <c r="M1149" s="368"/>
      <c r="N1149" s="368"/>
      <c r="O1149" s="368"/>
      <c r="P1149" s="57"/>
      <c r="Q1149" s="57"/>
      <c r="R1149" s="57"/>
      <c r="S1149" s="57"/>
      <c r="T1149" s="57"/>
      <c r="U1149" s="57"/>
      <c r="V1149" s="57"/>
      <c r="W1149" s="57"/>
      <c r="X1149" s="57"/>
    </row>
    <row r="1150" spans="1:24">
      <c r="A1150" s="352" t="s">
        <v>9</v>
      </c>
      <c r="B1150" s="94" t="s">
        <v>1882</v>
      </c>
      <c r="C1150" s="432"/>
      <c r="D1150" s="95"/>
      <c r="E1150" s="432"/>
      <c r="F1150" s="432"/>
      <c r="G1150" s="432"/>
      <c r="H1150" s="432"/>
      <c r="I1150" s="432"/>
      <c r="J1150" s="432"/>
      <c r="K1150" s="432"/>
      <c r="L1150" s="432"/>
      <c r="M1150" s="432"/>
      <c r="N1150" s="432"/>
      <c r="O1150" s="432"/>
      <c r="P1150" s="57"/>
      <c r="Q1150" s="57"/>
      <c r="R1150" s="57"/>
      <c r="S1150" s="57"/>
      <c r="T1150" s="57"/>
      <c r="U1150" s="57"/>
      <c r="V1150" s="57"/>
      <c r="W1150" s="57"/>
      <c r="X1150" s="57"/>
    </row>
    <row r="1151" spans="1:24">
      <c r="A1151" s="353" t="s">
        <v>394</v>
      </c>
      <c r="B1151" s="354"/>
      <c r="C1151" s="433"/>
      <c r="D1151" s="254"/>
      <c r="E1151" s="433"/>
      <c r="F1151" s="433"/>
      <c r="G1151" s="433"/>
      <c r="H1151" s="433"/>
      <c r="I1151" s="433"/>
      <c r="J1151" s="433"/>
      <c r="K1151" s="368"/>
      <c r="L1151" s="368"/>
      <c r="M1151" s="368"/>
      <c r="N1151" s="368"/>
      <c r="O1151" s="368"/>
      <c r="P1151" s="57"/>
      <c r="Q1151" s="57"/>
      <c r="R1151" s="57"/>
      <c r="S1151" s="57"/>
      <c r="T1151" s="57"/>
      <c r="U1151" s="57"/>
      <c r="V1151" s="57"/>
      <c r="W1151" s="57"/>
      <c r="X1151" s="57"/>
    </row>
    <row r="1152" spans="1:24">
      <c r="A1152" s="355">
        <v>1</v>
      </c>
      <c r="B1152" s="356" t="s">
        <v>750</v>
      </c>
      <c r="C1152" s="434"/>
      <c r="D1152" s="357" t="s">
        <v>522</v>
      </c>
      <c r="E1152" s="456">
        <v>1500</v>
      </c>
      <c r="F1152" s="109">
        <f t="shared" ref="F1152:F1162" si="114">E1152*C1152</f>
        <v>0</v>
      </c>
      <c r="G1152" s="457">
        <f>'Measurement sheet'!F803</f>
        <v>0</v>
      </c>
      <c r="H1152" s="438">
        <f t="shared" ref="H1152:H1162" si="115">ROUND(G1152,2)</f>
        <v>0</v>
      </c>
      <c r="I1152" s="438">
        <f t="shared" ref="I1152:I1162" si="116">H1152*E1152</f>
        <v>0</v>
      </c>
      <c r="J1152" s="438">
        <f t="shared" ref="J1152:J1162" si="117">G1152-C1152</f>
        <v>0</v>
      </c>
      <c r="K1152" s="438">
        <f t="shared" ref="K1152:K1162" si="118">I1152-F1152</f>
        <v>0</v>
      </c>
      <c r="L1152" s="438">
        <f t="shared" ref="L1152:L1162" si="119">IF(F1152&lt;I1152,(I1152-F1152),0)</f>
        <v>0</v>
      </c>
      <c r="M1152" s="438">
        <f t="shared" ref="M1152:M1162" si="120">IF(F1152&gt;I1152,(I1152-F1152),0)</f>
        <v>0</v>
      </c>
      <c r="N1152" s="438">
        <f t="shared" ref="N1152:N1162" si="121">M1152+L1152</f>
        <v>0</v>
      </c>
      <c r="O1152" s="368"/>
      <c r="P1152" s="57"/>
      <c r="Q1152" s="57"/>
      <c r="R1152" s="57"/>
      <c r="S1152" s="57"/>
      <c r="T1152" s="57"/>
      <c r="U1152" s="57"/>
      <c r="V1152" s="57"/>
      <c r="W1152" s="57"/>
      <c r="X1152" s="57"/>
    </row>
    <row r="1153" spans="1:24">
      <c r="A1153" s="355">
        <v>2</v>
      </c>
      <c r="B1153" s="356" t="s">
        <v>751</v>
      </c>
      <c r="C1153" s="434"/>
      <c r="D1153" s="357" t="s">
        <v>522</v>
      </c>
      <c r="E1153" s="456">
        <v>1800</v>
      </c>
      <c r="F1153" s="109">
        <f t="shared" si="114"/>
        <v>0</v>
      </c>
      <c r="G1153" s="457">
        <f>'Measurement sheet'!F804</f>
        <v>0</v>
      </c>
      <c r="H1153" s="438">
        <f t="shared" si="115"/>
        <v>0</v>
      </c>
      <c r="I1153" s="438">
        <f t="shared" si="116"/>
        <v>0</v>
      </c>
      <c r="J1153" s="438">
        <f t="shared" si="117"/>
        <v>0</v>
      </c>
      <c r="K1153" s="438">
        <f t="shared" si="118"/>
        <v>0</v>
      </c>
      <c r="L1153" s="438">
        <f t="shared" si="119"/>
        <v>0</v>
      </c>
      <c r="M1153" s="438">
        <f t="shared" si="120"/>
        <v>0</v>
      </c>
      <c r="N1153" s="438">
        <f t="shared" si="121"/>
        <v>0</v>
      </c>
      <c r="O1153" s="368"/>
      <c r="P1153" s="57"/>
      <c r="Q1153" s="57"/>
      <c r="R1153" s="57"/>
      <c r="S1153" s="57"/>
      <c r="T1153" s="57"/>
      <c r="U1153" s="57"/>
      <c r="V1153" s="57"/>
      <c r="W1153" s="57"/>
      <c r="X1153" s="57"/>
    </row>
    <row r="1154" spans="1:24" ht="43.2">
      <c r="A1154" s="355">
        <v>3</v>
      </c>
      <c r="B1154" s="480" t="s">
        <v>752</v>
      </c>
      <c r="C1154" s="434"/>
      <c r="D1154" s="357" t="s">
        <v>18</v>
      </c>
      <c r="E1154" s="456">
        <v>789</v>
      </c>
      <c r="F1154" s="109">
        <f t="shared" si="114"/>
        <v>0</v>
      </c>
      <c r="G1154" s="457">
        <f>'Measurement sheet'!F805</f>
        <v>94.4</v>
      </c>
      <c r="H1154" s="438">
        <f t="shared" si="115"/>
        <v>94.4</v>
      </c>
      <c r="I1154" s="438">
        <f t="shared" si="116"/>
        <v>74481.600000000006</v>
      </c>
      <c r="J1154" s="438">
        <f t="shared" si="117"/>
        <v>94.4</v>
      </c>
      <c r="K1154" s="438">
        <f t="shared" si="118"/>
        <v>74481.600000000006</v>
      </c>
      <c r="L1154" s="438">
        <f t="shared" si="119"/>
        <v>74481.600000000006</v>
      </c>
      <c r="M1154" s="438">
        <f t="shared" si="120"/>
        <v>0</v>
      </c>
      <c r="N1154" s="438">
        <f t="shared" si="121"/>
        <v>74481.600000000006</v>
      </c>
      <c r="O1154" s="479" t="s">
        <v>1611</v>
      </c>
      <c r="P1154" s="57"/>
      <c r="Q1154" s="57"/>
      <c r="R1154" s="57"/>
      <c r="S1154" s="57"/>
      <c r="T1154" s="57"/>
      <c r="U1154" s="57"/>
      <c r="V1154" s="57"/>
      <c r="W1154" s="57"/>
      <c r="X1154" s="57"/>
    </row>
    <row r="1155" spans="1:24" ht="43.2">
      <c r="A1155" s="355">
        <v>4</v>
      </c>
      <c r="B1155" s="486" t="s">
        <v>753</v>
      </c>
      <c r="C1155" s="434"/>
      <c r="D1155" s="357" t="s">
        <v>18</v>
      </c>
      <c r="E1155" s="456">
        <v>996</v>
      </c>
      <c r="F1155" s="109">
        <f t="shared" si="114"/>
        <v>0</v>
      </c>
      <c r="G1155" s="457">
        <f>'Measurement sheet'!F806</f>
        <v>54</v>
      </c>
      <c r="H1155" s="438">
        <f t="shared" si="115"/>
        <v>54</v>
      </c>
      <c r="I1155" s="438">
        <f t="shared" si="116"/>
        <v>53784</v>
      </c>
      <c r="J1155" s="438">
        <f t="shared" si="117"/>
        <v>54</v>
      </c>
      <c r="K1155" s="438">
        <f t="shared" si="118"/>
        <v>53784</v>
      </c>
      <c r="L1155" s="438">
        <f t="shared" si="119"/>
        <v>53784</v>
      </c>
      <c r="M1155" s="438">
        <f t="shared" si="120"/>
        <v>0</v>
      </c>
      <c r="N1155" s="438">
        <f t="shared" si="121"/>
        <v>53784</v>
      </c>
      <c r="O1155" s="479" t="s">
        <v>1611</v>
      </c>
      <c r="P1155" s="57"/>
      <c r="Q1155" s="57"/>
      <c r="R1155" s="57"/>
      <c r="S1155" s="57"/>
      <c r="T1155" s="57"/>
      <c r="U1155" s="57"/>
      <c r="V1155" s="57"/>
      <c r="W1155" s="57"/>
      <c r="X1155" s="57"/>
    </row>
    <row r="1156" spans="1:24" ht="43.2">
      <c r="A1156" s="355">
        <v>5</v>
      </c>
      <c r="B1156" s="480" t="s">
        <v>754</v>
      </c>
      <c r="C1156" s="434"/>
      <c r="D1156" s="357" t="s">
        <v>18</v>
      </c>
      <c r="E1156" s="456">
        <v>695</v>
      </c>
      <c r="F1156" s="109">
        <f t="shared" si="114"/>
        <v>0</v>
      </c>
      <c r="G1156" s="457">
        <f>'Measurement sheet'!F807</f>
        <v>21</v>
      </c>
      <c r="H1156" s="438">
        <f t="shared" si="115"/>
        <v>21</v>
      </c>
      <c r="I1156" s="438">
        <f t="shared" si="116"/>
        <v>14595</v>
      </c>
      <c r="J1156" s="438">
        <f t="shared" si="117"/>
        <v>21</v>
      </c>
      <c r="K1156" s="438">
        <f t="shared" si="118"/>
        <v>14595</v>
      </c>
      <c r="L1156" s="438">
        <f t="shared" si="119"/>
        <v>14595</v>
      </c>
      <c r="M1156" s="438">
        <f t="shared" si="120"/>
        <v>0</v>
      </c>
      <c r="N1156" s="438">
        <f t="shared" si="121"/>
        <v>14595</v>
      </c>
      <c r="O1156" s="479" t="s">
        <v>1611</v>
      </c>
      <c r="P1156" s="57"/>
      <c r="Q1156" s="57"/>
      <c r="R1156" s="57"/>
      <c r="S1156" s="57"/>
      <c r="T1156" s="57"/>
      <c r="U1156" s="57"/>
      <c r="V1156" s="57"/>
      <c r="W1156" s="57"/>
      <c r="X1156" s="57"/>
    </row>
    <row r="1157" spans="1:24" ht="43.2">
      <c r="A1157" s="355">
        <v>6</v>
      </c>
      <c r="B1157" s="480" t="s">
        <v>755</v>
      </c>
      <c r="C1157" s="434"/>
      <c r="D1157" s="357" t="s">
        <v>756</v>
      </c>
      <c r="E1157" s="456">
        <v>180</v>
      </c>
      <c r="F1157" s="109">
        <f t="shared" si="114"/>
        <v>0</v>
      </c>
      <c r="G1157" s="457">
        <f>'Measurement sheet'!F808</f>
        <v>15</v>
      </c>
      <c r="H1157" s="438">
        <f t="shared" si="115"/>
        <v>15</v>
      </c>
      <c r="I1157" s="438">
        <f t="shared" si="116"/>
        <v>2700</v>
      </c>
      <c r="J1157" s="438">
        <f t="shared" si="117"/>
        <v>15</v>
      </c>
      <c r="K1157" s="438">
        <f t="shared" si="118"/>
        <v>2700</v>
      </c>
      <c r="L1157" s="438">
        <f t="shared" si="119"/>
        <v>2700</v>
      </c>
      <c r="M1157" s="438">
        <f t="shared" si="120"/>
        <v>0</v>
      </c>
      <c r="N1157" s="438">
        <f t="shared" si="121"/>
        <v>2700</v>
      </c>
      <c r="O1157" s="479" t="s">
        <v>1611</v>
      </c>
      <c r="P1157" s="57"/>
      <c r="Q1157" s="57"/>
      <c r="R1157" s="57"/>
      <c r="S1157" s="57"/>
      <c r="T1157" s="57"/>
      <c r="U1157" s="57"/>
      <c r="V1157" s="57"/>
      <c r="W1157" s="57"/>
      <c r="X1157" s="57"/>
    </row>
    <row r="1158" spans="1:24" ht="43.2">
      <c r="A1158" s="355">
        <v>7</v>
      </c>
      <c r="B1158" s="480" t="s">
        <v>755</v>
      </c>
      <c r="C1158" s="434"/>
      <c r="D1158" s="357" t="s">
        <v>756</v>
      </c>
      <c r="E1158" s="456">
        <v>180</v>
      </c>
      <c r="F1158" s="109">
        <f t="shared" si="114"/>
        <v>0</v>
      </c>
      <c r="G1158" s="457">
        <f>'Measurement sheet'!F809</f>
        <v>25</v>
      </c>
      <c r="H1158" s="438">
        <f t="shared" si="115"/>
        <v>25</v>
      </c>
      <c r="I1158" s="438">
        <f t="shared" si="116"/>
        <v>4500</v>
      </c>
      <c r="J1158" s="438">
        <f t="shared" si="117"/>
        <v>25</v>
      </c>
      <c r="K1158" s="438">
        <f t="shared" si="118"/>
        <v>4500</v>
      </c>
      <c r="L1158" s="438">
        <f t="shared" si="119"/>
        <v>4500</v>
      </c>
      <c r="M1158" s="438">
        <f t="shared" si="120"/>
        <v>0</v>
      </c>
      <c r="N1158" s="438">
        <f t="shared" si="121"/>
        <v>4500</v>
      </c>
      <c r="O1158" s="479" t="s">
        <v>1611</v>
      </c>
      <c r="P1158" s="57"/>
      <c r="Q1158" s="57"/>
      <c r="R1158" s="57"/>
      <c r="S1158" s="57"/>
      <c r="T1158" s="57"/>
      <c r="U1158" s="57"/>
      <c r="V1158" s="57"/>
      <c r="W1158" s="57"/>
      <c r="X1158" s="57"/>
    </row>
    <row r="1159" spans="1:24" ht="43.2">
      <c r="A1159" s="355">
        <v>8</v>
      </c>
      <c r="B1159" s="480" t="s">
        <v>757</v>
      </c>
      <c r="C1159" s="434"/>
      <c r="D1159" s="357" t="s">
        <v>758</v>
      </c>
      <c r="E1159" s="456">
        <v>110</v>
      </c>
      <c r="F1159" s="109">
        <f t="shared" si="114"/>
        <v>0</v>
      </c>
      <c r="G1159" s="457">
        <f>'Measurement sheet'!F810</f>
        <v>25</v>
      </c>
      <c r="H1159" s="438">
        <f t="shared" si="115"/>
        <v>25</v>
      </c>
      <c r="I1159" s="438">
        <f t="shared" si="116"/>
        <v>2750</v>
      </c>
      <c r="J1159" s="438">
        <f t="shared" si="117"/>
        <v>25</v>
      </c>
      <c r="K1159" s="438">
        <f t="shared" si="118"/>
        <v>2750</v>
      </c>
      <c r="L1159" s="438">
        <f t="shared" si="119"/>
        <v>2750</v>
      </c>
      <c r="M1159" s="438">
        <f t="shared" si="120"/>
        <v>0</v>
      </c>
      <c r="N1159" s="438">
        <f t="shared" si="121"/>
        <v>2750</v>
      </c>
      <c r="O1159" s="479" t="s">
        <v>1611</v>
      </c>
      <c r="P1159" s="57"/>
      <c r="Q1159" s="57"/>
      <c r="R1159" s="57"/>
      <c r="S1159" s="57"/>
      <c r="T1159" s="57"/>
      <c r="U1159" s="57"/>
      <c r="V1159" s="57"/>
      <c r="W1159" s="57"/>
      <c r="X1159" s="57"/>
    </row>
    <row r="1160" spans="1:24" ht="43.2">
      <c r="A1160" s="355">
        <v>9</v>
      </c>
      <c r="B1160" s="486" t="s">
        <v>759</v>
      </c>
      <c r="C1160" s="434"/>
      <c r="D1160" s="357" t="s">
        <v>522</v>
      </c>
      <c r="E1160" s="456">
        <v>1500</v>
      </c>
      <c r="F1160" s="109">
        <f t="shared" si="114"/>
        <v>0</v>
      </c>
      <c r="G1160" s="457">
        <f>'Measurement sheet'!F811</f>
        <v>5</v>
      </c>
      <c r="H1160" s="438">
        <f t="shared" si="115"/>
        <v>5</v>
      </c>
      <c r="I1160" s="438">
        <f t="shared" si="116"/>
        <v>7500</v>
      </c>
      <c r="J1160" s="438">
        <f t="shared" si="117"/>
        <v>5</v>
      </c>
      <c r="K1160" s="438">
        <f t="shared" si="118"/>
        <v>7500</v>
      </c>
      <c r="L1160" s="438">
        <f t="shared" si="119"/>
        <v>7500</v>
      </c>
      <c r="M1160" s="438">
        <f t="shared" si="120"/>
        <v>0</v>
      </c>
      <c r="N1160" s="438">
        <f t="shared" si="121"/>
        <v>7500</v>
      </c>
      <c r="O1160" s="479" t="s">
        <v>1611</v>
      </c>
      <c r="P1160" s="57"/>
      <c r="Q1160" s="57"/>
      <c r="R1160" s="57"/>
      <c r="S1160" s="57"/>
      <c r="T1160" s="57"/>
      <c r="U1160" s="57"/>
      <c r="V1160" s="57"/>
      <c r="W1160" s="57"/>
      <c r="X1160" s="57"/>
    </row>
    <row r="1161" spans="1:24" ht="43.2">
      <c r="A1161" s="355">
        <v>10</v>
      </c>
      <c r="B1161" s="486" t="s">
        <v>1483</v>
      </c>
      <c r="C1161" s="434"/>
      <c r="D1161" s="357" t="s">
        <v>522</v>
      </c>
      <c r="E1161" s="456">
        <v>1000</v>
      </c>
      <c r="F1161" s="109">
        <f t="shared" si="114"/>
        <v>0</v>
      </c>
      <c r="G1161" s="457">
        <f>'Measurement sheet'!F812</f>
        <v>1</v>
      </c>
      <c r="H1161" s="438">
        <f t="shared" si="115"/>
        <v>1</v>
      </c>
      <c r="I1161" s="438">
        <f t="shared" si="116"/>
        <v>1000</v>
      </c>
      <c r="J1161" s="438">
        <f t="shared" si="117"/>
        <v>1</v>
      </c>
      <c r="K1161" s="438">
        <f t="shared" si="118"/>
        <v>1000</v>
      </c>
      <c r="L1161" s="438">
        <f t="shared" si="119"/>
        <v>1000</v>
      </c>
      <c r="M1161" s="438">
        <f t="shared" si="120"/>
        <v>0</v>
      </c>
      <c r="N1161" s="438">
        <f t="shared" si="121"/>
        <v>1000</v>
      </c>
      <c r="O1161" s="479" t="s">
        <v>1611</v>
      </c>
      <c r="P1161" s="57"/>
      <c r="Q1161" s="57"/>
      <c r="R1161" s="57"/>
      <c r="S1161" s="57"/>
      <c r="T1161" s="57"/>
      <c r="U1161" s="57"/>
      <c r="V1161" s="57"/>
      <c r="W1161" s="57"/>
      <c r="X1161" s="57"/>
    </row>
    <row r="1162" spans="1:24" ht="43.2">
      <c r="A1162" s="355">
        <v>11</v>
      </c>
      <c r="B1162" s="486" t="s">
        <v>1590</v>
      </c>
      <c r="C1162" s="434"/>
      <c r="D1162" s="357" t="s">
        <v>522</v>
      </c>
      <c r="E1162" s="456">
        <v>500</v>
      </c>
      <c r="F1162" s="109">
        <f t="shared" si="114"/>
        <v>0</v>
      </c>
      <c r="G1162" s="457">
        <f>'Measurement sheet'!F813</f>
        <v>3</v>
      </c>
      <c r="H1162" s="438">
        <f t="shared" si="115"/>
        <v>3</v>
      </c>
      <c r="I1162" s="438">
        <f t="shared" si="116"/>
        <v>1500</v>
      </c>
      <c r="J1162" s="438">
        <f t="shared" si="117"/>
        <v>3</v>
      </c>
      <c r="K1162" s="438">
        <f t="shared" si="118"/>
        <v>1500</v>
      </c>
      <c r="L1162" s="438">
        <f t="shared" si="119"/>
        <v>1500</v>
      </c>
      <c r="M1162" s="438">
        <f t="shared" si="120"/>
        <v>0</v>
      </c>
      <c r="N1162" s="438">
        <f t="shared" si="121"/>
        <v>1500</v>
      </c>
      <c r="O1162" s="479" t="s">
        <v>1611</v>
      </c>
      <c r="P1162" s="57"/>
      <c r="Q1162" s="57"/>
      <c r="R1162" s="57"/>
      <c r="S1162" s="57"/>
      <c r="T1162" s="57"/>
      <c r="U1162" s="57"/>
      <c r="V1162" s="57"/>
      <c r="W1162" s="57"/>
      <c r="X1162" s="57"/>
    </row>
    <row r="1163" spans="1:24">
      <c r="A1163" s="358"/>
      <c r="B1163" s="482" t="s">
        <v>760</v>
      </c>
      <c r="C1163" s="403"/>
      <c r="D1163" s="360"/>
      <c r="E1163" s="403"/>
      <c r="F1163" s="407">
        <f>SUM(F1152:F1162)</f>
        <v>0</v>
      </c>
      <c r="G1163" s="403"/>
      <c r="H1163" s="407"/>
      <c r="I1163" s="407">
        <f>SUM(I1152:I1162)</f>
        <v>162810.6</v>
      </c>
      <c r="J1163" s="407">
        <f>SUM(J1152:J1160)</f>
        <v>239.4</v>
      </c>
      <c r="K1163" s="407">
        <f>SUM(K1152:K1162)</f>
        <v>162810.6</v>
      </c>
      <c r="L1163" s="407">
        <f>SUM(L1152:L1162)</f>
        <v>162810.6</v>
      </c>
      <c r="M1163" s="407">
        <f>SUM(M1152:M1162)</f>
        <v>0</v>
      </c>
      <c r="N1163" s="407">
        <f>SUM(N1152:N1162)</f>
        <v>162810.6</v>
      </c>
      <c r="O1163" s="403"/>
      <c r="P1163" s="57"/>
      <c r="Q1163" s="57"/>
      <c r="R1163" s="57"/>
      <c r="S1163" s="57"/>
      <c r="T1163" s="57"/>
      <c r="U1163" s="57"/>
      <c r="V1163" s="57"/>
      <c r="W1163" s="57"/>
      <c r="X1163" s="57"/>
    </row>
  </sheetData>
  <sheetProtection selectLockedCells="1"/>
  <protectedRanges>
    <protectedRange sqref="B157:B179 B142 B124:B128 B4:B16 B92:B93 A4:A23 A112:B116 B185:B186 B18:B21 B110:B111 A24:B25 A37:B38 A153:A193 A41:B48 A56:B56 A39:A40 A60:B62 A64:B91 A63 B96:B108 A199:A201 B132 A92:A111 A124:A143 F58:F116 F118:F119 F122:F151 F205 F208:F210 F213:F215 F223:F227 F230:F231 F234:F235 F238 F242:F249 F252:F254 F258:F260 F263:F264 F268:F275 F279:F284 F290:F291 F294:F296 F299:F300 F303:F304 F306 F309:F310 F313 F316 F319:F323 F326 F329 F333 F336:F340 F343 F346 F349:F351 F355 F359:F360 F363:F364 F367:F371 F374:F377 F381 F384:F386 F389:F390 F393:F395 F398:F399 F402 F405 F408 F411:F412 F415 F418 F421:F422 F425:F426 F429 F432:F434 F437:F450 F453:F454 F461 F464 F467 F470 F473 F476 F479 F486 F488 F492 F494 F496 F498 F501 F504 F507 F515 F529 F546 F565 F584 F588 F590 F592 F594 F596 F598 F600 F606 F621 F636 F663 F671 F675 F681 F690 F700 F711 F721 F734 F744 F755 F765 F784 F789 F794 F800 F805 F812 F817 F828 F830 F832 F834 F838 F840 F842 F844 F846 F848 F850 F852 F854 F856 F858 F862 F864 F866 F868 F872 F874 F876 F878 F880 F882 F884 F886 F888 F890 F892 F899:F900 F908 F911 F914:F915 F923 F925 F927 F929 F931 F933 F935 F937 F939 F946 F948 F950 F952 F954 F962 F964 F966 F969 F972 F974 F976 F984 F986 F988 F990 F992 F994 F996 F1003:F1006 F1009:F1017 F1020:F1023 F1033:F1035 F1039:F1041 F1045:F1047 F1051 F1055 F1059:F1060 F1062:F1063 F1067:F1069 F1071 F1073 F1075 F1077 F1084:F1088 F1091:F1094 F1097:F1099 F1102:F1103 F1106:F1108 F1111:F1112 F1117 F1122 F1125:F1127 F1129 F902:F905 F286 B130 H200:N200 F3:F56 A2:B3 G918 G1113 H658:O658 H778:N778 G920 G959 G981 G1001 G1028 G895 G825 G603 G1130 G1128 G1123 G1118 G1109 G1104 G1100 G1095 G1089 G1082 G1120 G1115 G1080 G1026 G999 G979 G957 G944 F153:F200 G597 G599 G601 G655 G775 G821 G829 G831 G833 G835 G837 G839 G841 G843 G845 G847 G849 G851 G853 G855 G857 G859 G863 G865 G867 G869 G871 G873 G875 G877 G879 G881 G883 G885 G887 G889 G891 G893 G903:G906 G909 G912 G916 G924 G926 G928 G930 G932 G934 G936 G938 G940 G947 G949 G951 G953 G955 G963 G965 G967 G971 G973 G975 G977 G985 G987 G989 G991 G993 G995 G997 G1007 G1018 G1024 G1036 G1042 G1048 G1052 G1056 G1064 G1070 G1072 G1074 G1076 G1078 G897 G202:O202 G219:O219 G458:O458 G483:O483 G511:O511 G3:O4 G19:O19 G25:O25 G38:O38 G42:O42 G45:O45 G48:O48 G57:O57 G97:O97 G105:O105 G114:O114 G117:O117 G121:O121 G125:O125 G133:O133 G143:O143 G153:O153 G159:O159 G177:O177 G180:O180 G204:O204 G207:O207 G212:O212 G221:O221 G240:O240 G251:O251 G256:O256 G287:O287 G331:O331 G348:O348 G353:O353 G357:O357 G366:O366 G373:O373 G379:O379 G460:O460 G463:O463 G466:O466 G469:O469 G472:O472 G475:O475 G478:O478 G485:O485 G487:O487 G490:O490 G500:O500 G503:O503 G506:O506 G657:G658 G778:G779 G61:O62 G68:O68 G72:O72 G76:O76 G79:O79 G82:O82 G85:O85 G89:O89 G93:O93 G5 G160:H160 G165:H165 G169:H169 G171:H171 G827 G861 G899 G922 G961 G983" name="Range1"/>
    <protectedRange sqref="B129" name="Range1_1"/>
    <protectedRange sqref="B133" name="Range1_2"/>
    <protectedRange sqref="B143" name="Range1_3"/>
    <protectedRange sqref="B153:B156" name="Range1_4"/>
    <protectedRange sqref="B180:B183" name="Range1_5"/>
    <protectedRange sqref="A119:B123 F117 F120:F121 A118 A117:B117" name="Range1_7"/>
    <protectedRange sqref="B17" name="Range1_8"/>
    <protectedRange sqref="B109" name="Range1_9"/>
    <protectedRange sqref="A202:A209" name="Range1_1_1"/>
    <protectedRange sqref="F305 F327 F455 F451" name="Range1_2_1"/>
    <protectedRange sqref="F477" name="Range1_2_2"/>
    <protectedRange sqref="A152 F152" name="Range1_13"/>
    <protectedRange sqref="B152" name="Range1_3_2"/>
    <protectedRange sqref="B33:B36 A26:A36 B26:B31" name="Range1_17"/>
    <protectedRange sqref="B39:B40" name="Range1_18"/>
    <protectedRange sqref="B54 A49:A55 B51:B52" name="Range1_19"/>
    <protectedRange sqref="B53 B49:B50" name="Range1_13_1"/>
    <protectedRange sqref="B55" name="Range1_20"/>
    <protectedRange sqref="B63" name="Range1_21"/>
    <protectedRange sqref="B140" name="Range1_21_6"/>
    <protectedRange sqref="B141 B134:B139" name="Range1_2_3_6"/>
    <protectedRange sqref="A144:A151" name="Range1_30"/>
    <protectedRange sqref="B131" name="Range1_3_6"/>
    <protectedRange sqref="B144:B149" name="Range1_3_1_4"/>
    <protectedRange sqref="A194" name="Range1_22_1"/>
    <protectedRange sqref="B151" name="Range1_19_1"/>
    <protectedRange sqref="A195:A197" name="Range1_22"/>
    <protectedRange sqref="F836 F1019 F1109 F870 F656 F776 F822 F941 F956 F978 F998 F1025 F1079 F1114 F1119 I776:N776 I941:N941 I956:N956 F602 I656:O656 I822:O822 F894 F917 I602:O602 I894:O894 I917:O917 I1119:N1119 I1114:N1114 I1079:N1079 I1025:N1025 I998:N998 I978:N978" name="Range1_24"/>
    <protectedRange sqref="F995 F1123:F1124 F599 F1128 F1078" name="Range1_12_1"/>
    <protectedRange sqref="B118" name="Range1_7_1"/>
    <protectedRange sqref="B150" name="Range1_3_1"/>
    <protectedRange sqref="B22:B23" name="Range1_11"/>
    <protectedRange sqref="F1152:F1162" name="Range1_31"/>
    <protectedRange sqref="J5" name="Range1_6"/>
    <protectedRange sqref="J457 J512 J1150:O1150" name="Range1_17_1"/>
    <protectedRange sqref="I2" name="Range1_6_1_2_1_1"/>
    <protectedRange sqref="D2" name="Range1_6_1_1_1_1_1"/>
    <protectedRange sqref="O7:O10 O17" name="Range1_45_14_35_36_1_9_6_1_74_3_2"/>
    <protectedRange sqref="O23" name="Range1_45_14_35_36_1_9_6_1_74_3_6"/>
    <protectedRange sqref="O66" name="Range1_45_14_35_36_1_9_6_1_74_3_6_2"/>
    <protectedRange sqref="O102" name="Range1_45_14_35_36_1_9_6_1_74_3_6_3"/>
    <protectedRange sqref="O110" name="Range1_45_14_35_36_1_9_6_1_74_3_6_4"/>
    <protectedRange sqref="O111" name="Range1_45_14_35_36_1_9_6_1_74_3_6_5"/>
    <protectedRange sqref="O126" name="Range1_45_14_35_36_1_9_6_1_74_3_6_6"/>
    <protectedRange sqref="O167" name="Range1_45_14_35_36_1_9_6_1_74_3_6_7"/>
    <protectedRange sqref="O182" name="Range1_45_14_35_36_1_9_6_1_74_3_6_8"/>
    <protectedRange sqref="O208" name="Range1_45_14_35_36_1_9_6_1_74_3_6_10"/>
    <protectedRange sqref="O210" name="Range1_45_14_35_36_1_9_6_1_74_3_6_11"/>
    <protectedRange sqref="O223" name="Range1_45_14_35_36_1_9_6_1_74_3_6_12"/>
    <protectedRange sqref="O243" name="Range1_45_14_35_36_1_9_6_1_74_3_6_13"/>
    <protectedRange sqref="O249" name="Range1_45_14_35_36_1_9_6_1_74_3_6_14"/>
    <protectedRange sqref="O303" name="Range1_45_14_35_36_1_9_6_1_74_3_6_15"/>
    <protectedRange sqref="O333" name="Range1_45_14_35_36_1_9_6_1_74_3_6_16"/>
    <protectedRange sqref="O343" name="Range1_45_14_35_36_1_9_6_1_74_3_6_17"/>
    <protectedRange sqref="O381" name="Range1_45_14_35_36_1_9_6_1_74_3_6_18"/>
    <protectedRange sqref="O390" name="Range1_45_14_35_36_1_9_6_1_74_3_6_19"/>
    <protectedRange sqref="O415" name="Range1_45_14_35_36_1_9_6_1_74_3_6_20"/>
    <protectedRange sqref="O464" name="Range1_45_14_35_36_1_9_6_1_74_3_6_21"/>
    <protectedRange sqref="O467" name="Range1_45_14_35_36_1_9_6_1_74_3_6_22"/>
    <protectedRange sqref="O470" name="Range1_45_14_35_36_1_9_6_1_74_3_6_23"/>
    <protectedRange sqref="O962" name="Range1_45_14_35_36_1_9_6_1_74_3_6_24"/>
    <protectedRange sqref="O964" name="Range1_45_14_35_36_1_9_6_1_74_3_6_25"/>
    <protectedRange sqref="O1009" name="Range1_45_14_35_36_1_9_6_1_74_3_6_26"/>
    <protectedRange sqref="O1011" name="Range1_45_14_35_36_1_9_6_1_74_3_6_27"/>
    <protectedRange sqref="O1023" name="Range1_45_14_35_36_1_9_6_1_74_3_6_28"/>
    <protectedRange sqref="O1039" name="Range1_45_14_35_36_1_9_6_1_74_3_6_29"/>
    <protectedRange sqref="O1075" name="Range1_45_14_35_36_1_9_6_1_74_3_6_30"/>
    <protectedRange sqref="O1094" name="Range1_45_14_35_36_1_9_6_1_74_3_6_31"/>
    <protectedRange sqref="O1098" name="Range1_45_14_35_36_1_9_6_1_74_3_6_32"/>
    <protectedRange sqref="O1099" name="Range1_45_14_35_36_1_9_6_1_74_3_6_33"/>
    <protectedRange sqref="O64" name="Range1_2_12_3_36_1_30_1_2_1"/>
    <protectedRange sqref="O263" name="Range1_2_12_3_36_1_30_1_2_1_1"/>
    <protectedRange sqref="O272" name="Range1_2_12_3_36_1_30_1_2_1_2"/>
    <protectedRange sqref="O374" name="Range1_2_12_3_36_1_30_1_2_1_3"/>
    <protectedRange sqref="O377" name="Range1_2_12_3_36_1_30_1_2_1_4"/>
    <protectedRange sqref="O784" name="Range1_2_12_3_36_1_30_1_2_1_5"/>
    <protectedRange sqref="O805" name="Range1_2_12_3_36_1_30_1_2_1_6"/>
    <protectedRange sqref="O817" name="Range1_2_12_3_36_1_30_1_2_1_7"/>
    <protectedRange sqref="O856" name="Range1_2_12_3_36_1_30_1_2_1_8"/>
    <protectedRange sqref="O866" name="Range1_2_12_3_36_1_30_1_2_1_9"/>
    <protectedRange sqref="O890 O1154:O1162" name="Range1_2_12_3_36_1_30_1_2_1_10"/>
    <protectedRange sqref="O49 O192" name="Range1_45_14_35_36_1_9_6_1_74_3_2_1"/>
    <protectedRange sqref="O194:O195 O1122 O441" name="Range1_2_12_3_36_1_30_17_1_8_1_1"/>
  </protectedRanges>
  <autoFilter ref="A2:O1163" xr:uid="{00000000-0001-0000-0100-000000000000}"/>
  <mergeCells count="3">
    <mergeCell ref="J1:K1"/>
    <mergeCell ref="C1:F1"/>
    <mergeCell ref="G1:I1"/>
  </mergeCells>
  <pageMargins left="0.7" right="0.7" top="0.75" bottom="0.75" header="0.3" footer="0.3"/>
  <pageSetup paperSize="9" scale="46" orientation="portrait" r:id="rId1"/>
  <rowBreaks count="2" manualBreakCount="2">
    <brk id="36" max="16383" man="1"/>
    <brk id="174" max="16383"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813"/>
  <sheetViews>
    <sheetView view="pageBreakPreview" zoomScale="86" zoomScaleNormal="100" zoomScaleSheetLayoutView="150" workbookViewId="0">
      <selection activeCell="C101" sqref="C101"/>
    </sheetView>
  </sheetViews>
  <sheetFormatPr defaultColWidth="7.88671875" defaultRowHeight="13.8"/>
  <cols>
    <col min="1" max="1" width="6" style="257" customWidth="1"/>
    <col min="2" max="2" width="64.88671875" style="96" customWidth="1"/>
    <col min="3" max="3" width="8.77734375" style="96" customWidth="1"/>
    <col min="4" max="4" width="7.44140625" style="96" customWidth="1"/>
    <col min="5" max="5" width="9.33203125" style="96" customWidth="1"/>
    <col min="6" max="6" width="10.44140625" style="258" customWidth="1"/>
    <col min="7" max="7" width="31.44140625" style="268" customWidth="1"/>
    <col min="8" max="8" width="13.6640625" style="96" customWidth="1"/>
    <col min="9" max="16384" width="7.88671875" style="96"/>
  </cols>
  <sheetData>
    <row r="1" spans="1:7" ht="13.8" customHeight="1">
      <c r="A1" s="534" t="s">
        <v>1413</v>
      </c>
      <c r="B1" s="534"/>
      <c r="C1" s="534"/>
      <c r="D1" s="534"/>
      <c r="E1" s="534"/>
      <c r="F1" s="534"/>
      <c r="G1" s="534"/>
    </row>
    <row r="2" spans="1:7">
      <c r="A2" s="97" t="s">
        <v>0</v>
      </c>
      <c r="B2" s="98" t="s">
        <v>761</v>
      </c>
      <c r="C2" s="97" t="s">
        <v>762</v>
      </c>
      <c r="D2" s="97" t="s">
        <v>763</v>
      </c>
      <c r="E2" s="97" t="s">
        <v>764</v>
      </c>
      <c r="F2" s="99" t="s">
        <v>765</v>
      </c>
      <c r="G2" s="99" t="s">
        <v>1438</v>
      </c>
    </row>
    <row r="3" spans="1:7">
      <c r="A3" s="83" t="s">
        <v>1</v>
      </c>
      <c r="B3" s="58" t="s">
        <v>2</v>
      </c>
      <c r="C3" s="59"/>
      <c r="D3" s="59"/>
      <c r="E3" s="59"/>
      <c r="F3" s="100"/>
      <c r="G3" s="259"/>
    </row>
    <row r="4" spans="1:7">
      <c r="A4" s="62">
        <v>1</v>
      </c>
      <c r="B4" s="60" t="s">
        <v>13</v>
      </c>
      <c r="C4" s="101"/>
      <c r="D4" s="61"/>
      <c r="E4" s="101"/>
      <c r="F4" s="102"/>
      <c r="G4" s="260"/>
    </row>
    <row r="5" spans="1:7">
      <c r="A5" s="108" t="s">
        <v>19</v>
      </c>
      <c r="B5" s="65" t="s">
        <v>20</v>
      </c>
      <c r="C5" s="103"/>
      <c r="D5" s="103"/>
      <c r="E5" s="103"/>
      <c r="F5" s="104"/>
      <c r="G5" s="261"/>
    </row>
    <row r="6" spans="1:7">
      <c r="A6" s="106"/>
      <c r="B6" s="81" t="s">
        <v>766</v>
      </c>
      <c r="C6" s="103">
        <v>1</v>
      </c>
      <c r="D6" s="103">
        <v>10.52</v>
      </c>
      <c r="E6" s="103">
        <v>9</v>
      </c>
      <c r="F6" s="105">
        <f>C6*D6*E6</f>
        <v>94.679999999999993</v>
      </c>
      <c r="G6" s="105"/>
    </row>
    <row r="7" spans="1:7">
      <c r="A7" s="106"/>
      <c r="B7" s="65"/>
      <c r="C7" s="103">
        <v>1</v>
      </c>
      <c r="D7" s="103">
        <v>6.97</v>
      </c>
      <c r="E7" s="103">
        <v>9</v>
      </c>
      <c r="F7" s="105">
        <f t="shared" ref="F7:F25" si="0">C7*D7*E7</f>
        <v>62.73</v>
      </c>
      <c r="G7" s="105"/>
    </row>
    <row r="8" spans="1:7">
      <c r="A8" s="106"/>
      <c r="B8" s="81" t="s">
        <v>767</v>
      </c>
      <c r="C8" s="103">
        <v>1</v>
      </c>
      <c r="D8" s="103">
        <v>16.170000000000002</v>
      </c>
      <c r="E8" s="103">
        <v>9</v>
      </c>
      <c r="F8" s="105">
        <f t="shared" si="0"/>
        <v>145.53000000000003</v>
      </c>
      <c r="G8" s="105"/>
    </row>
    <row r="9" spans="1:7">
      <c r="A9" s="106"/>
      <c r="B9" s="81" t="s">
        <v>768</v>
      </c>
      <c r="C9" s="103">
        <v>1</v>
      </c>
      <c r="D9" s="103">
        <v>12</v>
      </c>
      <c r="E9" s="103">
        <v>9</v>
      </c>
      <c r="F9" s="105">
        <f t="shared" si="0"/>
        <v>108</v>
      </c>
      <c r="G9" s="105"/>
    </row>
    <row r="10" spans="1:7">
      <c r="A10" s="106"/>
      <c r="B10" s="81" t="s">
        <v>769</v>
      </c>
      <c r="C10" s="103">
        <v>1</v>
      </c>
      <c r="D10" s="103">
        <v>18.329999999999998</v>
      </c>
      <c r="E10" s="103">
        <v>9</v>
      </c>
      <c r="F10" s="105">
        <f t="shared" si="0"/>
        <v>164.96999999999997</v>
      </c>
      <c r="G10" s="105"/>
    </row>
    <row r="11" spans="1:7">
      <c r="A11" s="106"/>
      <c r="B11" s="81" t="s">
        <v>770</v>
      </c>
      <c r="C11" s="103">
        <v>1</v>
      </c>
      <c r="D11" s="103">
        <v>5.36</v>
      </c>
      <c r="E11" s="103">
        <v>9</v>
      </c>
      <c r="F11" s="105">
        <f t="shared" si="0"/>
        <v>48.24</v>
      </c>
      <c r="G11" s="105"/>
    </row>
    <row r="12" spans="1:7">
      <c r="A12" s="106"/>
      <c r="B12" s="81" t="s">
        <v>771</v>
      </c>
      <c r="C12" s="103">
        <v>1</v>
      </c>
      <c r="D12" s="103">
        <v>5.36</v>
      </c>
      <c r="E12" s="103">
        <v>9</v>
      </c>
      <c r="F12" s="105">
        <f t="shared" si="0"/>
        <v>48.24</v>
      </c>
      <c r="G12" s="105"/>
    </row>
    <row r="13" spans="1:7">
      <c r="A13" s="106"/>
      <c r="B13" s="81" t="s">
        <v>772</v>
      </c>
      <c r="C13" s="103">
        <v>1</v>
      </c>
      <c r="D13" s="103">
        <v>8</v>
      </c>
      <c r="E13" s="103">
        <v>3</v>
      </c>
      <c r="F13" s="105">
        <f t="shared" si="0"/>
        <v>24</v>
      </c>
      <c r="G13" s="105"/>
    </row>
    <row r="14" spans="1:7">
      <c r="A14" s="106"/>
      <c r="B14" s="81" t="s">
        <v>773</v>
      </c>
      <c r="C14" s="103">
        <v>2</v>
      </c>
      <c r="D14" s="103">
        <v>3.5</v>
      </c>
      <c r="E14" s="103">
        <v>9</v>
      </c>
      <c r="F14" s="105">
        <f t="shared" si="0"/>
        <v>63</v>
      </c>
      <c r="G14" s="105"/>
    </row>
    <row r="15" spans="1:7">
      <c r="A15" s="106"/>
      <c r="B15" s="81" t="s">
        <v>774</v>
      </c>
      <c r="C15" s="103">
        <v>3</v>
      </c>
      <c r="D15" s="103">
        <v>2</v>
      </c>
      <c r="E15" s="103">
        <v>9</v>
      </c>
      <c r="F15" s="105">
        <f t="shared" si="0"/>
        <v>54</v>
      </c>
      <c r="G15" s="269" t="s">
        <v>1478</v>
      </c>
    </row>
    <row r="16" spans="1:7">
      <c r="A16" s="106"/>
      <c r="B16" s="81" t="s">
        <v>775</v>
      </c>
      <c r="C16" s="103">
        <v>1</v>
      </c>
      <c r="D16" s="103">
        <v>20</v>
      </c>
      <c r="E16" s="103">
        <v>0.5</v>
      </c>
      <c r="F16" s="105">
        <f t="shared" si="0"/>
        <v>10</v>
      </c>
      <c r="G16" s="105"/>
    </row>
    <row r="17" spans="1:7">
      <c r="A17" s="106"/>
      <c r="B17" s="81" t="s">
        <v>776</v>
      </c>
      <c r="C17" s="103">
        <v>1</v>
      </c>
      <c r="D17" s="103">
        <v>48</v>
      </c>
      <c r="E17" s="103">
        <v>0.5</v>
      </c>
      <c r="F17" s="105">
        <f t="shared" si="0"/>
        <v>24</v>
      </c>
      <c r="G17" s="105"/>
    </row>
    <row r="18" spans="1:7">
      <c r="A18" s="106"/>
      <c r="B18" s="81" t="s">
        <v>777</v>
      </c>
      <c r="C18" s="103">
        <v>1</v>
      </c>
      <c r="D18" s="103">
        <v>20</v>
      </c>
      <c r="E18" s="103">
        <v>0.5</v>
      </c>
      <c r="F18" s="105">
        <f t="shared" si="0"/>
        <v>10</v>
      </c>
      <c r="G18" s="105"/>
    </row>
    <row r="19" spans="1:7">
      <c r="A19" s="106"/>
      <c r="B19" s="81" t="s">
        <v>778</v>
      </c>
      <c r="C19" s="103">
        <v>1</v>
      </c>
      <c r="D19" s="103">
        <v>19</v>
      </c>
      <c r="E19" s="103">
        <v>0.5</v>
      </c>
      <c r="F19" s="105">
        <f t="shared" si="0"/>
        <v>9.5</v>
      </c>
      <c r="G19" s="105"/>
    </row>
    <row r="20" spans="1:7">
      <c r="A20" s="106"/>
      <c r="B20" s="81" t="s">
        <v>779</v>
      </c>
      <c r="C20" s="103">
        <v>1</v>
      </c>
      <c r="D20" s="103">
        <v>10</v>
      </c>
      <c r="E20" s="103">
        <v>0.5</v>
      </c>
      <c r="F20" s="105">
        <f t="shared" si="0"/>
        <v>5</v>
      </c>
      <c r="G20" s="105"/>
    </row>
    <row r="21" spans="1:7">
      <c r="A21" s="106"/>
      <c r="B21" s="81" t="s">
        <v>780</v>
      </c>
      <c r="C21" s="103">
        <v>1</v>
      </c>
      <c r="D21" s="103">
        <v>16</v>
      </c>
      <c r="E21" s="103">
        <v>0.5</v>
      </c>
      <c r="F21" s="105">
        <f t="shared" si="0"/>
        <v>8</v>
      </c>
      <c r="G21" s="105"/>
    </row>
    <row r="22" spans="1:7">
      <c r="A22" s="106"/>
      <c r="B22" s="81" t="s">
        <v>781</v>
      </c>
      <c r="C22" s="103">
        <v>1</v>
      </c>
      <c r="D22" s="103">
        <v>45</v>
      </c>
      <c r="E22" s="103">
        <v>0.5</v>
      </c>
      <c r="F22" s="105">
        <f t="shared" si="0"/>
        <v>22.5</v>
      </c>
      <c r="G22" s="105"/>
    </row>
    <row r="23" spans="1:7">
      <c r="A23" s="106"/>
      <c r="B23" s="81" t="s">
        <v>782</v>
      </c>
      <c r="C23" s="103">
        <v>1</v>
      </c>
      <c r="D23" s="103">
        <v>40</v>
      </c>
      <c r="E23" s="103">
        <v>0.5</v>
      </c>
      <c r="F23" s="105">
        <f t="shared" si="0"/>
        <v>20</v>
      </c>
      <c r="G23" s="105"/>
    </row>
    <row r="24" spans="1:7">
      <c r="A24" s="106"/>
      <c r="B24" s="81" t="s">
        <v>783</v>
      </c>
      <c r="C24" s="103">
        <v>1</v>
      </c>
      <c r="D24" s="103">
        <v>10</v>
      </c>
      <c r="E24" s="103">
        <v>0.5</v>
      </c>
      <c r="F24" s="105">
        <f t="shared" si="0"/>
        <v>5</v>
      </c>
      <c r="G24" s="105"/>
    </row>
    <row r="25" spans="1:7">
      <c r="A25" s="106"/>
      <c r="B25" s="81" t="s">
        <v>784</v>
      </c>
      <c r="C25" s="103">
        <v>1</v>
      </c>
      <c r="D25" s="103">
        <v>10</v>
      </c>
      <c r="E25" s="103">
        <v>0.5</v>
      </c>
      <c r="F25" s="105">
        <f t="shared" si="0"/>
        <v>5</v>
      </c>
      <c r="G25" s="105"/>
    </row>
    <row r="26" spans="1:7">
      <c r="A26" s="106"/>
      <c r="B26" s="81"/>
      <c r="C26" s="532" t="s">
        <v>785</v>
      </c>
      <c r="D26" s="532"/>
      <c r="E26" s="532"/>
      <c r="F26" s="107">
        <f>SUM(F6:F25)</f>
        <v>932.3900000000001</v>
      </c>
      <c r="G26" s="262"/>
    </row>
    <row r="27" spans="1:7">
      <c r="A27" s="108" t="s">
        <v>21</v>
      </c>
      <c r="B27" s="65" t="s">
        <v>22</v>
      </c>
      <c r="C27" s="103"/>
      <c r="D27" s="103"/>
      <c r="E27" s="103"/>
      <c r="F27" s="109"/>
      <c r="G27" s="189"/>
    </row>
    <row r="28" spans="1:7">
      <c r="A28" s="106"/>
      <c r="B28" s="81" t="s">
        <v>786</v>
      </c>
      <c r="C28" s="103">
        <v>1</v>
      </c>
      <c r="D28" s="103">
        <v>8.9499999999999993</v>
      </c>
      <c r="E28" s="103">
        <v>9</v>
      </c>
      <c r="F28" s="109">
        <f>C28*D28*E28</f>
        <v>80.55</v>
      </c>
      <c r="G28" s="189"/>
    </row>
    <row r="29" spans="1:7">
      <c r="A29" s="106"/>
      <c r="B29" s="81" t="s">
        <v>787</v>
      </c>
      <c r="C29" s="110">
        <v>-1</v>
      </c>
      <c r="D29" s="103">
        <v>3</v>
      </c>
      <c r="E29" s="103">
        <v>6.82</v>
      </c>
      <c r="F29" s="109">
        <f t="shared" ref="F29:F34" si="1">C29*D29*E29</f>
        <v>-20.46</v>
      </c>
      <c r="G29" s="189"/>
    </row>
    <row r="30" spans="1:7">
      <c r="A30" s="106"/>
      <c r="B30" s="81" t="s">
        <v>788</v>
      </c>
      <c r="C30" s="103">
        <v>1</v>
      </c>
      <c r="D30" s="103">
        <v>5.36</v>
      </c>
      <c r="E30" s="103">
        <v>9</v>
      </c>
      <c r="F30" s="109">
        <f t="shared" si="1"/>
        <v>48.24</v>
      </c>
      <c r="G30" s="269" t="s">
        <v>1441</v>
      </c>
    </row>
    <row r="31" spans="1:7">
      <c r="A31" s="106"/>
      <c r="B31" s="81" t="s">
        <v>768</v>
      </c>
      <c r="C31" s="103">
        <v>1</v>
      </c>
      <c r="D31" s="103">
        <v>10.78</v>
      </c>
      <c r="E31" s="103">
        <v>9</v>
      </c>
      <c r="F31" s="109">
        <f t="shared" si="1"/>
        <v>97.02</v>
      </c>
      <c r="G31" s="189"/>
    </row>
    <row r="32" spans="1:7">
      <c r="A32" s="106"/>
      <c r="B32" s="81" t="s">
        <v>789</v>
      </c>
      <c r="C32" s="110">
        <v>-1</v>
      </c>
      <c r="D32" s="103">
        <v>5.79</v>
      </c>
      <c r="E32" s="103">
        <v>3.77</v>
      </c>
      <c r="F32" s="109">
        <f t="shared" si="1"/>
        <v>-21.828299999999999</v>
      </c>
      <c r="G32" s="189"/>
    </row>
    <row r="33" spans="1:7">
      <c r="A33" s="106"/>
      <c r="B33" s="81" t="s">
        <v>790</v>
      </c>
      <c r="C33" s="103">
        <v>1</v>
      </c>
      <c r="D33" s="103">
        <v>2</v>
      </c>
      <c r="E33" s="103">
        <v>9</v>
      </c>
      <c r="F33" s="109">
        <f t="shared" si="1"/>
        <v>18</v>
      </c>
      <c r="G33" s="189"/>
    </row>
    <row r="34" spans="1:7">
      <c r="A34" s="106"/>
      <c r="B34" s="81" t="s">
        <v>791</v>
      </c>
      <c r="C34" s="103">
        <v>1</v>
      </c>
      <c r="D34" s="103">
        <v>28.69</v>
      </c>
      <c r="E34" s="103">
        <v>9</v>
      </c>
      <c r="F34" s="109">
        <f t="shared" si="1"/>
        <v>258.21000000000004</v>
      </c>
      <c r="G34" s="189"/>
    </row>
    <row r="35" spans="1:7">
      <c r="A35" s="106"/>
      <c r="B35" s="81"/>
      <c r="C35" s="532" t="s">
        <v>785</v>
      </c>
      <c r="D35" s="532"/>
      <c r="E35" s="532"/>
      <c r="F35" s="107">
        <f>SUM(F28:F34)</f>
        <v>459.73170000000005</v>
      </c>
      <c r="G35" s="262"/>
    </row>
    <row r="36" spans="1:7">
      <c r="A36" s="108" t="s">
        <v>23</v>
      </c>
      <c r="B36" s="65" t="s">
        <v>24</v>
      </c>
      <c r="C36" s="103"/>
      <c r="D36" s="103"/>
      <c r="E36" s="103"/>
      <c r="F36" s="109"/>
      <c r="G36" s="189"/>
    </row>
    <row r="37" spans="1:7">
      <c r="A37" s="106"/>
      <c r="B37" s="81" t="s">
        <v>792</v>
      </c>
      <c r="C37" s="103">
        <v>1</v>
      </c>
      <c r="D37" s="103">
        <v>12</v>
      </c>
      <c r="E37" s="103">
        <v>2</v>
      </c>
      <c r="F37" s="109">
        <f>C37*D37*E37</f>
        <v>24</v>
      </c>
      <c r="G37" s="189"/>
    </row>
    <row r="38" spans="1:7">
      <c r="A38" s="106"/>
      <c r="B38" s="81" t="s">
        <v>788</v>
      </c>
      <c r="C38" s="103">
        <v>1</v>
      </c>
      <c r="D38" s="103">
        <v>7.93</v>
      </c>
      <c r="E38" s="103">
        <v>5.45</v>
      </c>
      <c r="F38" s="109">
        <f t="shared" ref="F38:F46" si="2">C38*D38*E38</f>
        <v>43.218499999999999</v>
      </c>
      <c r="G38" s="189"/>
    </row>
    <row r="39" spans="1:7">
      <c r="A39" s="106"/>
      <c r="B39" s="81" t="s">
        <v>793</v>
      </c>
      <c r="C39" s="110">
        <v>-1</v>
      </c>
      <c r="D39" s="103">
        <v>1.54</v>
      </c>
      <c r="E39" s="103">
        <v>2.5</v>
      </c>
      <c r="F39" s="109">
        <f t="shared" si="2"/>
        <v>-3.85</v>
      </c>
      <c r="G39" s="189"/>
    </row>
    <row r="40" spans="1:7">
      <c r="A40" s="106"/>
      <c r="B40" s="81" t="s">
        <v>767</v>
      </c>
      <c r="C40" s="110">
        <v>1</v>
      </c>
      <c r="D40" s="103">
        <v>10.42</v>
      </c>
      <c r="E40" s="103">
        <v>5.75</v>
      </c>
      <c r="F40" s="109">
        <f t="shared" si="2"/>
        <v>59.914999999999999</v>
      </c>
      <c r="G40" s="189"/>
    </row>
    <row r="41" spans="1:7">
      <c r="A41" s="106"/>
      <c r="B41" s="81" t="s">
        <v>794</v>
      </c>
      <c r="C41" s="110">
        <v>1</v>
      </c>
      <c r="D41" s="103">
        <v>9</v>
      </c>
      <c r="E41" s="103">
        <v>9.25</v>
      </c>
      <c r="F41" s="109">
        <f t="shared" si="2"/>
        <v>83.25</v>
      </c>
      <c r="G41" s="269"/>
    </row>
    <row r="42" spans="1:7">
      <c r="A42" s="106"/>
      <c r="B42" s="81" t="s">
        <v>769</v>
      </c>
      <c r="C42" s="110">
        <v>1</v>
      </c>
      <c r="D42" s="103">
        <v>10</v>
      </c>
      <c r="E42" s="103">
        <v>9</v>
      </c>
      <c r="F42" s="109">
        <f t="shared" si="2"/>
        <v>90</v>
      </c>
      <c r="G42" s="189"/>
    </row>
    <row r="43" spans="1:7">
      <c r="A43" s="106"/>
      <c r="B43" s="81"/>
      <c r="C43" s="110">
        <v>1</v>
      </c>
      <c r="D43" s="103">
        <v>7</v>
      </c>
      <c r="E43" s="103">
        <v>2.5</v>
      </c>
      <c r="F43" s="109">
        <f t="shared" si="2"/>
        <v>17.5</v>
      </c>
      <c r="G43" s="189"/>
    </row>
    <row r="44" spans="1:7">
      <c r="A44" s="106"/>
      <c r="B44" s="81" t="s">
        <v>795</v>
      </c>
      <c r="C44" s="110">
        <v>1</v>
      </c>
      <c r="D44" s="103">
        <v>5</v>
      </c>
      <c r="E44" s="103">
        <v>7</v>
      </c>
      <c r="F44" s="109">
        <f t="shared" si="2"/>
        <v>35</v>
      </c>
      <c r="G44" s="189"/>
    </row>
    <row r="45" spans="1:7">
      <c r="A45" s="106"/>
      <c r="B45" s="81" t="s">
        <v>796</v>
      </c>
      <c r="C45" s="110">
        <v>1</v>
      </c>
      <c r="D45" s="103">
        <v>5</v>
      </c>
      <c r="E45" s="103">
        <v>7</v>
      </c>
      <c r="F45" s="109">
        <f t="shared" si="2"/>
        <v>35</v>
      </c>
      <c r="G45" s="189"/>
    </row>
    <row r="46" spans="1:7">
      <c r="A46" s="106"/>
      <c r="B46" s="81" t="s">
        <v>772</v>
      </c>
      <c r="C46" s="110">
        <v>1</v>
      </c>
      <c r="D46" s="103">
        <v>19.600000000000001</v>
      </c>
      <c r="E46" s="103">
        <v>8</v>
      </c>
      <c r="F46" s="109">
        <f t="shared" si="2"/>
        <v>156.80000000000001</v>
      </c>
      <c r="G46" s="189"/>
    </row>
    <row r="47" spans="1:7">
      <c r="A47" s="106"/>
      <c r="B47" s="65"/>
      <c r="C47" s="532" t="s">
        <v>785</v>
      </c>
      <c r="D47" s="532"/>
      <c r="E47" s="532"/>
      <c r="F47" s="107">
        <f>SUM(F37:F46)</f>
        <v>540.83349999999996</v>
      </c>
      <c r="G47" s="262"/>
    </row>
    <row r="48" spans="1:7">
      <c r="A48" s="108" t="s">
        <v>25</v>
      </c>
      <c r="B48" s="65" t="s">
        <v>26</v>
      </c>
      <c r="C48" s="103"/>
      <c r="D48" s="103"/>
      <c r="E48" s="103"/>
      <c r="F48" s="107"/>
      <c r="G48" s="262"/>
    </row>
    <row r="49" spans="1:7">
      <c r="A49" s="106"/>
      <c r="B49" s="81" t="s">
        <v>797</v>
      </c>
      <c r="C49" s="103"/>
      <c r="D49" s="103"/>
      <c r="E49" s="103"/>
      <c r="F49" s="109">
        <v>15</v>
      </c>
      <c r="G49" s="269" t="s">
        <v>1441</v>
      </c>
    </row>
    <row r="50" spans="1:7">
      <c r="A50" s="106"/>
      <c r="B50" s="81" t="s">
        <v>798</v>
      </c>
      <c r="C50" s="103"/>
      <c r="D50" s="103"/>
      <c r="E50" s="103"/>
      <c r="F50" s="109">
        <v>1</v>
      </c>
      <c r="G50" s="189"/>
    </row>
    <row r="51" spans="1:7">
      <c r="A51" s="106"/>
      <c r="B51" s="65"/>
      <c r="C51" s="532" t="s">
        <v>785</v>
      </c>
      <c r="D51" s="532"/>
      <c r="E51" s="532"/>
      <c r="F51" s="107">
        <f>SUM(F49:F50)</f>
        <v>16</v>
      </c>
      <c r="G51" s="262"/>
    </row>
    <row r="52" spans="1:7">
      <c r="A52" s="271" t="s">
        <v>40</v>
      </c>
      <c r="B52" s="73" t="s">
        <v>41</v>
      </c>
      <c r="C52" s="111"/>
      <c r="D52" s="111"/>
      <c r="E52" s="111"/>
      <c r="F52" s="107"/>
      <c r="G52" s="262"/>
    </row>
    <row r="53" spans="1:7">
      <c r="A53" s="106"/>
      <c r="B53" s="65" t="s">
        <v>799</v>
      </c>
      <c r="C53" s="103">
        <v>2</v>
      </c>
      <c r="D53" s="103">
        <v>1</v>
      </c>
      <c r="E53" s="103">
        <v>1</v>
      </c>
      <c r="F53" s="109">
        <f>C53*D53*E53</f>
        <v>2</v>
      </c>
      <c r="G53" s="189"/>
    </row>
    <row r="54" spans="1:7">
      <c r="A54" s="106"/>
      <c r="B54" s="65"/>
      <c r="C54" s="532" t="s">
        <v>785</v>
      </c>
      <c r="D54" s="532"/>
      <c r="E54" s="532"/>
      <c r="F54" s="107">
        <f>SUM(F53)</f>
        <v>2</v>
      </c>
      <c r="G54" s="262"/>
    </row>
    <row r="55" spans="1:7">
      <c r="A55" s="62">
        <v>2</v>
      </c>
      <c r="B55" s="60" t="s">
        <v>42</v>
      </c>
      <c r="C55" s="101"/>
      <c r="D55" s="61"/>
      <c r="E55" s="101"/>
      <c r="F55" s="112"/>
      <c r="G55" s="263"/>
    </row>
    <row r="56" spans="1:7" ht="26.4">
      <c r="A56" s="97" t="s">
        <v>47</v>
      </c>
      <c r="B56" s="113" t="s">
        <v>800</v>
      </c>
      <c r="C56" s="114"/>
      <c r="D56" s="115"/>
      <c r="E56" s="115"/>
      <c r="F56" s="105"/>
      <c r="G56" s="105"/>
    </row>
    <row r="57" spans="1:7">
      <c r="A57" s="98"/>
      <c r="B57" s="116" t="s">
        <v>801</v>
      </c>
      <c r="C57" s="110">
        <v>1</v>
      </c>
      <c r="D57" s="117">
        <v>7</v>
      </c>
      <c r="E57" s="117">
        <v>3</v>
      </c>
      <c r="F57" s="109">
        <f>C57*D57*E57</f>
        <v>21</v>
      </c>
      <c r="G57" s="189" t="s">
        <v>1442</v>
      </c>
    </row>
    <row r="58" spans="1:7">
      <c r="A58" s="118"/>
      <c r="B58" s="119" t="s">
        <v>802</v>
      </c>
      <c r="C58" s="110">
        <v>1</v>
      </c>
      <c r="D58" s="117">
        <v>6.97</v>
      </c>
      <c r="E58" s="117">
        <v>9</v>
      </c>
      <c r="F58" s="109">
        <f t="shared" ref="F58:F79" si="3">C58*D58*E58</f>
        <v>62.73</v>
      </c>
      <c r="G58" s="189"/>
    </row>
    <row r="59" spans="1:7">
      <c r="A59" s="118"/>
      <c r="B59" s="119" t="s">
        <v>787</v>
      </c>
      <c r="C59" s="110">
        <v>-1</v>
      </c>
      <c r="D59" s="117">
        <v>3.2</v>
      </c>
      <c r="E59" s="117">
        <v>7.15</v>
      </c>
      <c r="F59" s="109">
        <f t="shared" si="3"/>
        <v>-22.880000000000003</v>
      </c>
      <c r="G59" s="189"/>
    </row>
    <row r="60" spans="1:7">
      <c r="A60" s="118"/>
      <c r="B60" s="119" t="s">
        <v>803</v>
      </c>
      <c r="C60" s="110">
        <v>1</v>
      </c>
      <c r="D60" s="117">
        <v>10.52</v>
      </c>
      <c r="E60" s="117">
        <v>10.25</v>
      </c>
      <c r="F60" s="109">
        <f t="shared" si="3"/>
        <v>107.83</v>
      </c>
      <c r="G60" s="189"/>
    </row>
    <row r="61" spans="1:7">
      <c r="A61" s="118"/>
      <c r="B61" s="119" t="s">
        <v>804</v>
      </c>
      <c r="C61" s="110">
        <v>1</v>
      </c>
      <c r="D61" s="117">
        <v>6.94</v>
      </c>
      <c r="E61" s="117">
        <v>10.25</v>
      </c>
      <c r="F61" s="109">
        <f t="shared" si="3"/>
        <v>71.135000000000005</v>
      </c>
      <c r="G61" s="189"/>
    </row>
    <row r="62" spans="1:7">
      <c r="A62" s="120"/>
      <c r="B62" s="119" t="s">
        <v>805</v>
      </c>
      <c r="C62" s="110">
        <v>1</v>
      </c>
      <c r="D62" s="117">
        <v>18.940000000000001</v>
      </c>
      <c r="E62" s="117">
        <v>9</v>
      </c>
      <c r="F62" s="109">
        <f t="shared" si="3"/>
        <v>170.46</v>
      </c>
      <c r="G62" s="189"/>
    </row>
    <row r="63" spans="1:7">
      <c r="A63" s="120"/>
      <c r="B63" s="119" t="s">
        <v>787</v>
      </c>
      <c r="C63" s="110">
        <v>-1</v>
      </c>
      <c r="D63" s="117">
        <v>2.75</v>
      </c>
      <c r="E63" s="117">
        <v>6.82</v>
      </c>
      <c r="F63" s="109">
        <f t="shared" si="3"/>
        <v>-18.755000000000003</v>
      </c>
      <c r="G63" s="189"/>
    </row>
    <row r="64" spans="1:7">
      <c r="A64" s="177"/>
      <c r="B64" s="144" t="s">
        <v>806</v>
      </c>
      <c r="C64" s="121">
        <v>1</v>
      </c>
      <c r="D64" s="115">
        <v>10.53</v>
      </c>
      <c r="E64" s="122">
        <v>10.25</v>
      </c>
      <c r="F64" s="109">
        <f t="shared" si="3"/>
        <v>107.93249999999999</v>
      </c>
      <c r="G64" s="189"/>
    </row>
    <row r="65" spans="1:7">
      <c r="A65" s="120"/>
      <c r="B65" s="123" t="s">
        <v>787</v>
      </c>
      <c r="C65" s="110">
        <v>-1</v>
      </c>
      <c r="D65" s="117">
        <v>2.75</v>
      </c>
      <c r="E65" s="117">
        <v>6.82</v>
      </c>
      <c r="F65" s="109">
        <f t="shared" si="3"/>
        <v>-18.755000000000003</v>
      </c>
      <c r="G65" s="189"/>
    </row>
    <row r="66" spans="1:7">
      <c r="A66" s="120"/>
      <c r="B66" s="123" t="s">
        <v>807</v>
      </c>
      <c r="C66" s="110">
        <v>1</v>
      </c>
      <c r="D66" s="117">
        <v>10.42</v>
      </c>
      <c r="E66" s="117">
        <v>10.25</v>
      </c>
      <c r="F66" s="109">
        <f t="shared" si="3"/>
        <v>106.80499999999999</v>
      </c>
      <c r="G66" s="189"/>
    </row>
    <row r="67" spans="1:7">
      <c r="A67" s="120"/>
      <c r="B67" s="123" t="s">
        <v>787</v>
      </c>
      <c r="C67" s="110">
        <v>-1</v>
      </c>
      <c r="D67" s="117">
        <v>2.75</v>
      </c>
      <c r="E67" s="117">
        <v>6.82</v>
      </c>
      <c r="F67" s="109">
        <f t="shared" si="3"/>
        <v>-18.755000000000003</v>
      </c>
      <c r="G67" s="189"/>
    </row>
    <row r="68" spans="1:7">
      <c r="A68" s="120"/>
      <c r="B68" s="123" t="s">
        <v>808</v>
      </c>
      <c r="C68" s="110">
        <v>1</v>
      </c>
      <c r="D68" s="117">
        <v>7.94</v>
      </c>
      <c r="E68" s="117">
        <v>10.25</v>
      </c>
      <c r="F68" s="109">
        <f t="shared" si="3"/>
        <v>81.385000000000005</v>
      </c>
      <c r="G68" s="189"/>
    </row>
    <row r="69" spans="1:7">
      <c r="A69" s="120"/>
      <c r="B69" s="123" t="s">
        <v>787</v>
      </c>
      <c r="C69" s="110">
        <v>-1</v>
      </c>
      <c r="D69" s="117">
        <v>2.75</v>
      </c>
      <c r="E69" s="117">
        <v>6.82</v>
      </c>
      <c r="F69" s="109">
        <f t="shared" si="3"/>
        <v>-18.755000000000003</v>
      </c>
      <c r="G69" s="189"/>
    </row>
    <row r="70" spans="1:7">
      <c r="A70" s="120"/>
      <c r="B70" s="123" t="s">
        <v>809</v>
      </c>
      <c r="C70" s="110">
        <v>1</v>
      </c>
      <c r="D70" s="117">
        <v>4</v>
      </c>
      <c r="E70" s="117">
        <v>3</v>
      </c>
      <c r="F70" s="109">
        <f t="shared" si="3"/>
        <v>12</v>
      </c>
      <c r="G70" s="189"/>
    </row>
    <row r="71" spans="1:7">
      <c r="A71" s="120"/>
      <c r="B71" s="123" t="s">
        <v>810</v>
      </c>
      <c r="C71" s="110">
        <v>1</v>
      </c>
      <c r="D71" s="117">
        <v>1.5</v>
      </c>
      <c r="E71" s="117">
        <v>10.25</v>
      </c>
      <c r="F71" s="109">
        <f t="shared" si="3"/>
        <v>15.375</v>
      </c>
      <c r="G71" s="189"/>
    </row>
    <row r="72" spans="1:7">
      <c r="A72" s="120"/>
      <c r="B72" s="123" t="s">
        <v>811</v>
      </c>
      <c r="C72" s="110">
        <v>1</v>
      </c>
      <c r="D72" s="117">
        <v>5.5</v>
      </c>
      <c r="E72" s="117">
        <v>4</v>
      </c>
      <c r="F72" s="109">
        <f t="shared" si="3"/>
        <v>22</v>
      </c>
      <c r="G72" s="189" t="s">
        <v>1443</v>
      </c>
    </row>
    <row r="73" spans="1:7">
      <c r="A73" s="120"/>
      <c r="B73" s="123" t="s">
        <v>812</v>
      </c>
      <c r="C73" s="110">
        <v>1</v>
      </c>
      <c r="D73" s="117">
        <v>4</v>
      </c>
      <c r="E73" s="117">
        <v>2</v>
      </c>
      <c r="F73" s="109">
        <f t="shared" si="3"/>
        <v>8</v>
      </c>
      <c r="G73" s="189" t="s">
        <v>1443</v>
      </c>
    </row>
    <row r="74" spans="1:7">
      <c r="A74" s="120"/>
      <c r="B74" s="123" t="s">
        <v>813</v>
      </c>
      <c r="C74" s="110">
        <v>1</v>
      </c>
      <c r="D74" s="117">
        <v>11.77</v>
      </c>
      <c r="E74" s="117">
        <v>10.25</v>
      </c>
      <c r="F74" s="109">
        <f t="shared" si="3"/>
        <v>120.6425</v>
      </c>
      <c r="G74" s="189"/>
    </row>
    <row r="75" spans="1:7">
      <c r="A75" s="120"/>
      <c r="B75" s="123" t="s">
        <v>814</v>
      </c>
      <c r="C75" s="110">
        <v>1</v>
      </c>
      <c r="D75" s="117">
        <v>3</v>
      </c>
      <c r="E75" s="117">
        <v>2</v>
      </c>
      <c r="F75" s="109">
        <f t="shared" si="3"/>
        <v>6</v>
      </c>
      <c r="G75" s="189" t="s">
        <v>1442</v>
      </c>
    </row>
    <row r="76" spans="1:7">
      <c r="A76" s="120"/>
      <c r="B76" s="123" t="s">
        <v>815</v>
      </c>
      <c r="C76" s="110">
        <v>4</v>
      </c>
      <c r="D76" s="117">
        <v>3</v>
      </c>
      <c r="E76" s="117">
        <v>2</v>
      </c>
      <c r="F76" s="109">
        <f t="shared" si="3"/>
        <v>24</v>
      </c>
      <c r="G76" s="189" t="s">
        <v>1442</v>
      </c>
    </row>
    <row r="77" spans="1:7">
      <c r="A77" s="120"/>
      <c r="B77" s="123" t="s">
        <v>816</v>
      </c>
      <c r="C77" s="110">
        <v>1</v>
      </c>
      <c r="D77" s="117">
        <v>3</v>
      </c>
      <c r="E77" s="117">
        <v>2</v>
      </c>
      <c r="F77" s="109">
        <f t="shared" si="3"/>
        <v>6</v>
      </c>
      <c r="G77" s="189" t="s">
        <v>1442</v>
      </c>
    </row>
    <row r="78" spans="1:7">
      <c r="A78" s="120"/>
      <c r="B78" s="123" t="s">
        <v>817</v>
      </c>
      <c r="C78" s="110">
        <v>1</v>
      </c>
      <c r="D78" s="117">
        <v>3</v>
      </c>
      <c r="E78" s="117">
        <v>2</v>
      </c>
      <c r="F78" s="109">
        <f t="shared" si="3"/>
        <v>6</v>
      </c>
      <c r="G78" s="189" t="s">
        <v>1442</v>
      </c>
    </row>
    <row r="79" spans="1:7">
      <c r="A79" s="120"/>
      <c r="B79" s="119" t="s">
        <v>818</v>
      </c>
      <c r="C79" s="110"/>
      <c r="D79" s="117"/>
      <c r="E79" s="117"/>
      <c r="F79" s="109">
        <f t="shared" si="3"/>
        <v>0</v>
      </c>
      <c r="G79" s="189"/>
    </row>
    <row r="80" spans="1:7">
      <c r="A80" s="124"/>
      <c r="B80" s="119"/>
      <c r="C80" s="532" t="s">
        <v>785</v>
      </c>
      <c r="D80" s="532"/>
      <c r="E80" s="532"/>
      <c r="F80" s="125">
        <f>SUM(F57:F79)</f>
        <v>851.39499999999998</v>
      </c>
      <c r="G80" s="125"/>
    </row>
    <row r="81" spans="1:7">
      <c r="A81" s="62">
        <v>4</v>
      </c>
      <c r="B81" s="60" t="s">
        <v>62</v>
      </c>
      <c r="C81" s="101"/>
      <c r="D81" s="61"/>
      <c r="E81" s="101"/>
      <c r="F81" s="112"/>
      <c r="G81" s="263"/>
    </row>
    <row r="82" spans="1:7">
      <c r="A82" s="120" t="s">
        <v>14</v>
      </c>
      <c r="B82" s="126" t="s">
        <v>819</v>
      </c>
      <c r="C82" s="127"/>
      <c r="D82" s="127"/>
      <c r="E82" s="127"/>
      <c r="F82" s="105"/>
      <c r="G82" s="105"/>
    </row>
    <row r="83" spans="1:7">
      <c r="A83" s="120"/>
      <c r="B83" s="119" t="s">
        <v>820</v>
      </c>
      <c r="C83" s="110">
        <v>2</v>
      </c>
      <c r="D83" s="117">
        <v>1</v>
      </c>
      <c r="E83" s="117">
        <f>F80</f>
        <v>851.39499999999998</v>
      </c>
      <c r="F83" s="105">
        <f>C83*D83*E83</f>
        <v>1702.79</v>
      </c>
      <c r="G83" s="105" t="s">
        <v>1444</v>
      </c>
    </row>
    <row r="84" spans="1:7">
      <c r="A84" s="120"/>
      <c r="B84" s="119" t="s">
        <v>821</v>
      </c>
      <c r="C84" s="110">
        <v>1</v>
      </c>
      <c r="D84" s="117">
        <v>2</v>
      </c>
      <c r="E84" s="117">
        <v>10.25</v>
      </c>
      <c r="F84" s="105">
        <f t="shared" ref="F84:F98" si="4">C84*D84*E84</f>
        <v>20.5</v>
      </c>
      <c r="G84" s="105"/>
    </row>
    <row r="85" spans="1:7">
      <c r="A85" s="120"/>
      <c r="B85" s="119" t="s">
        <v>822</v>
      </c>
      <c r="C85" s="110">
        <v>1</v>
      </c>
      <c r="D85" s="117">
        <v>5.36</v>
      </c>
      <c r="E85" s="117">
        <v>9</v>
      </c>
      <c r="F85" s="105">
        <f t="shared" si="4"/>
        <v>48.24</v>
      </c>
      <c r="G85" s="105"/>
    </row>
    <row r="86" spans="1:7">
      <c r="A86" s="120"/>
      <c r="B86" s="119" t="s">
        <v>789</v>
      </c>
      <c r="C86" s="110">
        <v>-1</v>
      </c>
      <c r="D86" s="117">
        <v>5.5</v>
      </c>
      <c r="E86" s="117">
        <v>4</v>
      </c>
      <c r="F86" s="105">
        <f t="shared" si="4"/>
        <v>-22</v>
      </c>
      <c r="G86" s="105"/>
    </row>
    <row r="87" spans="1:7">
      <c r="A87" s="120"/>
      <c r="B87" s="119"/>
      <c r="C87" s="110">
        <v>-1</v>
      </c>
      <c r="D87" s="117">
        <v>2</v>
      </c>
      <c r="E87" s="117">
        <v>3</v>
      </c>
      <c r="F87" s="105">
        <f t="shared" si="4"/>
        <v>-6</v>
      </c>
      <c r="G87" s="105"/>
    </row>
    <row r="88" spans="1:7">
      <c r="A88" s="120"/>
      <c r="B88" s="119" t="s">
        <v>823</v>
      </c>
      <c r="C88" s="110">
        <v>1</v>
      </c>
      <c r="D88" s="117">
        <v>17</v>
      </c>
      <c r="E88" s="117">
        <v>9</v>
      </c>
      <c r="F88" s="105">
        <f t="shared" si="4"/>
        <v>153</v>
      </c>
      <c r="G88" s="105"/>
    </row>
    <row r="89" spans="1:7">
      <c r="A89" s="120"/>
      <c r="B89" s="119" t="s">
        <v>789</v>
      </c>
      <c r="C89" s="110">
        <v>-1</v>
      </c>
      <c r="D89" s="117">
        <v>1.5</v>
      </c>
      <c r="E89" s="117">
        <v>2.2000000000000002</v>
      </c>
      <c r="F89" s="105">
        <f t="shared" si="4"/>
        <v>-3.3000000000000003</v>
      </c>
      <c r="G89" s="105"/>
    </row>
    <row r="90" spans="1:7">
      <c r="A90" s="120"/>
      <c r="B90" s="119"/>
      <c r="C90" s="110">
        <v>-1</v>
      </c>
      <c r="D90" s="117">
        <v>1.5</v>
      </c>
      <c r="E90" s="117">
        <v>1.5</v>
      </c>
      <c r="F90" s="105">
        <f t="shared" si="4"/>
        <v>-2.25</v>
      </c>
      <c r="G90" s="105"/>
    </row>
    <row r="91" spans="1:7">
      <c r="A91" s="120"/>
      <c r="B91" s="119" t="s">
        <v>813</v>
      </c>
      <c r="C91" s="110">
        <v>1</v>
      </c>
      <c r="D91" s="117">
        <v>20.02</v>
      </c>
      <c r="E91" s="117">
        <v>9</v>
      </c>
      <c r="F91" s="105">
        <f t="shared" si="4"/>
        <v>180.18</v>
      </c>
      <c r="G91" s="105"/>
    </row>
    <row r="92" spans="1:7">
      <c r="A92" s="120"/>
      <c r="B92" s="119" t="s">
        <v>824</v>
      </c>
      <c r="C92" s="110">
        <v>-1</v>
      </c>
      <c r="D92" s="117">
        <v>3.71</v>
      </c>
      <c r="E92" s="117">
        <v>3.69</v>
      </c>
      <c r="F92" s="105">
        <f t="shared" ref="F92:F93" si="5">C92*D92*E92</f>
        <v>-13.6899</v>
      </c>
      <c r="G92" s="105"/>
    </row>
    <row r="93" spans="1:7">
      <c r="A93" s="120"/>
      <c r="B93" s="119" t="s">
        <v>824</v>
      </c>
      <c r="C93" s="110">
        <v>-1</v>
      </c>
      <c r="D93" s="117">
        <v>3.76</v>
      </c>
      <c r="E93" s="117">
        <v>3.54</v>
      </c>
      <c r="F93" s="105">
        <f t="shared" si="5"/>
        <v>-13.3104</v>
      </c>
      <c r="G93" s="105"/>
    </row>
    <row r="94" spans="1:7">
      <c r="A94" s="120"/>
      <c r="B94" s="119" t="s">
        <v>769</v>
      </c>
      <c r="C94" s="110">
        <v>1</v>
      </c>
      <c r="D94" s="117">
        <v>18.329999999999998</v>
      </c>
      <c r="E94" s="117">
        <v>9</v>
      </c>
      <c r="F94" s="105">
        <f t="shared" si="4"/>
        <v>164.96999999999997</v>
      </c>
      <c r="G94" s="105"/>
    </row>
    <row r="95" spans="1:7">
      <c r="A95" s="120"/>
      <c r="B95" s="119" t="s">
        <v>824</v>
      </c>
      <c r="C95" s="110">
        <v>-4</v>
      </c>
      <c r="D95" s="117">
        <v>2</v>
      </c>
      <c r="E95" s="117">
        <v>3</v>
      </c>
      <c r="F95" s="105">
        <f t="shared" si="4"/>
        <v>-24</v>
      </c>
      <c r="G95" s="105"/>
    </row>
    <row r="96" spans="1:7">
      <c r="A96" s="120"/>
      <c r="B96" s="119" t="s">
        <v>825</v>
      </c>
      <c r="C96" s="110">
        <v>1</v>
      </c>
      <c r="D96" s="117">
        <v>6.5</v>
      </c>
      <c r="E96" s="117">
        <v>9</v>
      </c>
      <c r="F96" s="105">
        <f t="shared" si="4"/>
        <v>58.5</v>
      </c>
      <c r="G96" s="105" t="s">
        <v>1443</v>
      </c>
    </row>
    <row r="97" spans="1:7">
      <c r="A97" s="120"/>
      <c r="B97" s="119" t="s">
        <v>826</v>
      </c>
      <c r="C97" s="110">
        <v>1</v>
      </c>
      <c r="D97" s="117">
        <v>6.5</v>
      </c>
      <c r="E97" s="117">
        <v>9</v>
      </c>
      <c r="F97" s="105">
        <f t="shared" si="4"/>
        <v>58.5</v>
      </c>
      <c r="G97" s="105" t="s">
        <v>1443</v>
      </c>
    </row>
    <row r="98" spans="1:7">
      <c r="A98" s="120"/>
      <c r="B98" s="119" t="s">
        <v>827</v>
      </c>
      <c r="C98" s="110">
        <v>1</v>
      </c>
      <c r="D98" s="117">
        <v>5</v>
      </c>
      <c r="E98" s="117">
        <v>3</v>
      </c>
      <c r="F98" s="105">
        <f t="shared" si="4"/>
        <v>15</v>
      </c>
      <c r="G98" s="105" t="s">
        <v>1443</v>
      </c>
    </row>
    <row r="99" spans="1:7">
      <c r="A99" s="120"/>
      <c r="B99" s="123" t="s">
        <v>818</v>
      </c>
      <c r="C99" s="110"/>
      <c r="D99" s="110"/>
      <c r="E99" s="110"/>
      <c r="F99" s="105">
        <v>0</v>
      </c>
      <c r="G99" s="105"/>
    </row>
    <row r="100" spans="1:7">
      <c r="A100" s="120"/>
      <c r="B100" s="128"/>
      <c r="C100" s="532" t="s">
        <v>785</v>
      </c>
      <c r="D100" s="532"/>
      <c r="E100" s="532"/>
      <c r="F100" s="125">
        <f>SUM(F83:F99)</f>
        <v>2317.1297</v>
      </c>
      <c r="G100" s="125"/>
    </row>
    <row r="101" spans="1:7">
      <c r="A101" s="62">
        <v>5</v>
      </c>
      <c r="B101" s="60" t="s">
        <v>63</v>
      </c>
      <c r="C101" s="101"/>
      <c r="D101" s="61"/>
      <c r="E101" s="101"/>
      <c r="F101" s="112"/>
      <c r="G101" s="263"/>
    </row>
    <row r="102" spans="1:7">
      <c r="A102" s="120" t="s">
        <v>14</v>
      </c>
      <c r="B102" s="113" t="s">
        <v>828</v>
      </c>
      <c r="C102" s="121"/>
      <c r="D102" s="115"/>
      <c r="E102" s="122"/>
      <c r="F102" s="129"/>
      <c r="G102" s="129"/>
    </row>
    <row r="103" spans="1:7">
      <c r="A103" s="120"/>
      <c r="B103" s="123" t="s">
        <v>829</v>
      </c>
      <c r="C103" s="110">
        <v>1</v>
      </c>
      <c r="D103" s="117">
        <v>7.93</v>
      </c>
      <c r="E103" s="117">
        <v>5.45</v>
      </c>
      <c r="F103" s="105">
        <f>C103*D103*E103</f>
        <v>43.218499999999999</v>
      </c>
      <c r="G103" s="105"/>
    </row>
    <row r="104" spans="1:7">
      <c r="A104" s="120"/>
      <c r="B104" s="123" t="s">
        <v>830</v>
      </c>
      <c r="C104" s="110">
        <v>1</v>
      </c>
      <c r="D104" s="117">
        <f>D103*2+E103*2</f>
        <v>26.759999999999998</v>
      </c>
      <c r="E104" s="117">
        <v>3</v>
      </c>
      <c r="F104" s="105">
        <f t="shared" ref="F104:F112" si="6">C104*D104*E104</f>
        <v>80.28</v>
      </c>
      <c r="G104" s="105" t="s">
        <v>1443</v>
      </c>
    </row>
    <row r="105" spans="1:7">
      <c r="A105" s="120"/>
      <c r="B105" s="123" t="s">
        <v>793</v>
      </c>
      <c r="C105" s="110">
        <v>-1</v>
      </c>
      <c r="D105" s="117">
        <v>1.54</v>
      </c>
      <c r="E105" s="117">
        <v>2.5</v>
      </c>
      <c r="F105" s="105">
        <f t="shared" si="6"/>
        <v>-3.85</v>
      </c>
      <c r="G105" s="105"/>
    </row>
    <row r="106" spans="1:7">
      <c r="A106" s="120"/>
      <c r="B106" s="123" t="s">
        <v>831</v>
      </c>
      <c r="C106" s="110">
        <v>-1</v>
      </c>
      <c r="D106" s="117">
        <v>2.75</v>
      </c>
      <c r="E106" s="117">
        <v>3</v>
      </c>
      <c r="F106" s="105">
        <f t="shared" si="6"/>
        <v>-8.25</v>
      </c>
      <c r="G106" s="105"/>
    </row>
    <row r="107" spans="1:7">
      <c r="A107" s="98"/>
      <c r="B107" s="123" t="s">
        <v>832</v>
      </c>
      <c r="C107" s="110">
        <v>1</v>
      </c>
      <c r="D107" s="110">
        <v>10.42</v>
      </c>
      <c r="E107" s="110">
        <v>5.75</v>
      </c>
      <c r="F107" s="105">
        <f t="shared" si="6"/>
        <v>59.914999999999999</v>
      </c>
      <c r="G107" s="105"/>
    </row>
    <row r="108" spans="1:7">
      <c r="A108" s="120"/>
      <c r="B108" s="123" t="s">
        <v>833</v>
      </c>
      <c r="C108" s="110">
        <v>1</v>
      </c>
      <c r="D108" s="117">
        <f>D107*2+E107*2</f>
        <v>32.340000000000003</v>
      </c>
      <c r="E108" s="117">
        <v>3</v>
      </c>
      <c r="F108" s="105">
        <f t="shared" si="6"/>
        <v>97.02000000000001</v>
      </c>
      <c r="G108" s="105"/>
    </row>
    <row r="109" spans="1:7">
      <c r="A109" s="120"/>
      <c r="B109" s="123" t="s">
        <v>834</v>
      </c>
      <c r="C109" s="110">
        <v>-1</v>
      </c>
      <c r="D109" s="117">
        <v>2.75</v>
      </c>
      <c r="E109" s="117">
        <v>3</v>
      </c>
      <c r="F109" s="105">
        <f t="shared" si="6"/>
        <v>-8.25</v>
      </c>
      <c r="G109" s="105"/>
    </row>
    <row r="110" spans="1:7">
      <c r="A110" s="124"/>
      <c r="B110" s="123" t="s">
        <v>835</v>
      </c>
      <c r="C110" s="110">
        <v>1</v>
      </c>
      <c r="D110" s="117">
        <v>5</v>
      </c>
      <c r="E110" s="117">
        <v>2</v>
      </c>
      <c r="F110" s="105">
        <f t="shared" si="6"/>
        <v>10</v>
      </c>
      <c r="G110" s="105"/>
    </row>
    <row r="111" spans="1:7">
      <c r="A111" s="124"/>
      <c r="B111" s="123" t="s">
        <v>836</v>
      </c>
      <c r="C111" s="110">
        <v>1</v>
      </c>
      <c r="D111" s="117">
        <v>5</v>
      </c>
      <c r="E111" s="117">
        <v>3</v>
      </c>
      <c r="F111" s="105">
        <f t="shared" si="6"/>
        <v>15</v>
      </c>
      <c r="G111" s="105"/>
    </row>
    <row r="112" spans="1:7">
      <c r="A112" s="124"/>
      <c r="B112" s="123" t="s">
        <v>818</v>
      </c>
      <c r="C112" s="110"/>
      <c r="D112" s="110"/>
      <c r="E112" s="110"/>
      <c r="F112" s="105">
        <f t="shared" si="6"/>
        <v>0</v>
      </c>
      <c r="G112" s="105"/>
    </row>
    <row r="113" spans="1:7">
      <c r="A113" s="124"/>
      <c r="B113" s="119"/>
      <c r="C113" s="532" t="s">
        <v>785</v>
      </c>
      <c r="D113" s="532"/>
      <c r="E113" s="532"/>
      <c r="F113" s="125">
        <f>SUM(F103:F112)</f>
        <v>285.08350000000002</v>
      </c>
      <c r="G113" s="125"/>
    </row>
    <row r="114" spans="1:7">
      <c r="A114" s="62">
        <v>6</v>
      </c>
      <c r="B114" s="60" t="s">
        <v>65</v>
      </c>
      <c r="C114" s="101"/>
      <c r="D114" s="61"/>
      <c r="E114" s="101"/>
      <c r="F114" s="112"/>
      <c r="G114" s="263"/>
    </row>
    <row r="115" spans="1:7">
      <c r="A115" s="120" t="s">
        <v>14</v>
      </c>
      <c r="B115" s="113" t="s">
        <v>837</v>
      </c>
      <c r="C115" s="110"/>
      <c r="D115" s="117"/>
      <c r="E115" s="117"/>
      <c r="F115" s="105"/>
      <c r="G115" s="105"/>
    </row>
    <row r="116" spans="1:7">
      <c r="A116" s="120"/>
      <c r="B116" s="123" t="s">
        <v>829</v>
      </c>
      <c r="C116" s="110">
        <v>1</v>
      </c>
      <c r="D116" s="117">
        <v>7.93</v>
      </c>
      <c r="E116" s="117">
        <v>5.45</v>
      </c>
      <c r="F116" s="105">
        <f>C116*D116*E116</f>
        <v>43.218499999999999</v>
      </c>
      <c r="G116" s="105"/>
    </row>
    <row r="117" spans="1:7">
      <c r="A117" s="120"/>
      <c r="B117" s="123" t="s">
        <v>793</v>
      </c>
      <c r="C117" s="110">
        <v>-1</v>
      </c>
      <c r="D117" s="117">
        <v>1.54</v>
      </c>
      <c r="E117" s="117">
        <v>2.5</v>
      </c>
      <c r="F117" s="105">
        <f t="shared" ref="F117" si="7">C117*D117*E117</f>
        <v>-3.85</v>
      </c>
      <c r="G117" s="105"/>
    </row>
    <row r="118" spans="1:7">
      <c r="A118" s="98"/>
      <c r="B118" s="123" t="s">
        <v>832</v>
      </c>
      <c r="C118" s="110">
        <v>1</v>
      </c>
      <c r="D118" s="110">
        <v>10.42</v>
      </c>
      <c r="E118" s="110">
        <v>5.75</v>
      </c>
      <c r="F118" s="105">
        <f>C118*D118*E118</f>
        <v>59.914999999999999</v>
      </c>
      <c r="G118" s="105"/>
    </row>
    <row r="119" spans="1:7">
      <c r="A119" s="98"/>
      <c r="B119" s="123" t="s">
        <v>835</v>
      </c>
      <c r="C119" s="110">
        <v>1</v>
      </c>
      <c r="D119" s="117">
        <v>5</v>
      </c>
      <c r="E119" s="117">
        <v>2</v>
      </c>
      <c r="F119" s="105">
        <f>C119*D119*E119</f>
        <v>10</v>
      </c>
      <c r="G119" s="105"/>
    </row>
    <row r="120" spans="1:7">
      <c r="A120" s="124"/>
      <c r="B120" s="123" t="s">
        <v>818</v>
      </c>
      <c r="C120" s="110"/>
      <c r="D120" s="110"/>
      <c r="E120" s="110"/>
      <c r="F120" s="105">
        <f>C120*D120*E120</f>
        <v>0</v>
      </c>
      <c r="G120" s="105"/>
    </row>
    <row r="121" spans="1:7">
      <c r="A121" s="124"/>
      <c r="B121" s="119" t="s">
        <v>838</v>
      </c>
      <c r="C121" s="532" t="s">
        <v>785</v>
      </c>
      <c r="D121" s="532"/>
      <c r="E121" s="532"/>
      <c r="F121" s="125">
        <f>SUM(F116:F120)</f>
        <v>109.2835</v>
      </c>
      <c r="G121" s="125"/>
    </row>
    <row r="122" spans="1:7">
      <c r="A122" s="62">
        <v>7</v>
      </c>
      <c r="B122" s="60" t="s">
        <v>67</v>
      </c>
      <c r="C122" s="101"/>
      <c r="D122" s="61"/>
      <c r="E122" s="101"/>
      <c r="F122" s="112"/>
      <c r="G122" s="263"/>
    </row>
    <row r="123" spans="1:7">
      <c r="A123" s="130" t="s">
        <v>14</v>
      </c>
      <c r="B123" s="131" t="s">
        <v>839</v>
      </c>
      <c r="C123" s="111"/>
      <c r="D123" s="111"/>
      <c r="E123" s="111"/>
      <c r="F123" s="132"/>
      <c r="G123" s="132"/>
    </row>
    <row r="124" spans="1:7">
      <c r="A124" s="130"/>
      <c r="B124" s="133" t="s">
        <v>792</v>
      </c>
      <c r="C124" s="110">
        <v>1</v>
      </c>
      <c r="D124" s="117">
        <v>12</v>
      </c>
      <c r="E124" s="117">
        <v>2</v>
      </c>
      <c r="F124" s="105">
        <f>C124*D124*E124</f>
        <v>24</v>
      </c>
      <c r="G124" s="105"/>
    </row>
    <row r="125" spans="1:7">
      <c r="A125" s="130"/>
      <c r="B125" s="133" t="s">
        <v>840</v>
      </c>
      <c r="C125" s="110">
        <v>1</v>
      </c>
      <c r="D125" s="117">
        <v>18</v>
      </c>
      <c r="E125" s="117">
        <v>9.25</v>
      </c>
      <c r="F125" s="105">
        <f t="shared" ref="F125:F130" si="8">C125*D125*E125</f>
        <v>166.5</v>
      </c>
      <c r="G125" s="105"/>
    </row>
    <row r="126" spans="1:7">
      <c r="A126" s="130"/>
      <c r="B126" s="133"/>
      <c r="C126" s="110">
        <v>1</v>
      </c>
      <c r="D126" s="117">
        <v>2</v>
      </c>
      <c r="E126" s="117">
        <v>10</v>
      </c>
      <c r="F126" s="105">
        <f t="shared" si="8"/>
        <v>20</v>
      </c>
      <c r="G126" s="105"/>
    </row>
    <row r="127" spans="1:7">
      <c r="A127" s="130"/>
      <c r="B127" s="133" t="s">
        <v>825</v>
      </c>
      <c r="C127" s="110">
        <v>1</v>
      </c>
      <c r="D127" s="117">
        <v>5</v>
      </c>
      <c r="E127" s="117">
        <v>7</v>
      </c>
      <c r="F127" s="105">
        <f t="shared" si="8"/>
        <v>35</v>
      </c>
      <c r="G127" s="105" t="s">
        <v>1445</v>
      </c>
    </row>
    <row r="128" spans="1:7">
      <c r="A128" s="130"/>
      <c r="B128" s="133" t="s">
        <v>826</v>
      </c>
      <c r="C128" s="110">
        <v>1</v>
      </c>
      <c r="D128" s="117">
        <v>5</v>
      </c>
      <c r="E128" s="117">
        <v>7</v>
      </c>
      <c r="F128" s="105">
        <f t="shared" si="8"/>
        <v>35</v>
      </c>
      <c r="G128" s="105"/>
    </row>
    <row r="129" spans="1:7">
      <c r="A129" s="130"/>
      <c r="B129" s="133" t="s">
        <v>841</v>
      </c>
      <c r="C129" s="110">
        <v>1</v>
      </c>
      <c r="D129" s="117">
        <v>19.5</v>
      </c>
      <c r="E129" s="117">
        <v>8</v>
      </c>
      <c r="F129" s="105">
        <f t="shared" si="8"/>
        <v>156</v>
      </c>
      <c r="G129" s="105"/>
    </row>
    <row r="130" spans="1:7">
      <c r="A130" s="130"/>
      <c r="B130" s="133" t="s">
        <v>842</v>
      </c>
      <c r="C130" s="110">
        <v>1</v>
      </c>
      <c r="D130" s="117">
        <v>7</v>
      </c>
      <c r="E130" s="117">
        <v>14</v>
      </c>
      <c r="F130" s="105">
        <f t="shared" si="8"/>
        <v>98</v>
      </c>
      <c r="G130" s="105"/>
    </row>
    <row r="131" spans="1:7">
      <c r="A131" s="124"/>
      <c r="B131" s="119" t="s">
        <v>838</v>
      </c>
      <c r="C131" s="532" t="s">
        <v>785</v>
      </c>
      <c r="D131" s="532"/>
      <c r="E131" s="532"/>
      <c r="F131" s="132">
        <f>SUM(F124:F130)</f>
        <v>534.5</v>
      </c>
      <c r="G131" s="132"/>
    </row>
    <row r="132" spans="1:7">
      <c r="A132" s="62">
        <v>9</v>
      </c>
      <c r="B132" s="60" t="s">
        <v>70</v>
      </c>
      <c r="C132" s="101"/>
      <c r="D132" s="61"/>
      <c r="E132" s="101"/>
      <c r="F132" s="112"/>
      <c r="G132" s="263"/>
    </row>
    <row r="133" spans="1:7">
      <c r="A133" s="134" t="s">
        <v>14</v>
      </c>
      <c r="B133" s="135" t="s">
        <v>71</v>
      </c>
      <c r="C133" s="136"/>
      <c r="D133" s="137"/>
      <c r="E133" s="138"/>
      <c r="F133" s="139"/>
      <c r="G133" s="139"/>
    </row>
    <row r="134" spans="1:7" ht="26.4">
      <c r="A134" s="120" t="s">
        <v>16</v>
      </c>
      <c r="B134" s="113" t="s">
        <v>843</v>
      </c>
      <c r="C134" s="110"/>
      <c r="D134" s="117"/>
      <c r="E134" s="117"/>
      <c r="F134" s="105"/>
      <c r="G134" s="105"/>
    </row>
    <row r="135" spans="1:7">
      <c r="A135" s="124"/>
      <c r="B135" s="119" t="s">
        <v>844</v>
      </c>
      <c r="C135" s="110">
        <v>1</v>
      </c>
      <c r="D135" s="110">
        <v>1</v>
      </c>
      <c r="E135" s="110">
        <v>2280</v>
      </c>
      <c r="F135" s="105">
        <f>C135*D135*E135</f>
        <v>2280</v>
      </c>
      <c r="G135" s="105"/>
    </row>
    <row r="136" spans="1:7">
      <c r="A136" s="124"/>
      <c r="B136" s="119" t="s">
        <v>845</v>
      </c>
      <c r="C136" s="110">
        <v>1</v>
      </c>
      <c r="D136" s="110">
        <v>14.2</v>
      </c>
      <c r="E136" s="110">
        <v>8.14</v>
      </c>
      <c r="F136" s="105">
        <f t="shared" ref="F136:F144" si="9">C136*D136*E136</f>
        <v>115.58800000000001</v>
      </c>
      <c r="G136" s="105"/>
    </row>
    <row r="137" spans="1:7">
      <c r="A137" s="124"/>
      <c r="B137" s="140" t="s">
        <v>846</v>
      </c>
      <c r="C137" s="110"/>
      <c r="D137" s="110"/>
      <c r="E137" s="110"/>
      <c r="F137" s="105"/>
      <c r="G137" s="105"/>
    </row>
    <row r="138" spans="1:7">
      <c r="A138" s="124"/>
      <c r="B138" s="123" t="s">
        <v>845</v>
      </c>
      <c r="C138" s="110">
        <v>-1</v>
      </c>
      <c r="D138" s="110">
        <v>1.54</v>
      </c>
      <c r="E138" s="110">
        <v>0.9</v>
      </c>
      <c r="F138" s="105">
        <f t="shared" si="9"/>
        <v>-1.3860000000000001</v>
      </c>
      <c r="G138" s="105"/>
    </row>
    <row r="139" spans="1:7">
      <c r="A139" s="124"/>
      <c r="B139" s="123" t="s">
        <v>847</v>
      </c>
      <c r="C139" s="110">
        <v>-1</v>
      </c>
      <c r="D139" s="110">
        <v>10.52</v>
      </c>
      <c r="E139" s="110">
        <v>6.97</v>
      </c>
      <c r="F139" s="105">
        <f t="shared" si="9"/>
        <v>-73.324399999999997</v>
      </c>
      <c r="G139" s="123"/>
    </row>
    <row r="140" spans="1:7">
      <c r="A140" s="124"/>
      <c r="B140" s="123" t="s">
        <v>848</v>
      </c>
      <c r="C140" s="110">
        <v>-1</v>
      </c>
      <c r="D140" s="110">
        <v>10.53</v>
      </c>
      <c r="E140" s="110">
        <v>8.9499999999999993</v>
      </c>
      <c r="F140" s="105">
        <f t="shared" si="9"/>
        <v>-94.243499999999983</v>
      </c>
      <c r="G140" s="105"/>
    </row>
    <row r="141" spans="1:7">
      <c r="A141" s="120"/>
      <c r="B141" s="123" t="s">
        <v>829</v>
      </c>
      <c r="C141" s="110">
        <v>-1</v>
      </c>
      <c r="D141" s="117">
        <v>7.93</v>
      </c>
      <c r="E141" s="117">
        <v>5.45</v>
      </c>
      <c r="F141" s="105">
        <f t="shared" si="9"/>
        <v>-43.218499999999999</v>
      </c>
      <c r="G141" s="105"/>
    </row>
    <row r="142" spans="1:7">
      <c r="A142" s="98"/>
      <c r="B142" s="123" t="s">
        <v>832</v>
      </c>
      <c r="C142" s="110">
        <v>-1</v>
      </c>
      <c r="D142" s="110">
        <v>10.42</v>
      </c>
      <c r="E142" s="110">
        <v>5.75</v>
      </c>
      <c r="F142" s="105">
        <f t="shared" si="9"/>
        <v>-59.914999999999999</v>
      </c>
      <c r="G142" s="105"/>
    </row>
    <row r="143" spans="1:7">
      <c r="A143" s="98"/>
      <c r="B143" s="123" t="s">
        <v>849</v>
      </c>
      <c r="C143" s="110">
        <v>-1</v>
      </c>
      <c r="D143" s="110">
        <v>7.94</v>
      </c>
      <c r="E143" s="110">
        <v>4.42</v>
      </c>
      <c r="F143" s="105">
        <f t="shared" si="9"/>
        <v>-35.094799999999999</v>
      </c>
      <c r="G143" s="105"/>
    </row>
    <row r="144" spans="1:7">
      <c r="A144" s="124"/>
      <c r="B144" s="119" t="s">
        <v>1591</v>
      </c>
      <c r="C144" s="110">
        <v>-1</v>
      </c>
      <c r="D144" s="110">
        <v>1</v>
      </c>
      <c r="E144" s="110">
        <f>F176</f>
        <v>78.625</v>
      </c>
      <c r="F144" s="105">
        <f t="shared" si="9"/>
        <v>-78.625</v>
      </c>
      <c r="G144" s="105"/>
    </row>
    <row r="145" spans="1:7">
      <c r="A145" s="124"/>
      <c r="B145" s="119"/>
      <c r="C145" s="532" t="s">
        <v>785</v>
      </c>
      <c r="D145" s="532"/>
      <c r="E145" s="532"/>
      <c r="F145" s="125">
        <f>SUM(F135:F144)</f>
        <v>2009.7808000000005</v>
      </c>
      <c r="G145" s="125"/>
    </row>
    <row r="146" spans="1:7">
      <c r="A146" s="272" t="s">
        <v>19</v>
      </c>
      <c r="B146" s="81" t="s">
        <v>73</v>
      </c>
      <c r="C146" s="111"/>
      <c r="D146" s="111"/>
      <c r="E146" s="111"/>
      <c r="F146" s="125"/>
      <c r="G146" s="125"/>
    </row>
    <row r="147" spans="1:7">
      <c r="A147" s="124"/>
      <c r="B147" s="119" t="s">
        <v>768</v>
      </c>
      <c r="C147" s="110">
        <v>1</v>
      </c>
      <c r="D147" s="110">
        <v>32</v>
      </c>
      <c r="E147" s="110">
        <v>1</v>
      </c>
      <c r="F147" s="105">
        <f>C147*D147*E147</f>
        <v>32</v>
      </c>
      <c r="G147" s="105"/>
    </row>
    <row r="148" spans="1:7">
      <c r="A148" s="124"/>
      <c r="B148" s="119" t="s">
        <v>826</v>
      </c>
      <c r="C148" s="110">
        <v>1</v>
      </c>
      <c r="D148" s="110">
        <v>31.45</v>
      </c>
      <c r="E148" s="110">
        <v>1</v>
      </c>
      <c r="F148" s="105">
        <f>C148*D148*E148</f>
        <v>31.45</v>
      </c>
      <c r="G148" s="105"/>
    </row>
    <row r="149" spans="1:7">
      <c r="A149" s="124"/>
      <c r="B149" s="119" t="s">
        <v>850</v>
      </c>
      <c r="C149" s="110">
        <v>1</v>
      </c>
      <c r="D149" s="110">
        <v>23</v>
      </c>
      <c r="E149" s="110">
        <v>1</v>
      </c>
      <c r="F149" s="105">
        <f>C149*D149*E149</f>
        <v>23</v>
      </c>
      <c r="G149" s="105"/>
    </row>
    <row r="150" spans="1:7">
      <c r="A150" s="124"/>
      <c r="B150" s="119"/>
      <c r="C150" s="532" t="s">
        <v>785</v>
      </c>
      <c r="D150" s="532"/>
      <c r="E150" s="532"/>
      <c r="F150" s="125">
        <f>SUM(F147:F149)</f>
        <v>86.45</v>
      </c>
      <c r="G150" s="125"/>
    </row>
    <row r="151" spans="1:7">
      <c r="A151" s="134" t="s">
        <v>44</v>
      </c>
      <c r="B151" s="135" t="s">
        <v>851</v>
      </c>
      <c r="C151" s="136"/>
      <c r="D151" s="137"/>
      <c r="E151" s="138"/>
      <c r="F151" s="141"/>
      <c r="G151" s="141"/>
    </row>
    <row r="152" spans="1:7" ht="26.4">
      <c r="A152" s="120" t="s">
        <v>21</v>
      </c>
      <c r="B152" s="113" t="s">
        <v>852</v>
      </c>
      <c r="C152" s="110"/>
      <c r="D152" s="117"/>
      <c r="E152" s="117"/>
      <c r="F152" s="105"/>
      <c r="G152" s="105"/>
    </row>
    <row r="153" spans="1:7">
      <c r="A153" s="120"/>
      <c r="B153" s="142" t="s">
        <v>853</v>
      </c>
      <c r="C153" s="110"/>
      <c r="D153" s="117"/>
      <c r="E153" s="117"/>
      <c r="F153" s="105"/>
      <c r="G153" s="105"/>
    </row>
    <row r="154" spans="1:7">
      <c r="A154" s="120"/>
      <c r="B154" s="123" t="s">
        <v>829</v>
      </c>
      <c r="C154" s="110">
        <v>1</v>
      </c>
      <c r="D154" s="117">
        <v>7.93</v>
      </c>
      <c r="E154" s="117">
        <v>5.45</v>
      </c>
      <c r="F154" s="105">
        <f>C154*D154*E154</f>
        <v>43.218499999999999</v>
      </c>
      <c r="G154" s="105"/>
    </row>
    <row r="155" spans="1:7">
      <c r="A155" s="120"/>
      <c r="B155" s="123" t="s">
        <v>830</v>
      </c>
      <c r="C155" s="110">
        <v>1</v>
      </c>
      <c r="D155" s="117">
        <f>D154*2+E154*2</f>
        <v>26.759999999999998</v>
      </c>
      <c r="E155" s="117">
        <v>8</v>
      </c>
      <c r="F155" s="105">
        <f t="shared" ref="F155:F178" si="10">C155*D155*E155</f>
        <v>214.07999999999998</v>
      </c>
      <c r="G155" s="105"/>
    </row>
    <row r="156" spans="1:7">
      <c r="A156" s="120"/>
      <c r="B156" s="123" t="s">
        <v>831</v>
      </c>
      <c r="C156" s="110">
        <v>-1</v>
      </c>
      <c r="D156" s="117">
        <v>2.75</v>
      </c>
      <c r="E156" s="117">
        <v>6.82</v>
      </c>
      <c r="F156" s="105">
        <f t="shared" si="10"/>
        <v>-18.755000000000003</v>
      </c>
      <c r="G156" s="105"/>
    </row>
    <row r="157" spans="1:7">
      <c r="A157" s="120"/>
      <c r="B157" s="123" t="s">
        <v>789</v>
      </c>
      <c r="C157" s="110">
        <v>-1</v>
      </c>
      <c r="D157" s="117">
        <v>1.5</v>
      </c>
      <c r="E157" s="117">
        <v>2</v>
      </c>
      <c r="F157" s="105">
        <f t="shared" si="10"/>
        <v>-3</v>
      </c>
      <c r="G157" s="105"/>
    </row>
    <row r="158" spans="1:7">
      <c r="A158" s="98"/>
      <c r="B158" s="123" t="s">
        <v>832</v>
      </c>
      <c r="C158" s="110">
        <v>1</v>
      </c>
      <c r="D158" s="110">
        <v>10.42</v>
      </c>
      <c r="E158" s="110">
        <v>5.75</v>
      </c>
      <c r="F158" s="105">
        <f t="shared" si="10"/>
        <v>59.914999999999999</v>
      </c>
      <c r="G158" s="105"/>
    </row>
    <row r="159" spans="1:7">
      <c r="A159" s="120"/>
      <c r="B159" s="123" t="s">
        <v>833</v>
      </c>
      <c r="C159" s="110">
        <v>1</v>
      </c>
      <c r="D159" s="117">
        <f>D158*2+E158*2</f>
        <v>32.340000000000003</v>
      </c>
      <c r="E159" s="117">
        <v>8</v>
      </c>
      <c r="F159" s="105">
        <f t="shared" si="10"/>
        <v>258.72000000000003</v>
      </c>
      <c r="G159" s="105"/>
    </row>
    <row r="160" spans="1:7">
      <c r="A160" s="120"/>
      <c r="B160" s="123" t="s">
        <v>834</v>
      </c>
      <c r="C160" s="110">
        <v>-1</v>
      </c>
      <c r="D160" s="117">
        <v>2.75</v>
      </c>
      <c r="E160" s="117">
        <v>6.82</v>
      </c>
      <c r="F160" s="105">
        <f t="shared" si="10"/>
        <v>-18.755000000000003</v>
      </c>
      <c r="G160" s="105"/>
    </row>
    <row r="161" spans="1:7">
      <c r="A161" s="120"/>
      <c r="B161" s="123" t="s">
        <v>789</v>
      </c>
      <c r="C161" s="110">
        <v>-1</v>
      </c>
      <c r="D161" s="117">
        <v>1.5</v>
      </c>
      <c r="E161" s="117">
        <v>2.2000000000000002</v>
      </c>
      <c r="F161" s="105">
        <f t="shared" si="10"/>
        <v>-3.3000000000000003</v>
      </c>
      <c r="G161" s="105"/>
    </row>
    <row r="162" spans="1:7">
      <c r="A162" s="120"/>
      <c r="B162" s="123"/>
      <c r="C162" s="110">
        <v>-1</v>
      </c>
      <c r="D162" s="117">
        <v>1.5</v>
      </c>
      <c r="E162" s="117">
        <v>1.5</v>
      </c>
      <c r="F162" s="105">
        <f t="shared" si="10"/>
        <v>-2.25</v>
      </c>
      <c r="G162" s="105"/>
    </row>
    <row r="163" spans="1:7">
      <c r="A163" s="124"/>
      <c r="B163" s="123" t="s">
        <v>847</v>
      </c>
      <c r="C163" s="110">
        <v>1</v>
      </c>
      <c r="D163" s="110">
        <v>10.52</v>
      </c>
      <c r="E163" s="110">
        <v>6.97</v>
      </c>
      <c r="F163" s="105">
        <f t="shared" si="10"/>
        <v>73.324399999999997</v>
      </c>
      <c r="G163" s="105"/>
    </row>
    <row r="164" spans="1:7">
      <c r="A164" s="124"/>
      <c r="B164" s="123" t="s">
        <v>848</v>
      </c>
      <c r="C164" s="110">
        <v>1</v>
      </c>
      <c r="D164" s="110">
        <v>10.53</v>
      </c>
      <c r="E164" s="110">
        <v>8.9499999999999993</v>
      </c>
      <c r="F164" s="105">
        <f t="shared" si="10"/>
        <v>94.243499999999983</v>
      </c>
      <c r="G164" s="105"/>
    </row>
    <row r="165" spans="1:7">
      <c r="A165" s="124"/>
      <c r="B165" s="123" t="s">
        <v>854</v>
      </c>
      <c r="C165" s="110">
        <v>1</v>
      </c>
      <c r="D165" s="117">
        <v>7.94</v>
      </c>
      <c r="E165" s="117">
        <v>4.42</v>
      </c>
      <c r="F165" s="105">
        <f t="shared" si="10"/>
        <v>35.094799999999999</v>
      </c>
      <c r="G165" s="105"/>
    </row>
    <row r="166" spans="1:7">
      <c r="A166" s="124"/>
      <c r="B166" s="123" t="s">
        <v>855</v>
      </c>
      <c r="C166" s="110">
        <v>1</v>
      </c>
      <c r="D166" s="117">
        <f>D165*2+E165*2</f>
        <v>24.72</v>
      </c>
      <c r="E166" s="117">
        <v>8</v>
      </c>
      <c r="F166" s="105">
        <f t="shared" si="10"/>
        <v>197.76</v>
      </c>
      <c r="G166" s="105"/>
    </row>
    <row r="167" spans="1:7">
      <c r="A167" s="124"/>
      <c r="B167" s="123" t="s">
        <v>787</v>
      </c>
      <c r="C167" s="110">
        <v>-4</v>
      </c>
      <c r="D167" s="117">
        <v>2.75</v>
      </c>
      <c r="E167" s="117">
        <v>6.82</v>
      </c>
      <c r="F167" s="105">
        <f t="shared" si="10"/>
        <v>-75.02000000000001</v>
      </c>
      <c r="G167" s="105"/>
    </row>
    <row r="168" spans="1:7">
      <c r="A168" s="124"/>
      <c r="B168" s="123" t="s">
        <v>856</v>
      </c>
      <c r="C168" s="110">
        <v>1</v>
      </c>
      <c r="D168" s="117">
        <f>10.78+20.02+11.77+31.62</f>
        <v>74.19</v>
      </c>
      <c r="E168" s="117">
        <v>8</v>
      </c>
      <c r="F168" s="105">
        <f t="shared" si="10"/>
        <v>593.52</v>
      </c>
      <c r="G168" s="105"/>
    </row>
    <row r="169" spans="1:7">
      <c r="A169" s="124"/>
      <c r="B169" s="119" t="s">
        <v>824</v>
      </c>
      <c r="C169" s="110">
        <v>-1</v>
      </c>
      <c r="D169" s="117">
        <v>3.71</v>
      </c>
      <c r="E169" s="117">
        <v>3.69</v>
      </c>
      <c r="F169" s="105">
        <f t="shared" si="10"/>
        <v>-13.6899</v>
      </c>
      <c r="G169" s="105"/>
    </row>
    <row r="170" spans="1:7">
      <c r="A170" s="124"/>
      <c r="B170" s="119" t="s">
        <v>824</v>
      </c>
      <c r="C170" s="110">
        <v>-1</v>
      </c>
      <c r="D170" s="117">
        <v>3.76</v>
      </c>
      <c r="E170" s="117">
        <v>3.54</v>
      </c>
      <c r="F170" s="105">
        <f t="shared" si="10"/>
        <v>-13.3104</v>
      </c>
      <c r="G170" s="105"/>
    </row>
    <row r="171" spans="1:7">
      <c r="A171" s="124"/>
      <c r="B171" s="119" t="s">
        <v>787</v>
      </c>
      <c r="C171" s="110">
        <v>-1</v>
      </c>
      <c r="D171" s="117">
        <v>3.2</v>
      </c>
      <c r="E171" s="117">
        <v>7.15</v>
      </c>
      <c r="F171" s="105">
        <f t="shared" si="10"/>
        <v>-22.880000000000003</v>
      </c>
      <c r="G171" s="105"/>
    </row>
    <row r="172" spans="1:7">
      <c r="A172" s="124"/>
      <c r="B172" s="119" t="s">
        <v>857</v>
      </c>
      <c r="C172" s="110">
        <v>-1</v>
      </c>
      <c r="D172" s="117">
        <v>4</v>
      </c>
      <c r="E172" s="117">
        <v>7</v>
      </c>
      <c r="F172" s="105">
        <f t="shared" si="10"/>
        <v>-28</v>
      </c>
      <c r="G172" s="105"/>
    </row>
    <row r="173" spans="1:7">
      <c r="A173" s="124"/>
      <c r="B173" s="119" t="s">
        <v>858</v>
      </c>
      <c r="C173" s="110">
        <v>-1</v>
      </c>
      <c r="D173" s="117">
        <v>7.54</v>
      </c>
      <c r="E173" s="117">
        <v>6.92</v>
      </c>
      <c r="F173" s="105">
        <f t="shared" si="10"/>
        <v>-52.1768</v>
      </c>
      <c r="G173" s="105"/>
    </row>
    <row r="174" spans="1:7">
      <c r="A174" s="124"/>
      <c r="B174" s="119" t="s">
        <v>787</v>
      </c>
      <c r="C174" s="110">
        <v>-1</v>
      </c>
      <c r="D174" s="117">
        <v>2.75</v>
      </c>
      <c r="E174" s="117">
        <v>6.82</v>
      </c>
      <c r="F174" s="105">
        <f t="shared" si="10"/>
        <v>-18.755000000000003</v>
      </c>
      <c r="G174" s="105"/>
    </row>
    <row r="175" spans="1:7">
      <c r="A175" s="124"/>
      <c r="B175" s="119" t="s">
        <v>789</v>
      </c>
      <c r="C175" s="110">
        <v>-1</v>
      </c>
      <c r="D175" s="117">
        <v>5.78</v>
      </c>
      <c r="E175" s="117">
        <v>3.77</v>
      </c>
      <c r="F175" s="105">
        <f t="shared" si="10"/>
        <v>-21.790600000000001</v>
      </c>
      <c r="G175" s="105"/>
    </row>
    <row r="176" spans="1:7" ht="26.4">
      <c r="A176" s="124"/>
      <c r="B176" s="119" t="s">
        <v>859</v>
      </c>
      <c r="C176" s="110">
        <v>1</v>
      </c>
      <c r="D176" s="117">
        <v>31.45</v>
      </c>
      <c r="E176" s="117">
        <v>2.5</v>
      </c>
      <c r="F176" s="105">
        <f t="shared" si="10"/>
        <v>78.625</v>
      </c>
      <c r="G176" s="269" t="s">
        <v>1447</v>
      </c>
    </row>
    <row r="177" spans="1:7">
      <c r="A177" s="124"/>
      <c r="B177" s="119"/>
      <c r="C177" s="110">
        <v>1</v>
      </c>
      <c r="D177" s="117">
        <v>2.5</v>
      </c>
      <c r="E177" s="117">
        <v>1</v>
      </c>
      <c r="F177" s="105">
        <f t="shared" si="10"/>
        <v>2.5</v>
      </c>
      <c r="G177" s="105"/>
    </row>
    <row r="178" spans="1:7">
      <c r="A178" s="124"/>
      <c r="B178" s="123" t="s">
        <v>818</v>
      </c>
      <c r="C178" s="110"/>
      <c r="D178" s="117"/>
      <c r="E178" s="117"/>
      <c r="F178" s="105">
        <f t="shared" si="10"/>
        <v>0</v>
      </c>
      <c r="G178" s="105"/>
    </row>
    <row r="179" spans="1:7">
      <c r="A179" s="124"/>
      <c r="B179" s="119"/>
      <c r="C179" s="532" t="s">
        <v>785</v>
      </c>
      <c r="D179" s="532"/>
      <c r="E179" s="532"/>
      <c r="F179" s="125">
        <f>SUM(F154:F178)</f>
        <v>1359.3184999999994</v>
      </c>
      <c r="G179" s="125"/>
    </row>
    <row r="180" spans="1:7">
      <c r="A180" s="130" t="s">
        <v>23</v>
      </c>
      <c r="B180" s="143" t="s">
        <v>860</v>
      </c>
      <c r="C180" s="111"/>
      <c r="D180" s="111"/>
      <c r="E180" s="111"/>
      <c r="F180" s="125"/>
      <c r="G180" s="125"/>
    </row>
    <row r="181" spans="1:7">
      <c r="A181" s="130"/>
      <c r="B181" s="144" t="s">
        <v>859</v>
      </c>
      <c r="C181" s="110">
        <v>2</v>
      </c>
      <c r="D181" s="110">
        <v>31.45</v>
      </c>
      <c r="E181" s="110">
        <v>1</v>
      </c>
      <c r="F181" s="105">
        <f>C181*D181*E181</f>
        <v>62.9</v>
      </c>
      <c r="G181" s="105"/>
    </row>
    <row r="182" spans="1:7">
      <c r="A182" s="130"/>
      <c r="B182" s="144" t="s">
        <v>1446</v>
      </c>
      <c r="C182" s="110">
        <v>-1</v>
      </c>
      <c r="D182" s="110">
        <v>3</v>
      </c>
      <c r="E182" s="110">
        <v>1</v>
      </c>
      <c r="F182" s="105">
        <f>C182*D182*E182</f>
        <v>-3</v>
      </c>
      <c r="G182" s="105"/>
    </row>
    <row r="183" spans="1:7">
      <c r="A183" s="130"/>
      <c r="B183" s="144"/>
      <c r="C183" s="110">
        <v>2</v>
      </c>
      <c r="D183" s="110">
        <v>2.5</v>
      </c>
      <c r="E183" s="110">
        <v>1</v>
      </c>
      <c r="F183" s="105">
        <f>C183*D183*E183</f>
        <v>5</v>
      </c>
      <c r="G183" s="105"/>
    </row>
    <row r="184" spans="1:7">
      <c r="A184" s="130"/>
      <c r="B184" s="144" t="s">
        <v>792</v>
      </c>
      <c r="C184" s="110">
        <v>1</v>
      </c>
      <c r="D184" s="110">
        <f>10.52*2+6.97*2-3.2</f>
        <v>31.779999999999998</v>
      </c>
      <c r="E184" s="110">
        <v>1</v>
      </c>
      <c r="F184" s="105">
        <f>C184*D184*E184</f>
        <v>31.779999999999998</v>
      </c>
      <c r="G184" s="105"/>
    </row>
    <row r="185" spans="1:7">
      <c r="A185" s="130"/>
      <c r="B185" s="144" t="s">
        <v>786</v>
      </c>
      <c r="C185" s="110">
        <v>1</v>
      </c>
      <c r="D185" s="110">
        <f>8.95*2+10.53*2-2.75-3</f>
        <v>33.209999999999994</v>
      </c>
      <c r="E185" s="110">
        <v>1</v>
      </c>
      <c r="F185" s="105">
        <f>C185*D185*E185</f>
        <v>33.209999999999994</v>
      </c>
      <c r="G185" s="105"/>
    </row>
    <row r="186" spans="1:7">
      <c r="A186" s="130"/>
      <c r="B186" s="143"/>
      <c r="C186" s="532" t="s">
        <v>785</v>
      </c>
      <c r="D186" s="532"/>
      <c r="E186" s="532"/>
      <c r="F186" s="125">
        <f>SUM(F181:F185)</f>
        <v>129.88999999999999</v>
      </c>
      <c r="G186" s="125"/>
    </row>
    <row r="187" spans="1:7">
      <c r="A187" s="134" t="s">
        <v>52</v>
      </c>
      <c r="B187" s="135" t="s">
        <v>80</v>
      </c>
      <c r="C187" s="145"/>
      <c r="D187" s="146"/>
      <c r="E187" s="147"/>
      <c r="F187" s="148"/>
      <c r="G187" s="148"/>
    </row>
    <row r="188" spans="1:7" ht="26.4">
      <c r="A188" s="130" t="s">
        <v>16</v>
      </c>
      <c r="B188" s="143" t="s">
        <v>861</v>
      </c>
      <c r="C188" s="149"/>
      <c r="D188" s="105"/>
      <c r="E188" s="105"/>
      <c r="F188" s="105"/>
      <c r="G188" s="105"/>
    </row>
    <row r="189" spans="1:7">
      <c r="A189" s="130"/>
      <c r="B189" s="128" t="s">
        <v>862</v>
      </c>
      <c r="C189" s="110">
        <v>1</v>
      </c>
      <c r="D189" s="110">
        <v>32.67</v>
      </c>
      <c r="E189" s="110">
        <v>13.33</v>
      </c>
      <c r="F189" s="105">
        <f t="shared" ref="F189:F194" si="11">C189*D189*E189</f>
        <v>435.49110000000002</v>
      </c>
      <c r="G189" s="105"/>
    </row>
    <row r="190" spans="1:7">
      <c r="A190" s="130"/>
      <c r="B190" s="128" t="s">
        <v>863</v>
      </c>
      <c r="C190" s="110">
        <v>-1</v>
      </c>
      <c r="D190" s="110">
        <v>5.85</v>
      </c>
      <c r="E190" s="110">
        <v>1.84</v>
      </c>
      <c r="F190" s="105">
        <f t="shared" si="11"/>
        <v>-10.763999999999999</v>
      </c>
      <c r="G190" s="105"/>
    </row>
    <row r="191" spans="1:7">
      <c r="A191" s="130"/>
      <c r="B191" s="128"/>
      <c r="C191" s="110">
        <v>-1</v>
      </c>
      <c r="D191" s="110">
        <v>1.1499999999999999</v>
      </c>
      <c r="E191" s="110">
        <v>2.33</v>
      </c>
      <c r="F191" s="105">
        <f t="shared" si="11"/>
        <v>-2.6795</v>
      </c>
      <c r="G191" s="105"/>
    </row>
    <row r="192" spans="1:7">
      <c r="A192" s="130"/>
      <c r="B192" s="128"/>
      <c r="C192" s="110">
        <v>-1</v>
      </c>
      <c r="D192" s="110">
        <v>1.35</v>
      </c>
      <c r="E192" s="110">
        <v>1.4</v>
      </c>
      <c r="F192" s="105">
        <f t="shared" si="11"/>
        <v>-1.89</v>
      </c>
      <c r="G192" s="105"/>
    </row>
    <row r="193" spans="1:7">
      <c r="A193" s="130"/>
      <c r="B193" s="128"/>
      <c r="C193" s="110">
        <v>-1</v>
      </c>
      <c r="D193" s="110">
        <v>0.88</v>
      </c>
      <c r="E193" s="110">
        <v>1.24</v>
      </c>
      <c r="F193" s="105">
        <f t="shared" si="11"/>
        <v>-1.0911999999999999</v>
      </c>
      <c r="G193" s="105"/>
    </row>
    <row r="194" spans="1:7">
      <c r="A194" s="130"/>
      <c r="B194" s="128"/>
      <c r="C194" s="110">
        <v>-1</v>
      </c>
      <c r="D194" s="110">
        <v>0.25</v>
      </c>
      <c r="E194" s="110">
        <v>2.2000000000000002</v>
      </c>
      <c r="F194" s="105">
        <f t="shared" si="11"/>
        <v>-0.55000000000000004</v>
      </c>
      <c r="G194" s="105"/>
    </row>
    <row r="195" spans="1:7">
      <c r="A195" s="130"/>
      <c r="B195" s="128"/>
      <c r="C195" s="532" t="s">
        <v>785</v>
      </c>
      <c r="D195" s="532"/>
      <c r="E195" s="532"/>
      <c r="F195" s="125">
        <f>SUM(F189:F194)</f>
        <v>418.51639999999998</v>
      </c>
      <c r="G195" s="105"/>
    </row>
    <row r="196" spans="1:7">
      <c r="A196" s="273" t="s">
        <v>53</v>
      </c>
      <c r="B196" s="135" t="s">
        <v>82</v>
      </c>
      <c r="C196" s="136"/>
      <c r="D196" s="137"/>
      <c r="E196" s="138"/>
      <c r="F196" s="151"/>
      <c r="G196" s="151"/>
    </row>
    <row r="197" spans="1:7">
      <c r="A197" s="274" t="s">
        <v>16</v>
      </c>
      <c r="B197" s="143" t="s">
        <v>864</v>
      </c>
      <c r="C197" s="111"/>
      <c r="D197" s="111"/>
      <c r="E197" s="111"/>
      <c r="F197" s="150"/>
      <c r="G197" s="150"/>
    </row>
    <row r="198" spans="1:7">
      <c r="A198" s="130"/>
      <c r="B198" s="128" t="s">
        <v>865</v>
      </c>
      <c r="C198" s="149">
        <v>1</v>
      </c>
      <c r="D198" s="105">
        <v>10.52</v>
      </c>
      <c r="E198" s="105">
        <v>6.97</v>
      </c>
      <c r="F198" s="105">
        <f>C198*D198*E198</f>
        <v>73.324399999999997</v>
      </c>
      <c r="G198" s="105"/>
    </row>
    <row r="199" spans="1:7">
      <c r="A199" s="124"/>
      <c r="B199" s="119" t="s">
        <v>818</v>
      </c>
      <c r="C199" s="111"/>
      <c r="D199" s="111"/>
      <c r="E199" s="111"/>
      <c r="F199" s="105">
        <v>0</v>
      </c>
      <c r="G199" s="105"/>
    </row>
    <row r="200" spans="1:7">
      <c r="A200" s="124"/>
      <c r="B200" s="119"/>
      <c r="C200" s="532" t="s">
        <v>785</v>
      </c>
      <c r="D200" s="532"/>
      <c r="E200" s="532"/>
      <c r="F200" s="125">
        <f>SUM(F197:F199)</f>
        <v>73.324399999999997</v>
      </c>
      <c r="G200" s="125"/>
    </row>
    <row r="201" spans="1:7">
      <c r="A201" s="134" t="s">
        <v>85</v>
      </c>
      <c r="B201" s="135" t="s">
        <v>86</v>
      </c>
      <c r="C201" s="136"/>
      <c r="D201" s="137"/>
      <c r="E201" s="138"/>
      <c r="F201" s="151"/>
      <c r="G201" s="151"/>
    </row>
    <row r="202" spans="1:7">
      <c r="A202" s="130" t="s">
        <v>19</v>
      </c>
      <c r="B202" s="131" t="s">
        <v>866</v>
      </c>
      <c r="C202" s="111"/>
      <c r="D202" s="111"/>
      <c r="E202" s="111"/>
      <c r="F202" s="150"/>
      <c r="G202" s="150"/>
    </row>
    <row r="203" spans="1:7">
      <c r="A203" s="124"/>
      <c r="B203" s="123" t="s">
        <v>867</v>
      </c>
      <c r="C203" s="110">
        <v>1</v>
      </c>
      <c r="D203" s="117">
        <v>1</v>
      </c>
      <c r="E203" s="117">
        <v>2280</v>
      </c>
      <c r="F203" s="105">
        <f>C203*D203*E203</f>
        <v>2280</v>
      </c>
      <c r="G203" s="105" t="s">
        <v>1445</v>
      </c>
    </row>
    <row r="204" spans="1:7">
      <c r="A204" s="124"/>
      <c r="B204" s="123" t="s">
        <v>1448</v>
      </c>
      <c r="C204" s="110">
        <v>-1</v>
      </c>
      <c r="D204" s="117">
        <v>31.5</v>
      </c>
      <c r="E204" s="117">
        <v>11</v>
      </c>
      <c r="F204" s="105">
        <f>C204*D204*E204</f>
        <v>-346.5</v>
      </c>
      <c r="G204" s="105"/>
    </row>
    <row r="205" spans="1:7">
      <c r="A205" s="124"/>
      <c r="B205" s="119" t="s">
        <v>845</v>
      </c>
      <c r="C205" s="110">
        <v>1</v>
      </c>
      <c r="D205" s="110">
        <v>14.2</v>
      </c>
      <c r="E205" s="110">
        <v>8.14</v>
      </c>
      <c r="F205" s="105">
        <f t="shared" ref="F205" si="12">C205*D205*E205</f>
        <v>115.58800000000001</v>
      </c>
      <c r="G205" s="105"/>
    </row>
    <row r="206" spans="1:7">
      <c r="A206" s="124"/>
      <c r="B206" s="123" t="s">
        <v>818</v>
      </c>
      <c r="C206" s="110"/>
      <c r="D206" s="110"/>
      <c r="E206" s="110"/>
      <c r="F206" s="105">
        <v>0</v>
      </c>
      <c r="G206" s="105"/>
    </row>
    <row r="207" spans="1:7">
      <c r="A207" s="124"/>
      <c r="B207" s="119"/>
      <c r="C207" s="532" t="s">
        <v>785</v>
      </c>
      <c r="D207" s="532"/>
      <c r="E207" s="532"/>
      <c r="F207" s="125">
        <f>SUM(F203:F206)</f>
        <v>2049.0880000000002</v>
      </c>
      <c r="G207" s="125"/>
    </row>
    <row r="208" spans="1:7">
      <c r="A208" s="62">
        <v>10</v>
      </c>
      <c r="B208" s="60" t="s">
        <v>90</v>
      </c>
      <c r="C208" s="101"/>
      <c r="D208" s="61"/>
      <c r="E208" s="101"/>
      <c r="F208" s="112"/>
      <c r="G208" s="263"/>
    </row>
    <row r="209" spans="1:7">
      <c r="A209" s="120" t="s">
        <v>14</v>
      </c>
      <c r="B209" s="113" t="s">
        <v>868</v>
      </c>
      <c r="C209" s="152"/>
      <c r="D209" s="153"/>
      <c r="E209" s="154"/>
      <c r="F209" s="105"/>
      <c r="G209" s="105"/>
    </row>
    <row r="210" spans="1:7">
      <c r="A210" s="118"/>
      <c r="B210" s="119" t="s">
        <v>869</v>
      </c>
      <c r="C210" s="152">
        <v>1</v>
      </c>
      <c r="D210" s="153">
        <v>1</v>
      </c>
      <c r="E210" s="154">
        <v>20</v>
      </c>
      <c r="F210" s="125">
        <f>C210*D210*E210</f>
        <v>20</v>
      </c>
      <c r="G210" s="105"/>
    </row>
    <row r="211" spans="1:7">
      <c r="A211" s="120" t="s">
        <v>47</v>
      </c>
      <c r="B211" s="113" t="s">
        <v>870</v>
      </c>
      <c r="C211" s="155"/>
      <c r="D211" s="155"/>
      <c r="E211" s="155"/>
      <c r="F211" s="125"/>
      <c r="G211" s="125"/>
    </row>
    <row r="212" spans="1:7">
      <c r="A212" s="156"/>
      <c r="B212" s="123" t="s">
        <v>871</v>
      </c>
      <c r="C212" s="111"/>
      <c r="D212" s="111"/>
      <c r="E212" s="111"/>
      <c r="F212" s="105"/>
      <c r="G212" s="105"/>
    </row>
    <row r="213" spans="1:7">
      <c r="A213" s="120"/>
      <c r="B213" s="123"/>
      <c r="C213" s="532" t="s">
        <v>785</v>
      </c>
      <c r="D213" s="532"/>
      <c r="E213" s="532"/>
      <c r="F213" s="125">
        <v>1</v>
      </c>
      <c r="G213" s="125"/>
    </row>
    <row r="214" spans="1:7" ht="26.4">
      <c r="A214" s="120" t="s">
        <v>50</v>
      </c>
      <c r="B214" s="113" t="s">
        <v>872</v>
      </c>
      <c r="C214" s="152"/>
      <c r="D214" s="153"/>
      <c r="E214" s="154"/>
      <c r="F214" s="125"/>
      <c r="G214" s="125"/>
    </row>
    <row r="215" spans="1:7">
      <c r="A215" s="120"/>
      <c r="B215" s="113" t="s">
        <v>792</v>
      </c>
      <c r="C215" s="152">
        <v>1</v>
      </c>
      <c r="D215" s="153">
        <v>3</v>
      </c>
      <c r="E215" s="154">
        <v>1</v>
      </c>
      <c r="F215" s="105">
        <f>C215*D215*E215</f>
        <v>3</v>
      </c>
      <c r="G215" s="105"/>
    </row>
    <row r="216" spans="1:7">
      <c r="A216" s="156"/>
      <c r="B216" s="123" t="s">
        <v>873</v>
      </c>
      <c r="C216" s="152">
        <v>1</v>
      </c>
      <c r="D216" s="153">
        <v>2.75</v>
      </c>
      <c r="E216" s="154">
        <v>1</v>
      </c>
      <c r="F216" s="105">
        <f t="shared" ref="F216:F223" si="13">C216*D216*E216</f>
        <v>2.75</v>
      </c>
      <c r="G216" s="105"/>
    </row>
    <row r="217" spans="1:7">
      <c r="A217" s="156"/>
      <c r="B217" s="123" t="s">
        <v>871</v>
      </c>
      <c r="C217" s="152">
        <v>1</v>
      </c>
      <c r="D217" s="153">
        <v>2.75</v>
      </c>
      <c r="E217" s="154">
        <v>1</v>
      </c>
      <c r="F217" s="105">
        <f t="shared" si="13"/>
        <v>2.75</v>
      </c>
      <c r="G217" s="105"/>
    </row>
    <row r="218" spans="1:7">
      <c r="A218" s="120"/>
      <c r="B218" s="123" t="s">
        <v>849</v>
      </c>
      <c r="C218" s="152">
        <v>1</v>
      </c>
      <c r="D218" s="153">
        <v>2.75</v>
      </c>
      <c r="E218" s="154">
        <v>1</v>
      </c>
      <c r="F218" s="105">
        <f t="shared" si="13"/>
        <v>2.75</v>
      </c>
      <c r="G218" s="105"/>
    </row>
    <row r="219" spans="1:7">
      <c r="A219" s="120"/>
      <c r="B219" s="123" t="s">
        <v>874</v>
      </c>
      <c r="C219" s="152">
        <v>1</v>
      </c>
      <c r="D219" s="153">
        <v>2.75</v>
      </c>
      <c r="E219" s="154">
        <v>1</v>
      </c>
      <c r="F219" s="105">
        <f t="shared" si="13"/>
        <v>2.75</v>
      </c>
      <c r="G219" s="105"/>
    </row>
    <row r="220" spans="1:7">
      <c r="A220" s="120"/>
      <c r="B220" s="123"/>
      <c r="C220" s="152">
        <v>1</v>
      </c>
      <c r="D220" s="153">
        <v>3</v>
      </c>
      <c r="E220" s="154">
        <v>1</v>
      </c>
      <c r="F220" s="105">
        <f t="shared" si="13"/>
        <v>3</v>
      </c>
      <c r="G220" s="105"/>
    </row>
    <row r="221" spans="1:7">
      <c r="A221" s="120"/>
      <c r="B221" s="123" t="s">
        <v>768</v>
      </c>
      <c r="C221" s="152">
        <v>1</v>
      </c>
      <c r="D221" s="153">
        <v>4.16</v>
      </c>
      <c r="E221" s="154">
        <v>1</v>
      </c>
      <c r="F221" s="105">
        <f t="shared" si="13"/>
        <v>4.16</v>
      </c>
      <c r="G221" s="105"/>
    </row>
    <row r="222" spans="1:7">
      <c r="A222" s="120"/>
      <c r="B222" s="123" t="s">
        <v>875</v>
      </c>
      <c r="C222" s="152">
        <v>1</v>
      </c>
      <c r="D222" s="153">
        <v>4</v>
      </c>
      <c r="E222" s="154">
        <v>1</v>
      </c>
      <c r="F222" s="105">
        <f t="shared" si="13"/>
        <v>4</v>
      </c>
      <c r="G222" s="105"/>
    </row>
    <row r="223" spans="1:7">
      <c r="A223" s="120"/>
      <c r="B223" s="123" t="s">
        <v>876</v>
      </c>
      <c r="C223" s="152">
        <v>1</v>
      </c>
      <c r="D223" s="153">
        <v>4.25</v>
      </c>
      <c r="E223" s="154">
        <v>1</v>
      </c>
      <c r="F223" s="105">
        <f t="shared" si="13"/>
        <v>4.25</v>
      </c>
      <c r="G223" s="105"/>
    </row>
    <row r="224" spans="1:7">
      <c r="A224" s="124"/>
      <c r="B224" s="119"/>
      <c r="C224" s="532" t="s">
        <v>785</v>
      </c>
      <c r="D224" s="532"/>
      <c r="E224" s="532"/>
      <c r="F224" s="125">
        <f>SUM(F215:F223)</f>
        <v>29.41</v>
      </c>
      <c r="G224" s="125"/>
    </row>
    <row r="225" spans="1:7" ht="26.4">
      <c r="A225" s="120" t="s">
        <v>52</v>
      </c>
      <c r="B225" s="113" t="s">
        <v>877</v>
      </c>
      <c r="C225" s="121"/>
      <c r="D225" s="115"/>
      <c r="E225" s="122"/>
      <c r="F225" s="129"/>
      <c r="G225" s="129"/>
    </row>
    <row r="226" spans="1:7">
      <c r="A226" s="120"/>
      <c r="B226" s="142" t="s">
        <v>853</v>
      </c>
      <c r="C226" s="121"/>
      <c r="D226" s="115"/>
      <c r="E226" s="122"/>
      <c r="F226" s="129"/>
      <c r="G226" s="129"/>
    </row>
    <row r="227" spans="1:7">
      <c r="A227" s="120"/>
      <c r="B227" s="128" t="s">
        <v>871</v>
      </c>
      <c r="C227" s="152">
        <v>2</v>
      </c>
      <c r="D227" s="153">
        <v>1</v>
      </c>
      <c r="E227" s="154">
        <v>5.75</v>
      </c>
      <c r="F227" s="105">
        <f>C227*D227*E227</f>
        <v>11.5</v>
      </c>
      <c r="G227" s="105" t="s">
        <v>1449</v>
      </c>
    </row>
    <row r="228" spans="1:7">
      <c r="A228" s="120"/>
      <c r="B228" s="128" t="s">
        <v>818</v>
      </c>
      <c r="C228" s="152"/>
      <c r="D228" s="153"/>
      <c r="E228" s="154"/>
      <c r="F228" s="105">
        <v>0</v>
      </c>
      <c r="G228" s="105"/>
    </row>
    <row r="229" spans="1:7">
      <c r="A229" s="120"/>
      <c r="B229" s="128"/>
      <c r="C229" s="532" t="s">
        <v>785</v>
      </c>
      <c r="D229" s="532"/>
      <c r="E229" s="532"/>
      <c r="F229" s="125">
        <f>SUM(F227:F228)</f>
        <v>11.5</v>
      </c>
      <c r="G229" s="125"/>
    </row>
    <row r="230" spans="1:7">
      <c r="A230" s="62">
        <v>11</v>
      </c>
      <c r="B230" s="60" t="s">
        <v>91</v>
      </c>
      <c r="C230" s="101"/>
      <c r="D230" s="61"/>
      <c r="E230" s="101"/>
      <c r="F230" s="112"/>
      <c r="G230" s="263"/>
    </row>
    <row r="231" spans="1:7" ht="26.4">
      <c r="A231" s="130" t="s">
        <v>50</v>
      </c>
      <c r="B231" s="143" t="s">
        <v>1414</v>
      </c>
      <c r="C231" s="121"/>
      <c r="D231" s="115"/>
      <c r="E231" s="122"/>
      <c r="F231" s="157"/>
      <c r="G231" s="157"/>
    </row>
    <row r="232" spans="1:7">
      <c r="A232" s="120"/>
      <c r="B232" s="128" t="s">
        <v>871</v>
      </c>
      <c r="C232" s="152">
        <v>1</v>
      </c>
      <c r="D232" s="153">
        <v>6</v>
      </c>
      <c r="E232" s="154">
        <v>1</v>
      </c>
      <c r="F232" s="105">
        <f t="shared" ref="F232:F238" si="14">C232*D232*E232</f>
        <v>6</v>
      </c>
      <c r="G232" s="105"/>
    </row>
    <row r="233" spans="1:7">
      <c r="A233" s="120"/>
      <c r="B233" s="128"/>
      <c r="C233" s="152">
        <v>1</v>
      </c>
      <c r="D233" s="153">
        <v>6</v>
      </c>
      <c r="E233" s="154">
        <v>1</v>
      </c>
      <c r="F233" s="105">
        <f t="shared" si="14"/>
        <v>6</v>
      </c>
      <c r="G233" s="105"/>
    </row>
    <row r="234" spans="1:7">
      <c r="A234" s="120"/>
      <c r="B234" s="128" t="s">
        <v>873</v>
      </c>
      <c r="C234" s="152">
        <v>1</v>
      </c>
      <c r="D234" s="153">
        <v>6.78</v>
      </c>
      <c r="E234" s="154">
        <v>1</v>
      </c>
      <c r="F234" s="105">
        <f t="shared" si="14"/>
        <v>6.78</v>
      </c>
      <c r="G234" s="105"/>
    </row>
    <row r="235" spans="1:7">
      <c r="A235" s="120"/>
      <c r="B235" s="128" t="s">
        <v>768</v>
      </c>
      <c r="C235" s="152">
        <v>1</v>
      </c>
      <c r="D235" s="153">
        <v>14.8</v>
      </c>
      <c r="E235" s="154">
        <v>1</v>
      </c>
      <c r="F235" s="105">
        <f t="shared" si="14"/>
        <v>14.8</v>
      </c>
      <c r="G235" s="105"/>
    </row>
    <row r="236" spans="1:7">
      <c r="A236" s="120"/>
      <c r="B236" s="128"/>
      <c r="C236" s="152">
        <v>1</v>
      </c>
      <c r="D236" s="153">
        <v>14.61</v>
      </c>
      <c r="E236" s="154">
        <v>1</v>
      </c>
      <c r="F236" s="105">
        <f t="shared" si="14"/>
        <v>14.61</v>
      </c>
      <c r="G236" s="105"/>
    </row>
    <row r="237" spans="1:7">
      <c r="A237" s="120"/>
      <c r="B237" s="128" t="s">
        <v>878</v>
      </c>
      <c r="C237" s="152">
        <v>1</v>
      </c>
      <c r="D237" s="153">
        <v>19.13</v>
      </c>
      <c r="E237" s="154">
        <v>1</v>
      </c>
      <c r="F237" s="105">
        <f>C237*D237*E237</f>
        <v>19.13</v>
      </c>
      <c r="G237" s="105"/>
    </row>
    <row r="238" spans="1:7">
      <c r="A238" s="120"/>
      <c r="B238" s="128"/>
      <c r="C238" s="152">
        <v>1</v>
      </c>
      <c r="D238" s="153">
        <v>17.72</v>
      </c>
      <c r="E238" s="154">
        <v>1</v>
      </c>
      <c r="F238" s="105">
        <f t="shared" si="14"/>
        <v>17.72</v>
      </c>
      <c r="G238" s="105"/>
    </row>
    <row r="239" spans="1:7">
      <c r="A239" s="120"/>
      <c r="B239" s="128"/>
      <c r="C239" s="532" t="s">
        <v>785</v>
      </c>
      <c r="D239" s="532"/>
      <c r="E239" s="532"/>
      <c r="F239" s="125">
        <f>SUM(F232:F238)</f>
        <v>85.039999999999992</v>
      </c>
      <c r="G239" s="125"/>
    </row>
    <row r="240" spans="1:7" ht="39.6">
      <c r="A240" s="120" t="s">
        <v>52</v>
      </c>
      <c r="B240" s="158" t="s">
        <v>879</v>
      </c>
      <c r="C240" s="121"/>
      <c r="D240" s="115"/>
      <c r="E240" s="122"/>
      <c r="F240" s="105"/>
      <c r="G240" s="105"/>
    </row>
    <row r="241" spans="1:7">
      <c r="A241" s="120"/>
      <c r="B241" s="128" t="s">
        <v>767</v>
      </c>
      <c r="C241" s="127">
        <v>1</v>
      </c>
      <c r="D241" s="110">
        <v>1</v>
      </c>
      <c r="E241" s="110">
        <v>16.75</v>
      </c>
      <c r="F241" s="105">
        <f>C241*D241*E241</f>
        <v>16.75</v>
      </c>
      <c r="G241" s="105"/>
    </row>
    <row r="242" spans="1:7">
      <c r="A242" s="120"/>
      <c r="B242" s="128" t="s">
        <v>880</v>
      </c>
      <c r="C242" s="127">
        <v>1</v>
      </c>
      <c r="D242" s="110">
        <v>1</v>
      </c>
      <c r="E242" s="110">
        <v>16.75</v>
      </c>
      <c r="F242" s="105">
        <f>C242*D242*E242</f>
        <v>16.75</v>
      </c>
      <c r="G242" s="105"/>
    </row>
    <row r="243" spans="1:7">
      <c r="A243" s="120"/>
      <c r="B243" s="128" t="s">
        <v>849</v>
      </c>
      <c r="C243" s="127">
        <v>1</v>
      </c>
      <c r="D243" s="110">
        <v>1</v>
      </c>
      <c r="E243" s="110">
        <v>16.75</v>
      </c>
      <c r="F243" s="105">
        <f>C243*D243*E243</f>
        <v>16.75</v>
      </c>
      <c r="G243" s="105"/>
    </row>
    <row r="244" spans="1:7">
      <c r="A244" s="120"/>
      <c r="B244" s="128" t="s">
        <v>874</v>
      </c>
      <c r="C244" s="127">
        <v>1</v>
      </c>
      <c r="D244" s="110">
        <v>1</v>
      </c>
      <c r="E244" s="110">
        <v>16.75</v>
      </c>
      <c r="F244" s="105">
        <f>C244*D244*E244</f>
        <v>16.75</v>
      </c>
      <c r="G244" s="105"/>
    </row>
    <row r="245" spans="1:7">
      <c r="A245" s="120"/>
      <c r="B245" s="128"/>
      <c r="C245" s="127">
        <v>1</v>
      </c>
      <c r="D245" s="110">
        <v>1</v>
      </c>
      <c r="E245" s="110">
        <v>17</v>
      </c>
      <c r="F245" s="105">
        <f>C245*D245*E245</f>
        <v>17</v>
      </c>
      <c r="G245" s="105"/>
    </row>
    <row r="246" spans="1:7">
      <c r="A246" s="120"/>
      <c r="B246" s="128"/>
      <c r="C246" s="532" t="s">
        <v>785</v>
      </c>
      <c r="D246" s="532"/>
      <c r="E246" s="532"/>
      <c r="F246" s="125">
        <f>SUM(F241:F245)</f>
        <v>84</v>
      </c>
      <c r="G246" s="125"/>
    </row>
    <row r="247" spans="1:7">
      <c r="A247" s="62">
        <v>15</v>
      </c>
      <c r="B247" s="60" t="s">
        <v>96</v>
      </c>
      <c r="C247" s="101"/>
      <c r="D247" s="61"/>
      <c r="E247" s="101"/>
      <c r="F247" s="112"/>
      <c r="G247" s="263"/>
    </row>
    <row r="248" spans="1:7" ht="26.4">
      <c r="A248" s="120" t="s">
        <v>14</v>
      </c>
      <c r="B248" s="159" t="s">
        <v>1451</v>
      </c>
      <c r="C248" s="160"/>
      <c r="D248" s="160"/>
      <c r="E248" s="160"/>
      <c r="F248" s="161">
        <v>1.25</v>
      </c>
      <c r="G248" s="161"/>
    </row>
    <row r="249" spans="1:7">
      <c r="A249" s="120" t="s">
        <v>44</v>
      </c>
      <c r="B249" s="113" t="s">
        <v>1450</v>
      </c>
      <c r="C249" s="160"/>
      <c r="D249" s="160"/>
      <c r="E249" s="160"/>
      <c r="F249" s="161">
        <v>1</v>
      </c>
      <c r="G249" s="161"/>
    </row>
    <row r="250" spans="1:7">
      <c r="A250" s="120" t="s">
        <v>46</v>
      </c>
      <c r="B250" s="113" t="s">
        <v>1415</v>
      </c>
      <c r="C250" s="121"/>
      <c r="D250" s="115"/>
      <c r="E250" s="122"/>
      <c r="F250" s="161">
        <v>1</v>
      </c>
      <c r="G250" s="162" t="s">
        <v>1452</v>
      </c>
    </row>
    <row r="251" spans="1:7" ht="26.4">
      <c r="A251" s="120" t="s">
        <v>47</v>
      </c>
      <c r="B251" s="113" t="s">
        <v>1416</v>
      </c>
      <c r="C251" s="160"/>
      <c r="D251" s="160"/>
      <c r="E251" s="160"/>
      <c r="F251" s="161">
        <v>1</v>
      </c>
      <c r="G251" s="161"/>
    </row>
    <row r="252" spans="1:7">
      <c r="A252" s="120" t="s">
        <v>50</v>
      </c>
      <c r="B252" s="113" t="s">
        <v>1417</v>
      </c>
      <c r="C252" s="123"/>
      <c r="D252" s="123"/>
      <c r="E252" s="123"/>
      <c r="F252" s="161">
        <v>4</v>
      </c>
      <c r="G252" s="161"/>
    </row>
    <row r="253" spans="1:7">
      <c r="A253" s="120" t="s">
        <v>52</v>
      </c>
      <c r="B253" s="163" t="s">
        <v>1418</v>
      </c>
      <c r="C253" s="121"/>
      <c r="D253" s="115"/>
      <c r="E253" s="122"/>
      <c r="F253" s="161">
        <v>1</v>
      </c>
      <c r="G253" s="162" t="s">
        <v>1453</v>
      </c>
    </row>
    <row r="254" spans="1:7">
      <c r="A254" s="62">
        <v>16</v>
      </c>
      <c r="B254" s="60" t="s">
        <v>102</v>
      </c>
      <c r="C254" s="101"/>
      <c r="D254" s="61"/>
      <c r="E254" s="101"/>
      <c r="F254" s="112"/>
      <c r="G254" s="263"/>
    </row>
    <row r="255" spans="1:7" ht="26.4">
      <c r="A255" s="164" t="s">
        <v>14</v>
      </c>
      <c r="B255" s="133" t="s">
        <v>881</v>
      </c>
      <c r="C255" s="127"/>
      <c r="D255" s="110"/>
      <c r="E255" s="110"/>
      <c r="F255" s="161">
        <v>2</v>
      </c>
      <c r="G255" s="161" t="s">
        <v>1454</v>
      </c>
    </row>
    <row r="256" spans="1:7">
      <c r="A256" s="156" t="s">
        <v>47</v>
      </c>
      <c r="B256" s="123" t="s">
        <v>1419</v>
      </c>
      <c r="C256" s="127"/>
      <c r="D256" s="110"/>
      <c r="E256" s="110"/>
      <c r="F256" s="161">
        <v>2</v>
      </c>
      <c r="G256" s="161" t="s">
        <v>1454</v>
      </c>
    </row>
    <row r="257" spans="1:7">
      <c r="A257" s="156" t="s">
        <v>50</v>
      </c>
      <c r="B257" s="123" t="s">
        <v>1420</v>
      </c>
      <c r="C257" s="127"/>
      <c r="D257" s="110"/>
      <c r="E257" s="110"/>
      <c r="F257" s="161">
        <v>4</v>
      </c>
      <c r="G257" s="161" t="s">
        <v>1454</v>
      </c>
    </row>
    <row r="258" spans="1:7">
      <c r="A258" s="156" t="s">
        <v>85</v>
      </c>
      <c r="B258" s="123" t="s">
        <v>1421</v>
      </c>
      <c r="C258" s="127"/>
      <c r="D258" s="110"/>
      <c r="E258" s="110"/>
      <c r="F258" s="161">
        <v>0</v>
      </c>
      <c r="G258" s="161"/>
    </row>
    <row r="259" spans="1:7">
      <c r="A259" s="62">
        <v>17</v>
      </c>
      <c r="B259" s="60" t="s">
        <v>103</v>
      </c>
      <c r="C259" s="101"/>
      <c r="D259" s="61"/>
      <c r="E259" s="101"/>
      <c r="F259" s="112"/>
      <c r="G259" s="263"/>
    </row>
    <row r="260" spans="1:7">
      <c r="A260" s="120" t="s">
        <v>14</v>
      </c>
      <c r="B260" s="113" t="s">
        <v>882</v>
      </c>
      <c r="C260" s="127"/>
      <c r="D260" s="110"/>
      <c r="E260" s="110"/>
      <c r="F260" s="161">
        <v>0</v>
      </c>
      <c r="G260" s="161"/>
    </row>
    <row r="261" spans="1:7">
      <c r="A261" s="120" t="s">
        <v>44</v>
      </c>
      <c r="B261" s="113" t="s">
        <v>883</v>
      </c>
      <c r="C261" s="127"/>
      <c r="D261" s="110"/>
      <c r="E261" s="110"/>
      <c r="F261" s="161">
        <v>6</v>
      </c>
      <c r="G261" s="162" t="s">
        <v>1452</v>
      </c>
    </row>
    <row r="262" spans="1:7" ht="26.4">
      <c r="A262" s="120" t="s">
        <v>46</v>
      </c>
      <c r="B262" s="113" t="s">
        <v>884</v>
      </c>
      <c r="C262" s="127"/>
      <c r="D262" s="110"/>
      <c r="E262" s="110"/>
      <c r="F262" s="161">
        <v>2</v>
      </c>
      <c r="G262" s="161" t="s">
        <v>1454</v>
      </c>
    </row>
    <row r="263" spans="1:7">
      <c r="A263" s="120" t="s">
        <v>47</v>
      </c>
      <c r="B263" s="113" t="s">
        <v>885</v>
      </c>
      <c r="C263" s="127"/>
      <c r="D263" s="110"/>
      <c r="E263" s="110"/>
      <c r="F263" s="161">
        <v>4</v>
      </c>
      <c r="G263" s="162" t="s">
        <v>1452</v>
      </c>
    </row>
    <row r="264" spans="1:7">
      <c r="A264" s="120" t="s">
        <v>50</v>
      </c>
      <c r="B264" s="113" t="s">
        <v>886</v>
      </c>
      <c r="C264" s="127"/>
      <c r="D264" s="110"/>
      <c r="E264" s="110"/>
      <c r="F264" s="161">
        <v>4</v>
      </c>
      <c r="G264" s="161" t="s">
        <v>1454</v>
      </c>
    </row>
    <row r="265" spans="1:7">
      <c r="A265" s="120" t="s">
        <v>53</v>
      </c>
      <c r="B265" s="113" t="s">
        <v>887</v>
      </c>
      <c r="C265" s="127"/>
      <c r="D265" s="110"/>
      <c r="E265" s="110"/>
      <c r="F265" s="161"/>
      <c r="G265" s="161"/>
    </row>
    <row r="266" spans="1:7">
      <c r="A266" s="120" t="s">
        <v>85</v>
      </c>
      <c r="B266" s="163" t="s">
        <v>888</v>
      </c>
      <c r="C266" s="127"/>
      <c r="D266" s="110"/>
      <c r="E266" s="110"/>
      <c r="F266" s="161">
        <v>2</v>
      </c>
      <c r="G266" s="161" t="s">
        <v>1454</v>
      </c>
    </row>
    <row r="267" spans="1:7">
      <c r="A267" s="62">
        <v>18</v>
      </c>
      <c r="B267" s="60" t="s">
        <v>104</v>
      </c>
      <c r="C267" s="101"/>
      <c r="D267" s="61"/>
      <c r="E267" s="101"/>
      <c r="F267" s="112"/>
      <c r="G267" s="263"/>
    </row>
    <row r="268" spans="1:7">
      <c r="A268" s="120" t="s">
        <v>14</v>
      </c>
      <c r="B268" s="113" t="s">
        <v>1422</v>
      </c>
      <c r="C268" s="127"/>
      <c r="D268" s="110"/>
      <c r="E268" s="110"/>
      <c r="F268" s="161">
        <v>4</v>
      </c>
      <c r="G268" s="161" t="s">
        <v>1479</v>
      </c>
    </row>
    <row r="269" spans="1:7">
      <c r="A269" s="120" t="s">
        <v>44</v>
      </c>
      <c r="B269" s="113" t="s">
        <v>1423</v>
      </c>
      <c r="C269" s="127"/>
      <c r="D269" s="110"/>
      <c r="E269" s="110"/>
      <c r="F269" s="161">
        <v>2</v>
      </c>
      <c r="G269" s="161"/>
    </row>
    <row r="270" spans="1:7">
      <c r="A270" s="120" t="s">
        <v>46</v>
      </c>
      <c r="B270" s="113" t="s">
        <v>1424</v>
      </c>
      <c r="C270" s="127"/>
      <c r="D270" s="110"/>
      <c r="E270" s="110"/>
      <c r="F270" s="161">
        <v>2</v>
      </c>
      <c r="G270" s="161"/>
    </row>
    <row r="271" spans="1:7" ht="26.4">
      <c r="A271" s="120" t="s">
        <v>47</v>
      </c>
      <c r="B271" s="113" t="s">
        <v>1425</v>
      </c>
      <c r="C271" s="127"/>
      <c r="D271" s="110"/>
      <c r="E271" s="110"/>
      <c r="F271" s="161">
        <v>4</v>
      </c>
      <c r="G271" s="161"/>
    </row>
    <row r="272" spans="1:7">
      <c r="A272" s="62">
        <v>19</v>
      </c>
      <c r="B272" s="60" t="s">
        <v>105</v>
      </c>
      <c r="C272" s="101"/>
      <c r="D272" s="61"/>
      <c r="E272" s="101"/>
      <c r="F272" s="112"/>
      <c r="G272" s="263"/>
    </row>
    <row r="273" spans="1:8" ht="66">
      <c r="A273" s="120" t="s">
        <v>14</v>
      </c>
      <c r="B273" s="113" t="s">
        <v>889</v>
      </c>
      <c r="C273" s="165"/>
      <c r="D273" s="165"/>
      <c r="E273" s="165"/>
      <c r="F273" s="105"/>
      <c r="G273" s="105"/>
    </row>
    <row r="274" spans="1:8">
      <c r="A274" s="166" t="s">
        <v>21</v>
      </c>
      <c r="B274" s="144" t="s">
        <v>109</v>
      </c>
      <c r="C274" s="167"/>
      <c r="D274" s="153"/>
      <c r="E274" s="168"/>
      <c r="F274" s="161">
        <v>5</v>
      </c>
      <c r="G274" s="161"/>
    </row>
    <row r="275" spans="1:8" ht="66">
      <c r="A275" s="120" t="s">
        <v>44</v>
      </c>
      <c r="B275" s="113" t="s">
        <v>890</v>
      </c>
      <c r="C275" s="110"/>
      <c r="D275" s="110"/>
      <c r="E275" s="110"/>
      <c r="F275" s="125"/>
      <c r="G275" s="125"/>
    </row>
    <row r="276" spans="1:8">
      <c r="A276" s="156" t="s">
        <v>19</v>
      </c>
      <c r="B276" s="123" t="s">
        <v>113</v>
      </c>
      <c r="C276" s="167"/>
      <c r="D276" s="153"/>
      <c r="E276" s="168"/>
      <c r="F276" s="161">
        <v>30</v>
      </c>
      <c r="G276" s="161"/>
    </row>
    <row r="277" spans="1:8">
      <c r="A277" s="62">
        <v>20</v>
      </c>
      <c r="B277" s="60" t="s">
        <v>119</v>
      </c>
      <c r="C277" s="101"/>
      <c r="D277" s="61"/>
      <c r="E277" s="101"/>
      <c r="F277" s="112"/>
      <c r="G277" s="263"/>
    </row>
    <row r="278" spans="1:8">
      <c r="A278" s="130" t="s">
        <v>14</v>
      </c>
      <c r="B278" s="143" t="s">
        <v>1426</v>
      </c>
      <c r="C278" s="169"/>
      <c r="D278" s="169"/>
      <c r="E278" s="169"/>
      <c r="F278" s="170"/>
      <c r="G278" s="264"/>
    </row>
    <row r="279" spans="1:8">
      <c r="A279" s="120"/>
      <c r="B279" s="128" t="s">
        <v>867</v>
      </c>
      <c r="C279" s="127">
        <v>1</v>
      </c>
      <c r="D279" s="110">
        <v>1</v>
      </c>
      <c r="E279" s="110">
        <v>2280</v>
      </c>
      <c r="F279" s="105">
        <f>E279*D279*C279</f>
        <v>2280</v>
      </c>
      <c r="G279" s="105" t="s">
        <v>1455</v>
      </c>
      <c r="H279" s="96">
        <v>115</v>
      </c>
    </row>
    <row r="280" spans="1:8">
      <c r="A280" s="120"/>
      <c r="B280" s="128"/>
      <c r="C280" s="532" t="s">
        <v>785</v>
      </c>
      <c r="D280" s="532"/>
      <c r="E280" s="532"/>
      <c r="F280" s="125">
        <f>SUM(F279:F279)</f>
        <v>2280</v>
      </c>
      <c r="G280" s="125"/>
    </row>
    <row r="281" spans="1:8">
      <c r="A281" s="62">
        <v>21</v>
      </c>
      <c r="B281" s="60" t="s">
        <v>120</v>
      </c>
      <c r="C281" s="101"/>
      <c r="D281" s="61"/>
      <c r="E281" s="101"/>
      <c r="F281" s="112"/>
      <c r="G281" s="263"/>
    </row>
    <row r="282" spans="1:8" ht="26.4">
      <c r="A282" s="171" t="s">
        <v>14</v>
      </c>
      <c r="B282" s="131" t="s">
        <v>891</v>
      </c>
      <c r="C282" s="169"/>
      <c r="D282" s="169"/>
      <c r="E282" s="169"/>
      <c r="F282" s="161"/>
      <c r="G282" s="161"/>
    </row>
    <row r="283" spans="1:8" ht="26.4">
      <c r="A283" s="171"/>
      <c r="B283" s="133" t="s">
        <v>892</v>
      </c>
      <c r="C283" s="169"/>
      <c r="D283" s="169"/>
      <c r="E283" s="169"/>
      <c r="F283" s="161"/>
      <c r="G283" s="161"/>
    </row>
    <row r="284" spans="1:8">
      <c r="A284" s="171" t="s">
        <v>44</v>
      </c>
      <c r="B284" s="131" t="s">
        <v>893</v>
      </c>
      <c r="C284" s="169"/>
      <c r="D284" s="169"/>
      <c r="E284" s="169"/>
      <c r="F284" s="161">
        <v>190</v>
      </c>
      <c r="G284" s="161" t="s">
        <v>1445</v>
      </c>
    </row>
    <row r="285" spans="1:8" ht="26.4">
      <c r="A285" s="171" t="s">
        <v>46</v>
      </c>
      <c r="B285" s="131" t="s">
        <v>894</v>
      </c>
      <c r="C285" s="169"/>
      <c r="D285" s="169"/>
      <c r="E285" s="169"/>
      <c r="F285" s="161">
        <v>1</v>
      </c>
      <c r="G285" s="161" t="s">
        <v>1445</v>
      </c>
    </row>
    <row r="286" spans="1:8" ht="26.4">
      <c r="A286" s="171" t="s">
        <v>50</v>
      </c>
      <c r="B286" s="131" t="s">
        <v>124</v>
      </c>
      <c r="C286" s="169"/>
      <c r="D286" s="169"/>
      <c r="E286" s="169"/>
      <c r="F286" s="161"/>
      <c r="G286" s="161"/>
    </row>
    <row r="287" spans="1:8" ht="39.6">
      <c r="A287" s="171" t="s">
        <v>52</v>
      </c>
      <c r="B287" s="131" t="s">
        <v>125</v>
      </c>
      <c r="C287" s="169"/>
      <c r="D287" s="169"/>
      <c r="E287" s="169"/>
      <c r="F287" s="161"/>
      <c r="G287" s="161"/>
    </row>
    <row r="288" spans="1:8">
      <c r="A288" s="171" t="s">
        <v>53</v>
      </c>
      <c r="B288" s="131" t="s">
        <v>895</v>
      </c>
      <c r="C288" s="105"/>
      <c r="D288" s="105"/>
      <c r="E288" s="105"/>
      <c r="F288" s="105"/>
      <c r="G288" s="105"/>
    </row>
    <row r="289" spans="1:7">
      <c r="A289" s="172"/>
      <c r="B289" s="123" t="s">
        <v>871</v>
      </c>
      <c r="C289" s="105">
        <v>1</v>
      </c>
      <c r="D289" s="105">
        <v>5.75</v>
      </c>
      <c r="E289" s="105">
        <v>6</v>
      </c>
      <c r="F289" s="105">
        <f>C289*D289*E289</f>
        <v>34.5</v>
      </c>
      <c r="G289" s="105"/>
    </row>
    <row r="290" spans="1:7">
      <c r="A290" s="171"/>
      <c r="B290" s="131"/>
      <c r="C290" s="532" t="s">
        <v>785</v>
      </c>
      <c r="D290" s="532"/>
      <c r="E290" s="532"/>
      <c r="F290" s="125">
        <f>SUM(F289:F289)</f>
        <v>34.5</v>
      </c>
      <c r="G290" s="125"/>
    </row>
    <row r="291" spans="1:7" ht="26.4">
      <c r="A291" s="171" t="s">
        <v>85</v>
      </c>
      <c r="B291" s="173" t="s">
        <v>896</v>
      </c>
      <c r="C291" s="169"/>
      <c r="D291" s="169"/>
      <c r="E291" s="169"/>
      <c r="F291" s="161"/>
      <c r="G291" s="161"/>
    </row>
    <row r="292" spans="1:7">
      <c r="A292" s="164" t="s">
        <v>16</v>
      </c>
      <c r="B292" s="174" t="s">
        <v>129</v>
      </c>
      <c r="C292" s="169"/>
      <c r="D292" s="169"/>
      <c r="E292" s="169"/>
      <c r="F292" s="161">
        <v>0</v>
      </c>
      <c r="G292" s="161"/>
    </row>
    <row r="293" spans="1:7">
      <c r="A293" s="164" t="s">
        <v>19</v>
      </c>
      <c r="B293" s="174" t="s">
        <v>130</v>
      </c>
      <c r="C293" s="169"/>
      <c r="D293" s="169"/>
      <c r="E293" s="169"/>
      <c r="F293" s="161"/>
      <c r="G293" s="161"/>
    </row>
    <row r="294" spans="1:7">
      <c r="A294" s="164" t="s">
        <v>21</v>
      </c>
      <c r="B294" s="174" t="s">
        <v>131</v>
      </c>
      <c r="C294" s="169"/>
      <c r="D294" s="169"/>
      <c r="E294" s="169"/>
      <c r="F294" s="161">
        <v>1</v>
      </c>
      <c r="G294" s="161"/>
    </row>
    <row r="295" spans="1:7" ht="39.6">
      <c r="A295" s="106" t="s">
        <v>16</v>
      </c>
      <c r="B295" s="65" t="s">
        <v>132</v>
      </c>
      <c r="C295" s="169"/>
      <c r="D295" s="169"/>
      <c r="E295" s="169"/>
      <c r="F295" s="161"/>
      <c r="G295" s="161"/>
    </row>
    <row r="296" spans="1:7">
      <c r="A296" s="171"/>
      <c r="B296" s="133" t="s">
        <v>897</v>
      </c>
      <c r="C296" s="105">
        <v>1</v>
      </c>
      <c r="D296" s="105">
        <v>10</v>
      </c>
      <c r="E296" s="105">
        <v>35</v>
      </c>
      <c r="F296" s="105">
        <f>C296*D296*E296</f>
        <v>350</v>
      </c>
      <c r="G296" s="161" t="s">
        <v>1445</v>
      </c>
    </row>
    <row r="297" spans="1:7" ht="79.2">
      <c r="A297" s="171" t="s">
        <v>57</v>
      </c>
      <c r="B297" s="175" t="s">
        <v>134</v>
      </c>
      <c r="C297" s="169"/>
      <c r="D297" s="169"/>
      <c r="E297" s="169"/>
      <c r="F297" s="161">
        <v>1</v>
      </c>
      <c r="G297" s="161"/>
    </row>
    <row r="298" spans="1:7" ht="39.6">
      <c r="A298" s="106" t="s">
        <v>60</v>
      </c>
      <c r="B298" s="65" t="s">
        <v>1302</v>
      </c>
      <c r="C298" s="169"/>
      <c r="D298" s="169"/>
      <c r="E298" s="169"/>
      <c r="F298" s="161">
        <v>1</v>
      </c>
      <c r="G298" s="161"/>
    </row>
    <row r="299" spans="1:7" ht="26.4">
      <c r="A299" s="106" t="s">
        <v>135</v>
      </c>
      <c r="B299" s="65" t="s">
        <v>898</v>
      </c>
      <c r="C299" s="169"/>
      <c r="D299" s="169"/>
      <c r="E299" s="169"/>
      <c r="F299" s="161">
        <v>3</v>
      </c>
      <c r="G299" s="161" t="s">
        <v>1456</v>
      </c>
    </row>
    <row r="300" spans="1:7" ht="26.4">
      <c r="A300" s="106" t="s">
        <v>136</v>
      </c>
      <c r="B300" s="143" t="s">
        <v>899</v>
      </c>
      <c r="C300" s="169"/>
      <c r="D300" s="169"/>
      <c r="E300" s="169"/>
      <c r="F300" s="161">
        <v>30</v>
      </c>
      <c r="G300" s="161"/>
    </row>
    <row r="301" spans="1:7">
      <c r="A301" s="177" t="s">
        <v>16</v>
      </c>
      <c r="B301" s="143" t="s">
        <v>900</v>
      </c>
      <c r="C301" s="111"/>
      <c r="D301" s="111"/>
      <c r="E301" s="111"/>
      <c r="F301" s="125"/>
      <c r="G301" s="125"/>
    </row>
    <row r="302" spans="1:7">
      <c r="A302" s="156"/>
      <c r="B302" s="142" t="s">
        <v>901</v>
      </c>
      <c r="C302" s="169"/>
      <c r="D302" s="169"/>
      <c r="E302" s="169"/>
      <c r="F302" s="170"/>
      <c r="G302" s="264"/>
    </row>
    <row r="303" spans="1:7">
      <c r="A303" s="156"/>
      <c r="B303" s="123" t="s">
        <v>902</v>
      </c>
      <c r="C303" s="105">
        <v>1</v>
      </c>
      <c r="D303" s="105">
        <v>7.54</v>
      </c>
      <c r="E303" s="105">
        <v>6.6</v>
      </c>
      <c r="F303" s="105">
        <f>C303*D303*E303</f>
        <v>49.763999999999996</v>
      </c>
      <c r="G303" s="105"/>
    </row>
    <row r="304" spans="1:7">
      <c r="A304" s="156"/>
      <c r="B304" s="123" t="s">
        <v>903</v>
      </c>
      <c r="C304" s="105">
        <v>1</v>
      </c>
      <c r="D304" s="105">
        <v>28.7</v>
      </c>
      <c r="E304" s="105">
        <v>8.1</v>
      </c>
      <c r="F304" s="105">
        <f>C304*D304*E304</f>
        <v>232.46999999999997</v>
      </c>
      <c r="G304" s="105"/>
    </row>
    <row r="305" spans="1:7">
      <c r="A305" s="156"/>
      <c r="B305" s="123"/>
      <c r="C305" s="105">
        <v>-1</v>
      </c>
      <c r="D305" s="105">
        <v>6.79</v>
      </c>
      <c r="E305" s="105">
        <v>4.16</v>
      </c>
      <c r="F305" s="105">
        <f>C305*D305*E305</f>
        <v>-28.246400000000001</v>
      </c>
      <c r="G305" s="105"/>
    </row>
    <row r="306" spans="1:7">
      <c r="A306" s="156"/>
      <c r="B306" s="123" t="s">
        <v>769</v>
      </c>
      <c r="C306" s="105">
        <v>1</v>
      </c>
      <c r="D306" s="105">
        <v>13.5</v>
      </c>
      <c r="E306" s="105">
        <v>8</v>
      </c>
      <c r="F306" s="105">
        <f>C306*D306*E306</f>
        <v>108</v>
      </c>
      <c r="G306" s="105"/>
    </row>
    <row r="307" spans="1:7">
      <c r="A307" s="156"/>
      <c r="B307" s="123" t="s">
        <v>826</v>
      </c>
      <c r="C307" s="105">
        <v>1</v>
      </c>
      <c r="D307" s="105">
        <v>12</v>
      </c>
      <c r="E307" s="105">
        <v>8.3000000000000007</v>
      </c>
      <c r="F307" s="105">
        <f>C307*D307*E307</f>
        <v>99.600000000000009</v>
      </c>
      <c r="G307" s="105"/>
    </row>
    <row r="308" spans="1:7">
      <c r="A308" s="156"/>
      <c r="B308" s="123"/>
      <c r="C308" s="532" t="s">
        <v>785</v>
      </c>
      <c r="D308" s="532"/>
      <c r="E308" s="532"/>
      <c r="F308" s="125">
        <f>SUM(F303:F307)</f>
        <v>461.58760000000001</v>
      </c>
      <c r="G308" s="125"/>
    </row>
    <row r="309" spans="1:7">
      <c r="A309" s="83" t="s">
        <v>3</v>
      </c>
      <c r="B309" s="58" t="s">
        <v>141</v>
      </c>
      <c r="C309" s="176"/>
      <c r="D309" s="59"/>
      <c r="E309" s="176"/>
      <c r="F309" s="100"/>
      <c r="G309" s="259"/>
    </row>
    <row r="310" spans="1:7">
      <c r="A310" s="62">
        <v>1</v>
      </c>
      <c r="B310" s="60" t="s">
        <v>142</v>
      </c>
      <c r="C310" s="101"/>
      <c r="D310" s="61"/>
      <c r="E310" s="101"/>
      <c r="F310" s="112"/>
      <c r="G310" s="263"/>
    </row>
    <row r="311" spans="1:7">
      <c r="A311" s="177" t="s">
        <v>14</v>
      </c>
      <c r="B311" s="178" t="s">
        <v>904</v>
      </c>
      <c r="C311" s="169"/>
      <c r="D311" s="169"/>
      <c r="E311" s="169"/>
      <c r="F311" s="161"/>
      <c r="G311" s="161"/>
    </row>
    <row r="312" spans="1:7">
      <c r="A312" s="156"/>
      <c r="B312" s="116" t="s">
        <v>792</v>
      </c>
      <c r="C312" s="110">
        <v>1</v>
      </c>
      <c r="D312" s="117">
        <v>31.78</v>
      </c>
      <c r="E312" s="117">
        <v>9</v>
      </c>
      <c r="F312" s="105">
        <f>C312*D312*E312</f>
        <v>286.02</v>
      </c>
      <c r="G312" s="105"/>
    </row>
    <row r="313" spans="1:7">
      <c r="A313" s="156"/>
      <c r="B313" s="119" t="s">
        <v>905</v>
      </c>
      <c r="C313" s="110">
        <v>1</v>
      </c>
      <c r="D313" s="117">
        <v>8.64</v>
      </c>
      <c r="E313" s="117">
        <v>7</v>
      </c>
      <c r="F313" s="105">
        <f t="shared" ref="F313:F322" si="15">C313*D313*E313</f>
        <v>60.480000000000004</v>
      </c>
      <c r="G313" s="105"/>
    </row>
    <row r="314" spans="1:7">
      <c r="A314" s="156"/>
      <c r="B314" s="119" t="s">
        <v>791</v>
      </c>
      <c r="C314" s="110">
        <v>1</v>
      </c>
      <c r="D314" s="117">
        <v>7.54</v>
      </c>
      <c r="E314" s="117">
        <v>6.6</v>
      </c>
      <c r="F314" s="105">
        <f t="shared" si="15"/>
        <v>49.763999999999996</v>
      </c>
      <c r="G314" s="105" t="s">
        <v>1457</v>
      </c>
    </row>
    <row r="315" spans="1:7">
      <c r="A315" s="156"/>
      <c r="B315" s="119" t="s">
        <v>903</v>
      </c>
      <c r="C315" s="110">
        <v>1</v>
      </c>
      <c r="D315" s="117">
        <v>28.7</v>
      </c>
      <c r="E315" s="117">
        <v>8.1</v>
      </c>
      <c r="F315" s="105">
        <f t="shared" si="15"/>
        <v>232.46999999999997</v>
      </c>
      <c r="G315" s="105"/>
    </row>
    <row r="316" spans="1:7">
      <c r="A316" s="156"/>
      <c r="B316" s="119" t="s">
        <v>1446</v>
      </c>
      <c r="C316" s="110">
        <v>-1</v>
      </c>
      <c r="D316" s="117">
        <v>6.79</v>
      </c>
      <c r="E316" s="117">
        <v>4.16</v>
      </c>
      <c r="F316" s="105">
        <f t="shared" si="15"/>
        <v>-28.246400000000001</v>
      </c>
      <c r="G316" s="105"/>
    </row>
    <row r="317" spans="1:7">
      <c r="A317" s="156"/>
      <c r="B317" s="119" t="s">
        <v>874</v>
      </c>
      <c r="C317" s="110">
        <v>1</v>
      </c>
      <c r="D317" s="117">
        <v>38.97</v>
      </c>
      <c r="E317" s="117">
        <v>10.25</v>
      </c>
      <c r="F317" s="105">
        <f t="shared" si="15"/>
        <v>399.4425</v>
      </c>
      <c r="G317" s="105"/>
    </row>
    <row r="318" spans="1:7">
      <c r="A318" s="156"/>
      <c r="B318" s="119" t="s">
        <v>787</v>
      </c>
      <c r="C318" s="110">
        <v>-1</v>
      </c>
      <c r="D318" s="117">
        <v>2.87</v>
      </c>
      <c r="E318" s="117">
        <v>6.82</v>
      </c>
      <c r="F318" s="105">
        <f t="shared" si="15"/>
        <v>-19.573400000000003</v>
      </c>
      <c r="G318" s="105"/>
    </row>
    <row r="319" spans="1:7">
      <c r="A319" s="156"/>
      <c r="B319" s="119"/>
      <c r="C319" s="110">
        <v>-1</v>
      </c>
      <c r="D319" s="117">
        <v>2.67</v>
      </c>
      <c r="E319" s="117">
        <v>6.82</v>
      </c>
      <c r="F319" s="105">
        <f t="shared" si="15"/>
        <v>-18.209399999999999</v>
      </c>
      <c r="G319" s="105"/>
    </row>
    <row r="320" spans="1:7">
      <c r="A320" s="156"/>
      <c r="B320" s="119" t="s">
        <v>796</v>
      </c>
      <c r="C320" s="110">
        <v>1</v>
      </c>
      <c r="D320" s="117">
        <v>15.79</v>
      </c>
      <c r="E320" s="117">
        <v>5</v>
      </c>
      <c r="F320" s="105">
        <f t="shared" si="15"/>
        <v>78.949999999999989</v>
      </c>
      <c r="G320" s="105"/>
    </row>
    <row r="321" spans="1:7">
      <c r="A321" s="156"/>
      <c r="B321" s="119" t="s">
        <v>789</v>
      </c>
      <c r="C321" s="110">
        <v>-1</v>
      </c>
      <c r="D321" s="117">
        <v>6.3</v>
      </c>
      <c r="E321" s="117">
        <v>3.16</v>
      </c>
      <c r="F321" s="105">
        <f t="shared" si="15"/>
        <v>-19.908000000000001</v>
      </c>
      <c r="G321" s="105"/>
    </row>
    <row r="322" spans="1:7">
      <c r="A322" s="156"/>
      <c r="B322" s="119" t="s">
        <v>825</v>
      </c>
      <c r="C322" s="110">
        <v>1</v>
      </c>
      <c r="D322" s="117">
        <v>5.2</v>
      </c>
      <c r="E322" s="117">
        <v>5</v>
      </c>
      <c r="F322" s="105">
        <f t="shared" si="15"/>
        <v>26</v>
      </c>
      <c r="G322" s="105"/>
    </row>
    <row r="323" spans="1:7">
      <c r="A323" s="156"/>
      <c r="B323" s="123" t="s">
        <v>818</v>
      </c>
      <c r="C323" s="110"/>
      <c r="D323" s="110"/>
      <c r="E323" s="110"/>
      <c r="F323" s="105">
        <v>0</v>
      </c>
      <c r="G323" s="105"/>
    </row>
    <row r="324" spans="1:7">
      <c r="A324" s="120"/>
      <c r="B324" s="128"/>
      <c r="C324" s="532" t="s">
        <v>785</v>
      </c>
      <c r="D324" s="532"/>
      <c r="E324" s="532"/>
      <c r="F324" s="125">
        <f>SUM(F312:F323)</f>
        <v>1047.1893</v>
      </c>
      <c r="G324" s="125"/>
    </row>
    <row r="325" spans="1:7">
      <c r="A325" s="62">
        <v>2</v>
      </c>
      <c r="B325" s="60" t="s">
        <v>143</v>
      </c>
      <c r="C325" s="101"/>
      <c r="D325" s="61"/>
      <c r="E325" s="101"/>
      <c r="F325" s="112"/>
      <c r="G325" s="263"/>
    </row>
    <row r="326" spans="1:7">
      <c r="A326" s="177" t="s">
        <v>14</v>
      </c>
      <c r="B326" s="178" t="s">
        <v>906</v>
      </c>
      <c r="C326" s="110"/>
      <c r="D326" s="110"/>
      <c r="E326" s="110"/>
      <c r="F326" s="105"/>
      <c r="G326" s="105"/>
    </row>
    <row r="327" spans="1:7">
      <c r="A327" s="156"/>
      <c r="B327" s="123" t="s">
        <v>867</v>
      </c>
      <c r="C327" s="110">
        <v>1</v>
      </c>
      <c r="D327" s="110">
        <v>1</v>
      </c>
      <c r="E327" s="110">
        <v>2280</v>
      </c>
      <c r="F327" s="105">
        <f>C327*D327*E327</f>
        <v>2280</v>
      </c>
      <c r="G327" s="105"/>
    </row>
    <row r="328" spans="1:7">
      <c r="A328" s="156"/>
      <c r="B328" s="123" t="s">
        <v>1458</v>
      </c>
      <c r="C328" s="110">
        <v>1</v>
      </c>
      <c r="D328" s="110">
        <v>8</v>
      </c>
      <c r="E328" s="110">
        <v>14.19</v>
      </c>
      <c r="F328" s="105">
        <f>C328*D328*E328</f>
        <v>113.52</v>
      </c>
      <c r="G328" s="105"/>
    </row>
    <row r="329" spans="1:7">
      <c r="A329" s="156"/>
      <c r="B329" s="142" t="s">
        <v>907</v>
      </c>
      <c r="C329" s="110"/>
      <c r="D329" s="110"/>
      <c r="E329" s="110"/>
      <c r="F329" s="105"/>
      <c r="G329" s="105"/>
    </row>
    <row r="330" spans="1:7">
      <c r="A330" s="156"/>
      <c r="B330" s="123" t="s">
        <v>908</v>
      </c>
      <c r="C330" s="110">
        <v>1</v>
      </c>
      <c r="D330" s="110">
        <v>12</v>
      </c>
      <c r="E330" s="110">
        <v>0.25</v>
      </c>
      <c r="F330" s="105">
        <f t="shared" ref="F330:F338" si="16">C330*D330*E330</f>
        <v>3</v>
      </c>
      <c r="G330" s="105"/>
    </row>
    <row r="331" spans="1:7">
      <c r="A331" s="156"/>
      <c r="B331" s="123"/>
      <c r="C331" s="110">
        <v>1</v>
      </c>
      <c r="D331" s="110">
        <v>20</v>
      </c>
      <c r="E331" s="110">
        <v>0.25</v>
      </c>
      <c r="F331" s="105">
        <f t="shared" si="16"/>
        <v>5</v>
      </c>
      <c r="G331" s="105"/>
    </row>
    <row r="332" spans="1:7">
      <c r="A332" s="156"/>
      <c r="B332" s="123" t="s">
        <v>850</v>
      </c>
      <c r="C332" s="110">
        <v>2</v>
      </c>
      <c r="D332" s="110">
        <v>1.5</v>
      </c>
      <c r="E332" s="110">
        <v>4.25</v>
      </c>
      <c r="F332" s="105">
        <f t="shared" si="16"/>
        <v>12.75</v>
      </c>
      <c r="G332" s="105"/>
    </row>
    <row r="333" spans="1:7">
      <c r="A333" s="156"/>
      <c r="B333" s="123" t="s">
        <v>850</v>
      </c>
      <c r="C333" s="110">
        <v>1</v>
      </c>
      <c r="D333" s="110">
        <v>26.25</v>
      </c>
      <c r="E333" s="110">
        <v>0.25</v>
      </c>
      <c r="F333" s="105">
        <f t="shared" si="16"/>
        <v>6.5625</v>
      </c>
      <c r="G333" s="105"/>
    </row>
    <row r="334" spans="1:7">
      <c r="A334" s="156"/>
      <c r="B334" s="123" t="s">
        <v>909</v>
      </c>
      <c r="C334" s="110">
        <v>1</v>
      </c>
      <c r="D334" s="110">
        <v>18</v>
      </c>
      <c r="E334" s="110">
        <v>0.25</v>
      </c>
      <c r="F334" s="105">
        <f t="shared" si="16"/>
        <v>4.5</v>
      </c>
      <c r="G334" s="105"/>
    </row>
    <row r="335" spans="1:7">
      <c r="A335" s="156"/>
      <c r="B335" s="123" t="s">
        <v>910</v>
      </c>
      <c r="C335" s="110">
        <v>1</v>
      </c>
      <c r="D335" s="110">
        <v>4</v>
      </c>
      <c r="E335" s="110">
        <v>0.25</v>
      </c>
      <c r="F335" s="105">
        <f t="shared" si="16"/>
        <v>1</v>
      </c>
      <c r="G335" s="105"/>
    </row>
    <row r="336" spans="1:7">
      <c r="A336" s="156"/>
      <c r="B336" s="123" t="s">
        <v>859</v>
      </c>
      <c r="C336" s="110">
        <v>1</v>
      </c>
      <c r="D336" s="110">
        <v>10</v>
      </c>
      <c r="E336" s="110">
        <v>0.25</v>
      </c>
      <c r="F336" s="105">
        <f t="shared" si="16"/>
        <v>2.5</v>
      </c>
      <c r="G336" s="105"/>
    </row>
    <row r="337" spans="1:7">
      <c r="A337" s="156"/>
      <c r="B337" s="123" t="s">
        <v>769</v>
      </c>
      <c r="C337" s="110">
        <v>1</v>
      </c>
      <c r="D337" s="110">
        <f>28*2+8*2</f>
        <v>72</v>
      </c>
      <c r="E337" s="110">
        <v>0.25</v>
      </c>
      <c r="F337" s="105">
        <f t="shared" si="16"/>
        <v>18</v>
      </c>
      <c r="G337" s="105"/>
    </row>
    <row r="338" spans="1:7">
      <c r="A338" s="156"/>
      <c r="B338" s="113" t="s">
        <v>911</v>
      </c>
      <c r="C338" s="110">
        <v>-1</v>
      </c>
      <c r="D338" s="110">
        <v>1</v>
      </c>
      <c r="E338" s="110">
        <f>F357</f>
        <v>1917.9424999999997</v>
      </c>
      <c r="F338" s="105">
        <f t="shared" si="16"/>
        <v>-1917.9424999999997</v>
      </c>
      <c r="G338" s="105"/>
    </row>
    <row r="339" spans="1:7">
      <c r="A339" s="120"/>
      <c r="B339" s="128"/>
      <c r="C339" s="532" t="s">
        <v>785</v>
      </c>
      <c r="D339" s="532"/>
      <c r="E339" s="532"/>
      <c r="F339" s="125">
        <f>SUM(F327:F338)</f>
        <v>528.89000000000033</v>
      </c>
      <c r="G339" s="125"/>
    </row>
    <row r="340" spans="1:7">
      <c r="A340" s="177" t="s">
        <v>44</v>
      </c>
      <c r="B340" s="179" t="s">
        <v>912</v>
      </c>
      <c r="C340" s="110"/>
      <c r="D340" s="110"/>
      <c r="E340" s="110"/>
      <c r="F340" s="105"/>
      <c r="G340" s="105"/>
    </row>
    <row r="341" spans="1:7">
      <c r="A341" s="156"/>
      <c r="B341" s="123" t="s">
        <v>768</v>
      </c>
      <c r="C341" s="110">
        <v>1</v>
      </c>
      <c r="D341" s="110">
        <v>32</v>
      </c>
      <c r="E341" s="110">
        <v>10</v>
      </c>
      <c r="F341" s="105">
        <f>C341*D341*E341</f>
        <v>320</v>
      </c>
      <c r="G341" s="105"/>
    </row>
    <row r="342" spans="1:7">
      <c r="A342" s="156"/>
      <c r="B342" s="123"/>
      <c r="C342" s="110">
        <v>1</v>
      </c>
      <c r="D342" s="110">
        <v>12</v>
      </c>
      <c r="E342" s="110">
        <v>10</v>
      </c>
      <c r="F342" s="105">
        <f t="shared" ref="F342:F359" si="17">C342*D342*E342</f>
        <v>120</v>
      </c>
      <c r="G342" s="269" t="s">
        <v>1460</v>
      </c>
    </row>
    <row r="343" spans="1:7">
      <c r="A343" s="156"/>
      <c r="B343" s="123" t="s">
        <v>792</v>
      </c>
      <c r="C343" s="110">
        <v>1</v>
      </c>
      <c r="D343" s="110">
        <v>10.52</v>
      </c>
      <c r="E343" s="110">
        <v>7</v>
      </c>
      <c r="F343" s="105">
        <f t="shared" si="17"/>
        <v>73.64</v>
      </c>
      <c r="G343" s="105"/>
    </row>
    <row r="344" spans="1:7">
      <c r="A344" s="156"/>
      <c r="B344" s="123" t="s">
        <v>874</v>
      </c>
      <c r="C344" s="110">
        <v>1</v>
      </c>
      <c r="D344" s="110">
        <v>8.5</v>
      </c>
      <c r="E344" s="110">
        <v>8.9600000000000009</v>
      </c>
      <c r="F344" s="105">
        <f t="shared" si="17"/>
        <v>76.160000000000011</v>
      </c>
      <c r="G344" s="105"/>
    </row>
    <row r="345" spans="1:7">
      <c r="A345" s="156"/>
      <c r="B345" s="123"/>
      <c r="C345" s="110">
        <v>1</v>
      </c>
      <c r="D345" s="110">
        <v>2</v>
      </c>
      <c r="E345" s="110">
        <v>3.46</v>
      </c>
      <c r="F345" s="105">
        <f t="shared" si="17"/>
        <v>6.92</v>
      </c>
      <c r="G345" s="105"/>
    </row>
    <row r="346" spans="1:7">
      <c r="A346" s="156"/>
      <c r="B346" s="123" t="s">
        <v>849</v>
      </c>
      <c r="C346" s="110">
        <v>1</v>
      </c>
      <c r="D346" s="110">
        <v>8</v>
      </c>
      <c r="E346" s="110">
        <v>4.43</v>
      </c>
      <c r="F346" s="105">
        <f t="shared" si="17"/>
        <v>35.44</v>
      </c>
      <c r="G346" s="105"/>
    </row>
    <row r="347" spans="1:7">
      <c r="A347" s="156"/>
      <c r="B347" s="123" t="s">
        <v>873</v>
      </c>
      <c r="C347" s="110">
        <v>1</v>
      </c>
      <c r="D347" s="110">
        <v>5.37</v>
      </c>
      <c r="E347" s="110">
        <v>5.45</v>
      </c>
      <c r="F347" s="105">
        <f t="shared" si="17"/>
        <v>29.266500000000001</v>
      </c>
      <c r="G347" s="105"/>
    </row>
    <row r="348" spans="1:7">
      <c r="A348" s="156"/>
      <c r="B348" s="123"/>
      <c r="C348" s="110">
        <v>1</v>
      </c>
      <c r="D348" s="110">
        <v>2.5499999999999998</v>
      </c>
      <c r="E348" s="110">
        <v>3.92</v>
      </c>
      <c r="F348" s="105">
        <f t="shared" si="17"/>
        <v>9.9959999999999987</v>
      </c>
      <c r="G348" s="105"/>
    </row>
    <row r="349" spans="1:7">
      <c r="A349" s="156"/>
      <c r="B349" s="123" t="s">
        <v>871</v>
      </c>
      <c r="C349" s="110">
        <v>1</v>
      </c>
      <c r="D349" s="110">
        <v>10.42</v>
      </c>
      <c r="E349" s="110">
        <v>6</v>
      </c>
      <c r="F349" s="105">
        <f t="shared" si="17"/>
        <v>62.519999999999996</v>
      </c>
      <c r="G349" s="105"/>
    </row>
    <row r="350" spans="1:7">
      <c r="A350" s="156"/>
      <c r="B350" s="123" t="s">
        <v>850</v>
      </c>
      <c r="C350" s="110">
        <v>1</v>
      </c>
      <c r="D350" s="110">
        <v>10</v>
      </c>
      <c r="E350" s="110">
        <v>8</v>
      </c>
      <c r="F350" s="105">
        <f t="shared" si="17"/>
        <v>80</v>
      </c>
      <c r="G350" s="105"/>
    </row>
    <row r="351" spans="1:7">
      <c r="A351" s="156"/>
      <c r="B351" s="123" t="s">
        <v>913</v>
      </c>
      <c r="C351" s="110">
        <v>1</v>
      </c>
      <c r="D351" s="110">
        <v>42</v>
      </c>
      <c r="E351" s="110">
        <v>18</v>
      </c>
      <c r="F351" s="105">
        <f t="shared" si="17"/>
        <v>756</v>
      </c>
      <c r="G351" s="105"/>
    </row>
    <row r="352" spans="1:7">
      <c r="A352" s="156"/>
      <c r="B352" s="123" t="s">
        <v>914</v>
      </c>
      <c r="C352" s="110">
        <v>1</v>
      </c>
      <c r="D352" s="110">
        <v>4</v>
      </c>
      <c r="E352" s="110">
        <v>12</v>
      </c>
      <c r="F352" s="105">
        <f t="shared" si="17"/>
        <v>48</v>
      </c>
      <c r="G352" s="105"/>
    </row>
    <row r="353" spans="1:7">
      <c r="A353" s="156"/>
      <c r="B353" s="123"/>
      <c r="C353" s="110">
        <v>1</v>
      </c>
      <c r="D353" s="110">
        <v>2</v>
      </c>
      <c r="E353" s="110">
        <v>10</v>
      </c>
      <c r="F353" s="105">
        <f t="shared" si="17"/>
        <v>20</v>
      </c>
      <c r="G353" s="105"/>
    </row>
    <row r="354" spans="1:7">
      <c r="A354" s="156"/>
      <c r="B354" s="123" t="s">
        <v>909</v>
      </c>
      <c r="C354" s="110">
        <v>1</v>
      </c>
      <c r="D354" s="110">
        <v>10</v>
      </c>
      <c r="E354" s="110">
        <v>8</v>
      </c>
      <c r="F354" s="105">
        <f t="shared" si="17"/>
        <v>80</v>
      </c>
      <c r="G354" s="105"/>
    </row>
    <row r="355" spans="1:7">
      <c r="A355" s="156"/>
      <c r="B355" s="123" t="s">
        <v>769</v>
      </c>
      <c r="C355" s="110">
        <v>1</v>
      </c>
      <c r="D355" s="110">
        <v>28</v>
      </c>
      <c r="E355" s="110">
        <v>8</v>
      </c>
      <c r="F355" s="105">
        <f t="shared" si="17"/>
        <v>224</v>
      </c>
      <c r="G355" s="105" t="s">
        <v>1459</v>
      </c>
    </row>
    <row r="356" spans="1:7">
      <c r="A356" s="156"/>
      <c r="B356" s="123" t="s">
        <v>915</v>
      </c>
      <c r="C356" s="110">
        <v>-6</v>
      </c>
      <c r="D356" s="110">
        <v>2</v>
      </c>
      <c r="E356" s="110">
        <v>2</v>
      </c>
      <c r="F356" s="105">
        <f t="shared" si="17"/>
        <v>-24</v>
      </c>
      <c r="G356" s="105"/>
    </row>
    <row r="357" spans="1:7">
      <c r="A357" s="120"/>
      <c r="B357" s="128"/>
      <c r="C357" s="532" t="s">
        <v>785</v>
      </c>
      <c r="D357" s="532"/>
      <c r="E357" s="532"/>
      <c r="F357" s="125">
        <f>SUM(F341:F356)</f>
        <v>1917.9424999999997</v>
      </c>
      <c r="G357" s="125"/>
    </row>
    <row r="358" spans="1:7">
      <c r="A358" s="120"/>
      <c r="B358" s="128"/>
      <c r="C358" s="111"/>
      <c r="D358" s="111"/>
      <c r="E358" s="111"/>
      <c r="F358" s="105"/>
      <c r="G358" s="125"/>
    </row>
    <row r="359" spans="1:7">
      <c r="A359" s="177" t="s">
        <v>46</v>
      </c>
      <c r="B359" s="173" t="s">
        <v>1427</v>
      </c>
      <c r="C359" s="110">
        <v>1</v>
      </c>
      <c r="D359" s="110">
        <v>72</v>
      </c>
      <c r="E359" s="110">
        <v>1</v>
      </c>
      <c r="F359" s="125">
        <f t="shared" si="17"/>
        <v>72</v>
      </c>
      <c r="G359" s="161"/>
    </row>
    <row r="360" spans="1:7">
      <c r="A360" s="177"/>
      <c r="B360" s="173"/>
      <c r="C360" s="110"/>
      <c r="D360" s="110"/>
      <c r="E360" s="110"/>
      <c r="F360" s="161"/>
      <c r="G360" s="161"/>
    </row>
    <row r="361" spans="1:7">
      <c r="A361" s="83" t="s">
        <v>4</v>
      </c>
      <c r="B361" s="58" t="s">
        <v>148</v>
      </c>
      <c r="C361" s="180"/>
      <c r="D361" s="84"/>
      <c r="E361" s="180"/>
      <c r="F361" s="275"/>
      <c r="G361" s="276"/>
    </row>
    <row r="362" spans="1:7">
      <c r="A362" s="62">
        <v>1</v>
      </c>
      <c r="B362" s="67" t="s">
        <v>149</v>
      </c>
      <c r="C362" s="181"/>
      <c r="D362" s="68"/>
      <c r="E362" s="181"/>
      <c r="F362" s="112"/>
      <c r="G362" s="263"/>
    </row>
    <row r="363" spans="1:7">
      <c r="A363" s="77" t="s">
        <v>14</v>
      </c>
      <c r="B363" s="78" t="s">
        <v>150</v>
      </c>
      <c r="C363" s="182"/>
      <c r="D363" s="79"/>
      <c r="E363" s="182"/>
      <c r="F363" s="191"/>
      <c r="G363" s="265"/>
    </row>
    <row r="364" spans="1:7">
      <c r="A364" s="177" t="s">
        <v>16</v>
      </c>
      <c r="B364" s="178" t="s">
        <v>916</v>
      </c>
      <c r="C364" s="183"/>
      <c r="D364" s="184"/>
      <c r="E364" s="185"/>
      <c r="F364" s="186"/>
      <c r="G364" s="186"/>
    </row>
    <row r="365" spans="1:7">
      <c r="A365" s="177"/>
      <c r="B365" s="187" t="s">
        <v>769</v>
      </c>
      <c r="C365" s="121">
        <v>1</v>
      </c>
      <c r="D365" s="115">
        <v>11.39</v>
      </c>
      <c r="E365" s="122">
        <v>8.82</v>
      </c>
      <c r="F365" s="105">
        <f>C365*D365*E365</f>
        <v>100.4598</v>
      </c>
      <c r="G365" s="105"/>
    </row>
    <row r="366" spans="1:7">
      <c r="A366" s="177"/>
      <c r="B366" s="187" t="s">
        <v>917</v>
      </c>
      <c r="C366" s="121">
        <v>-1</v>
      </c>
      <c r="D366" s="115">
        <v>11.39</v>
      </c>
      <c r="E366" s="122">
        <v>7</v>
      </c>
      <c r="F366" s="105">
        <f t="shared" ref="F366:F379" si="18">C366*D366*E366</f>
        <v>-79.73</v>
      </c>
      <c r="G366" s="105"/>
    </row>
    <row r="367" spans="1:7">
      <c r="A367" s="177"/>
      <c r="B367" s="187"/>
      <c r="C367" s="121">
        <v>1</v>
      </c>
      <c r="D367" s="115">
        <v>13.11</v>
      </c>
      <c r="E367" s="122">
        <v>8.82</v>
      </c>
      <c r="F367" s="105">
        <f t="shared" si="18"/>
        <v>115.6302</v>
      </c>
      <c r="G367" s="105"/>
    </row>
    <row r="368" spans="1:7">
      <c r="A368" s="177"/>
      <c r="B368" s="187"/>
      <c r="C368" s="121">
        <v>-1</v>
      </c>
      <c r="D368" s="115">
        <v>13.11</v>
      </c>
      <c r="E368" s="122">
        <v>7</v>
      </c>
      <c r="F368" s="105">
        <f t="shared" si="18"/>
        <v>-91.77</v>
      </c>
      <c r="G368" s="105"/>
    </row>
    <row r="369" spans="1:7">
      <c r="A369" s="177"/>
      <c r="B369" s="187"/>
      <c r="C369" s="121">
        <v>1</v>
      </c>
      <c r="D369" s="115">
        <v>13.45</v>
      </c>
      <c r="E369" s="122">
        <v>8.82</v>
      </c>
      <c r="F369" s="105">
        <f t="shared" si="18"/>
        <v>118.62899999999999</v>
      </c>
      <c r="G369" s="105"/>
    </row>
    <row r="370" spans="1:7">
      <c r="A370" s="177"/>
      <c r="B370" s="187" t="s">
        <v>918</v>
      </c>
      <c r="C370" s="121">
        <v>1</v>
      </c>
      <c r="D370" s="115">
        <v>2.0699999999999998</v>
      </c>
      <c r="E370" s="122">
        <v>8.82</v>
      </c>
      <c r="F370" s="105">
        <f t="shared" si="18"/>
        <v>18.257400000000001</v>
      </c>
      <c r="G370" s="105"/>
    </row>
    <row r="371" spans="1:7">
      <c r="A371" s="177"/>
      <c r="B371" s="187"/>
      <c r="C371" s="121">
        <v>1</v>
      </c>
      <c r="D371" s="115">
        <v>3.96</v>
      </c>
      <c r="E371" s="122">
        <v>8.82</v>
      </c>
      <c r="F371" s="105">
        <f t="shared" si="18"/>
        <v>34.927199999999999</v>
      </c>
      <c r="G371" s="105"/>
    </row>
    <row r="372" spans="1:7">
      <c r="A372" s="177"/>
      <c r="B372" s="187" t="s">
        <v>919</v>
      </c>
      <c r="C372" s="121">
        <v>-1</v>
      </c>
      <c r="D372" s="115">
        <v>3.55</v>
      </c>
      <c r="E372" s="122">
        <v>7</v>
      </c>
      <c r="F372" s="105">
        <f t="shared" si="18"/>
        <v>-24.849999999999998</v>
      </c>
      <c r="G372" s="105"/>
    </row>
    <row r="373" spans="1:7">
      <c r="A373" s="177"/>
      <c r="B373" s="123" t="s">
        <v>920</v>
      </c>
      <c r="C373" s="121">
        <v>1</v>
      </c>
      <c r="D373" s="110">
        <v>16.71</v>
      </c>
      <c r="E373" s="110">
        <v>8.82</v>
      </c>
      <c r="F373" s="105">
        <f t="shared" si="18"/>
        <v>147.38220000000001</v>
      </c>
      <c r="G373" s="105"/>
    </row>
    <row r="374" spans="1:7">
      <c r="A374" s="177"/>
      <c r="B374" s="123" t="s">
        <v>917</v>
      </c>
      <c r="C374" s="121">
        <v>-1</v>
      </c>
      <c r="D374" s="110">
        <v>14.92</v>
      </c>
      <c r="E374" s="110">
        <v>7</v>
      </c>
      <c r="F374" s="105">
        <f t="shared" si="18"/>
        <v>-104.44</v>
      </c>
      <c r="G374" s="105"/>
    </row>
    <row r="375" spans="1:7">
      <c r="A375" s="177"/>
      <c r="B375" s="123"/>
      <c r="C375" s="121">
        <v>1</v>
      </c>
      <c r="D375" s="110">
        <v>3.27</v>
      </c>
      <c r="E375" s="110">
        <v>8.52</v>
      </c>
      <c r="F375" s="105">
        <f t="shared" si="18"/>
        <v>27.860399999999998</v>
      </c>
      <c r="G375" s="105"/>
    </row>
    <row r="376" spans="1:7">
      <c r="A376" s="177"/>
      <c r="B376" s="123" t="s">
        <v>917</v>
      </c>
      <c r="C376" s="121">
        <v>-1</v>
      </c>
      <c r="D376" s="110">
        <v>3</v>
      </c>
      <c r="E376" s="110">
        <v>7</v>
      </c>
      <c r="F376" s="105">
        <f t="shared" si="18"/>
        <v>-21</v>
      </c>
      <c r="G376" s="105"/>
    </row>
    <row r="377" spans="1:7">
      <c r="A377" s="177"/>
      <c r="B377" s="123" t="s">
        <v>921</v>
      </c>
      <c r="C377" s="121">
        <v>1</v>
      </c>
      <c r="D377" s="110">
        <v>31.25</v>
      </c>
      <c r="E377" s="110">
        <v>2</v>
      </c>
      <c r="F377" s="105">
        <f t="shared" si="18"/>
        <v>62.5</v>
      </c>
      <c r="G377" s="105"/>
    </row>
    <row r="378" spans="1:7">
      <c r="A378" s="177"/>
      <c r="B378" s="123"/>
      <c r="C378" s="121">
        <v>2</v>
      </c>
      <c r="D378" s="110">
        <v>2.5</v>
      </c>
      <c r="E378" s="110">
        <v>2</v>
      </c>
      <c r="F378" s="105">
        <f t="shared" si="18"/>
        <v>10</v>
      </c>
      <c r="G378" s="105"/>
    </row>
    <row r="379" spans="1:7">
      <c r="A379" s="177"/>
      <c r="B379" s="123" t="s">
        <v>922</v>
      </c>
      <c r="C379" s="121">
        <v>1</v>
      </c>
      <c r="D379" s="110">
        <v>23</v>
      </c>
      <c r="E379" s="110">
        <v>0.5</v>
      </c>
      <c r="F379" s="105">
        <f t="shared" si="18"/>
        <v>11.5</v>
      </c>
      <c r="G379" s="105"/>
    </row>
    <row r="380" spans="1:7">
      <c r="A380" s="156"/>
      <c r="B380" s="123"/>
      <c r="C380" s="532" t="s">
        <v>785</v>
      </c>
      <c r="D380" s="532"/>
      <c r="E380" s="532"/>
      <c r="F380" s="125">
        <f>SUM(F365:F379)</f>
        <v>325.35619999999994</v>
      </c>
      <c r="G380" s="125"/>
    </row>
    <row r="381" spans="1:7">
      <c r="A381" s="77" t="s">
        <v>44</v>
      </c>
      <c r="B381" s="78" t="s">
        <v>151</v>
      </c>
      <c r="C381" s="182"/>
      <c r="D381" s="79"/>
      <c r="E381" s="182"/>
      <c r="F381" s="191"/>
      <c r="G381" s="265"/>
    </row>
    <row r="382" spans="1:7" ht="26.4">
      <c r="A382" s="177" t="s">
        <v>16</v>
      </c>
      <c r="B382" s="179" t="s">
        <v>923</v>
      </c>
      <c r="C382" s="110"/>
      <c r="D382" s="110"/>
      <c r="E382" s="110"/>
      <c r="F382" s="105"/>
      <c r="G382" s="105"/>
    </row>
    <row r="383" spans="1:7">
      <c r="A383" s="156"/>
      <c r="B383" s="187" t="s">
        <v>769</v>
      </c>
      <c r="C383" s="121">
        <v>1</v>
      </c>
      <c r="D383" s="115">
        <v>11.39</v>
      </c>
      <c r="E383" s="122">
        <v>7</v>
      </c>
      <c r="F383" s="105">
        <f>C383*D383*E383</f>
        <v>79.73</v>
      </c>
      <c r="G383" s="105"/>
    </row>
    <row r="384" spans="1:7">
      <c r="A384" s="156"/>
      <c r="B384" s="187" t="s">
        <v>787</v>
      </c>
      <c r="C384" s="121">
        <v>-1</v>
      </c>
      <c r="D384" s="115">
        <v>3</v>
      </c>
      <c r="E384" s="122">
        <v>7</v>
      </c>
      <c r="F384" s="105">
        <f t="shared" ref="F384:F391" si="19">C384*D384*E384</f>
        <v>-21</v>
      </c>
      <c r="G384" s="105"/>
    </row>
    <row r="385" spans="1:7">
      <c r="A385" s="156"/>
      <c r="B385" s="187"/>
      <c r="C385" s="121">
        <v>1</v>
      </c>
      <c r="D385" s="115">
        <v>13.11</v>
      </c>
      <c r="E385" s="122">
        <v>7</v>
      </c>
      <c r="F385" s="105">
        <f t="shared" si="19"/>
        <v>91.77</v>
      </c>
      <c r="G385" s="105" t="s">
        <v>1463</v>
      </c>
    </row>
    <row r="386" spans="1:7">
      <c r="A386" s="156"/>
      <c r="B386" s="123" t="s">
        <v>825</v>
      </c>
      <c r="C386" s="121">
        <v>1</v>
      </c>
      <c r="D386" s="110">
        <v>14.92</v>
      </c>
      <c r="E386" s="110">
        <v>7</v>
      </c>
      <c r="F386" s="105">
        <f t="shared" si="19"/>
        <v>104.44</v>
      </c>
      <c r="G386" s="105"/>
    </row>
    <row r="387" spans="1:7">
      <c r="A387" s="156"/>
      <c r="B387" s="187" t="s">
        <v>787</v>
      </c>
      <c r="C387" s="121">
        <v>-1</v>
      </c>
      <c r="D387" s="115">
        <v>3</v>
      </c>
      <c r="E387" s="122">
        <v>7</v>
      </c>
      <c r="F387" s="105">
        <f t="shared" si="19"/>
        <v>-21</v>
      </c>
      <c r="G387" s="105"/>
    </row>
    <row r="388" spans="1:7">
      <c r="A388" s="156"/>
      <c r="B388" s="123"/>
      <c r="C388" s="121">
        <v>1</v>
      </c>
      <c r="D388" s="110">
        <v>3</v>
      </c>
      <c r="E388" s="110">
        <v>7</v>
      </c>
      <c r="F388" s="105">
        <f t="shared" si="19"/>
        <v>21</v>
      </c>
      <c r="G388" s="105"/>
    </row>
    <row r="389" spans="1:7">
      <c r="A389" s="156"/>
      <c r="B389" s="123" t="s">
        <v>924</v>
      </c>
      <c r="C389" s="121">
        <v>1</v>
      </c>
      <c r="D389" s="110">
        <v>0.65</v>
      </c>
      <c r="E389" s="110">
        <v>6.78</v>
      </c>
      <c r="F389" s="105">
        <f t="shared" si="19"/>
        <v>4.407</v>
      </c>
      <c r="G389" s="105"/>
    </row>
    <row r="390" spans="1:7">
      <c r="A390" s="177"/>
      <c r="B390" s="123" t="s">
        <v>925</v>
      </c>
      <c r="C390" s="121">
        <v>1</v>
      </c>
      <c r="D390" s="110">
        <v>36.04</v>
      </c>
      <c r="E390" s="110">
        <v>4.42</v>
      </c>
      <c r="F390" s="105">
        <f t="shared" si="19"/>
        <v>159.29679999999999</v>
      </c>
      <c r="G390" s="105"/>
    </row>
    <row r="391" spans="1:7">
      <c r="A391" s="177"/>
      <c r="B391" s="123" t="s">
        <v>926</v>
      </c>
      <c r="C391" s="121">
        <v>1</v>
      </c>
      <c r="D391" s="110">
        <v>22.76</v>
      </c>
      <c r="E391" s="110">
        <v>4.34</v>
      </c>
      <c r="F391" s="105">
        <f t="shared" si="19"/>
        <v>98.778400000000005</v>
      </c>
      <c r="G391" s="105"/>
    </row>
    <row r="392" spans="1:7">
      <c r="A392" s="156"/>
      <c r="B392" s="123"/>
      <c r="C392" s="532" t="s">
        <v>785</v>
      </c>
      <c r="D392" s="532"/>
      <c r="E392" s="532"/>
      <c r="F392" s="125">
        <f>SUM(F383:F391)</f>
        <v>517.42219999999998</v>
      </c>
      <c r="G392" s="125"/>
    </row>
    <row r="393" spans="1:7">
      <c r="A393" s="62">
        <v>2</v>
      </c>
      <c r="B393" s="60" t="s">
        <v>155</v>
      </c>
      <c r="C393" s="181"/>
      <c r="D393" s="68"/>
      <c r="E393" s="181"/>
      <c r="F393" s="112"/>
      <c r="G393" s="263"/>
    </row>
    <row r="394" spans="1:7">
      <c r="A394" s="77" t="s">
        <v>14</v>
      </c>
      <c r="B394" s="78" t="s">
        <v>156</v>
      </c>
      <c r="C394" s="182"/>
      <c r="D394" s="79"/>
      <c r="E394" s="182"/>
      <c r="F394" s="191"/>
      <c r="G394" s="265"/>
    </row>
    <row r="395" spans="1:7" ht="26.4">
      <c r="A395" s="177" t="s">
        <v>19</v>
      </c>
      <c r="B395" s="178" t="s">
        <v>927</v>
      </c>
      <c r="C395" s="110"/>
      <c r="D395" s="110"/>
      <c r="E395" s="110"/>
      <c r="F395" s="105"/>
      <c r="G395" s="105"/>
    </row>
    <row r="396" spans="1:7">
      <c r="A396" s="156"/>
      <c r="B396" s="119" t="s">
        <v>905</v>
      </c>
      <c r="C396" s="110">
        <v>1</v>
      </c>
      <c r="D396" s="117">
        <v>5</v>
      </c>
      <c r="E396" s="117">
        <v>9</v>
      </c>
      <c r="F396" s="105">
        <f>C396*D396*E396</f>
        <v>45</v>
      </c>
      <c r="G396" s="105"/>
    </row>
    <row r="397" spans="1:7">
      <c r="A397" s="156"/>
      <c r="B397" s="119" t="s">
        <v>787</v>
      </c>
      <c r="C397" s="110">
        <v>-1</v>
      </c>
      <c r="D397" s="117">
        <v>4.5</v>
      </c>
      <c r="E397" s="117">
        <v>7</v>
      </c>
      <c r="F397" s="105">
        <f t="shared" ref="F397:F418" si="20">C397*D397*E397</f>
        <v>-31.5</v>
      </c>
      <c r="G397" s="105"/>
    </row>
    <row r="398" spans="1:7">
      <c r="A398" s="156"/>
      <c r="B398" s="119" t="s">
        <v>875</v>
      </c>
      <c r="C398" s="110">
        <v>2</v>
      </c>
      <c r="D398" s="117">
        <v>4.4400000000000004</v>
      </c>
      <c r="E398" s="117">
        <v>8.86</v>
      </c>
      <c r="F398" s="105">
        <f t="shared" si="20"/>
        <v>78.6768</v>
      </c>
      <c r="G398" s="105"/>
    </row>
    <row r="399" spans="1:7">
      <c r="A399" s="156"/>
      <c r="B399" s="119" t="s">
        <v>787</v>
      </c>
      <c r="C399" s="110">
        <v>-2</v>
      </c>
      <c r="D399" s="117">
        <v>3.5</v>
      </c>
      <c r="E399" s="117">
        <v>7</v>
      </c>
      <c r="F399" s="105">
        <f t="shared" si="20"/>
        <v>-49</v>
      </c>
      <c r="G399" s="105"/>
    </row>
    <row r="400" spans="1:7">
      <c r="A400" s="156"/>
      <c r="B400" s="119" t="s">
        <v>928</v>
      </c>
      <c r="C400" s="110">
        <v>1</v>
      </c>
      <c r="D400" s="117">
        <v>10.5</v>
      </c>
      <c r="E400" s="117">
        <v>1</v>
      </c>
      <c r="F400" s="105">
        <f t="shared" si="20"/>
        <v>10.5</v>
      </c>
      <c r="G400" s="105"/>
    </row>
    <row r="401" spans="1:7">
      <c r="A401" s="156"/>
      <c r="B401" s="119" t="s">
        <v>929</v>
      </c>
      <c r="C401" s="110">
        <v>1</v>
      </c>
      <c r="D401" s="117">
        <v>2.21</v>
      </c>
      <c r="E401" s="117">
        <v>8.86</v>
      </c>
      <c r="F401" s="105">
        <f t="shared" si="20"/>
        <v>19.580599999999997</v>
      </c>
      <c r="G401" s="105"/>
    </row>
    <row r="402" spans="1:7">
      <c r="A402" s="156"/>
      <c r="B402" s="119" t="s">
        <v>930</v>
      </c>
      <c r="C402" s="110">
        <v>-1</v>
      </c>
      <c r="D402" s="117">
        <v>1.5</v>
      </c>
      <c r="E402" s="117">
        <v>1</v>
      </c>
      <c r="F402" s="105">
        <f t="shared" si="20"/>
        <v>-1.5</v>
      </c>
      <c r="G402" s="105"/>
    </row>
    <row r="403" spans="1:7">
      <c r="A403" s="156"/>
      <c r="B403" s="119" t="s">
        <v>791</v>
      </c>
      <c r="C403" s="110">
        <v>1</v>
      </c>
      <c r="D403" s="117">
        <v>13.32</v>
      </c>
      <c r="E403" s="117">
        <v>8.86</v>
      </c>
      <c r="F403" s="105">
        <f t="shared" si="20"/>
        <v>118.01519999999999</v>
      </c>
      <c r="G403" s="105"/>
    </row>
    <row r="404" spans="1:7">
      <c r="A404" s="156"/>
      <c r="B404" s="119"/>
      <c r="C404" s="110">
        <v>1</v>
      </c>
      <c r="D404" s="117">
        <v>0.25</v>
      </c>
      <c r="E404" s="117">
        <v>8.86</v>
      </c>
      <c r="F404" s="105">
        <f t="shared" si="20"/>
        <v>2.2149999999999999</v>
      </c>
      <c r="G404" s="105"/>
    </row>
    <row r="405" spans="1:7">
      <c r="A405" s="156"/>
      <c r="B405" s="119" t="s">
        <v>769</v>
      </c>
      <c r="C405" s="110">
        <v>1</v>
      </c>
      <c r="D405" s="117">
        <v>32.299999999999997</v>
      </c>
      <c r="E405" s="117">
        <v>8.86</v>
      </c>
      <c r="F405" s="105">
        <f t="shared" si="20"/>
        <v>286.17799999999994</v>
      </c>
      <c r="G405" s="105"/>
    </row>
    <row r="406" spans="1:7">
      <c r="A406" s="156"/>
      <c r="B406" s="119"/>
      <c r="C406" s="110">
        <v>1</v>
      </c>
      <c r="D406" s="117">
        <v>10</v>
      </c>
      <c r="E406" s="117">
        <v>8.86</v>
      </c>
      <c r="F406" s="105">
        <f t="shared" si="20"/>
        <v>88.6</v>
      </c>
      <c r="G406" s="105"/>
    </row>
    <row r="407" spans="1:7">
      <c r="A407" s="156"/>
      <c r="B407" s="119" t="s">
        <v>789</v>
      </c>
      <c r="C407" s="110">
        <v>-1</v>
      </c>
      <c r="D407" s="117">
        <v>5.65</v>
      </c>
      <c r="E407" s="117">
        <v>3.59</v>
      </c>
      <c r="F407" s="105">
        <f>C407*D407*E407</f>
        <v>-20.2835</v>
      </c>
      <c r="G407" s="105"/>
    </row>
    <row r="408" spans="1:7">
      <c r="A408" s="156"/>
      <c r="B408" s="119" t="s">
        <v>928</v>
      </c>
      <c r="C408" s="110">
        <v>1</v>
      </c>
      <c r="D408" s="110">
        <v>18.47</v>
      </c>
      <c r="E408" s="117">
        <v>0.3</v>
      </c>
      <c r="F408" s="105">
        <f t="shared" ref="F408:F409" si="21">C408*D408*E408</f>
        <v>5.5409999999999995</v>
      </c>
      <c r="G408" s="105"/>
    </row>
    <row r="409" spans="1:7">
      <c r="A409" s="156"/>
      <c r="B409" s="119"/>
      <c r="C409" s="110">
        <v>1</v>
      </c>
      <c r="D409" s="110">
        <v>3.19</v>
      </c>
      <c r="E409" s="117">
        <v>8.86</v>
      </c>
      <c r="F409" s="105">
        <f t="shared" si="21"/>
        <v>28.263399999999997</v>
      </c>
      <c r="G409" s="105"/>
    </row>
    <row r="410" spans="1:7">
      <c r="A410" s="156"/>
      <c r="B410" s="119" t="s">
        <v>789</v>
      </c>
      <c r="C410" s="110">
        <v>-1</v>
      </c>
      <c r="D410" s="110">
        <v>3.14</v>
      </c>
      <c r="E410" s="110">
        <v>3.62</v>
      </c>
      <c r="F410" s="105">
        <f t="shared" si="20"/>
        <v>-11.366800000000001</v>
      </c>
      <c r="G410" s="105"/>
    </row>
    <row r="411" spans="1:7">
      <c r="A411" s="156"/>
      <c r="B411" s="119" t="s">
        <v>928</v>
      </c>
      <c r="C411" s="110">
        <v>1</v>
      </c>
      <c r="D411" s="117">
        <v>13.51</v>
      </c>
      <c r="E411" s="117">
        <v>0.3</v>
      </c>
      <c r="F411" s="105">
        <f t="shared" si="20"/>
        <v>4.0529999999999999</v>
      </c>
      <c r="G411" s="105"/>
    </row>
    <row r="412" spans="1:7">
      <c r="A412" s="156"/>
      <c r="B412" s="119" t="s">
        <v>920</v>
      </c>
      <c r="C412" s="110">
        <v>1</v>
      </c>
      <c r="D412" s="110">
        <v>5.15</v>
      </c>
      <c r="E412" s="117">
        <v>8.86</v>
      </c>
      <c r="F412" s="105">
        <f t="shared" si="20"/>
        <v>45.628999999999998</v>
      </c>
      <c r="G412" s="105"/>
    </row>
    <row r="413" spans="1:7">
      <c r="A413" s="156"/>
      <c r="B413" s="119"/>
      <c r="C413" s="110">
        <v>1</v>
      </c>
      <c r="D413" s="117">
        <v>5.36</v>
      </c>
      <c r="E413" s="117">
        <v>4</v>
      </c>
      <c r="F413" s="105">
        <f t="shared" si="20"/>
        <v>21.44</v>
      </c>
      <c r="G413" s="105"/>
    </row>
    <row r="414" spans="1:7">
      <c r="A414" s="156"/>
      <c r="B414" s="119" t="s">
        <v>931</v>
      </c>
      <c r="C414" s="110">
        <v>1</v>
      </c>
      <c r="D414" s="117">
        <f>2.5+31.25+2.5+39.15</f>
        <v>75.400000000000006</v>
      </c>
      <c r="E414" s="117">
        <v>4</v>
      </c>
      <c r="F414" s="105">
        <f t="shared" si="20"/>
        <v>301.60000000000002</v>
      </c>
      <c r="G414" s="105"/>
    </row>
    <row r="415" spans="1:7">
      <c r="A415" s="156"/>
      <c r="B415" s="119" t="s">
        <v>932</v>
      </c>
      <c r="C415" s="110">
        <v>1</v>
      </c>
      <c r="D415" s="117">
        <v>74.75</v>
      </c>
      <c r="E415" s="117">
        <v>0.45</v>
      </c>
      <c r="F415" s="105">
        <f t="shared" si="20"/>
        <v>33.637500000000003</v>
      </c>
      <c r="G415" s="105"/>
    </row>
    <row r="416" spans="1:7">
      <c r="A416" s="156"/>
      <c r="B416" s="119" t="s">
        <v>928</v>
      </c>
      <c r="C416" s="110">
        <v>1</v>
      </c>
      <c r="D416" s="117">
        <v>11.3</v>
      </c>
      <c r="E416" s="117">
        <v>0.3</v>
      </c>
      <c r="F416" s="105">
        <f t="shared" si="20"/>
        <v>3.39</v>
      </c>
      <c r="G416" s="105"/>
    </row>
    <row r="417" spans="1:7">
      <c r="A417" s="156"/>
      <c r="B417" s="119" t="s">
        <v>933</v>
      </c>
      <c r="C417" s="110">
        <v>1</v>
      </c>
      <c r="D417" s="117">
        <v>12</v>
      </c>
      <c r="E417" s="117">
        <v>0.5</v>
      </c>
      <c r="F417" s="105">
        <f t="shared" si="20"/>
        <v>6</v>
      </c>
      <c r="G417" s="105"/>
    </row>
    <row r="418" spans="1:7">
      <c r="A418" s="156"/>
      <c r="B418" s="119" t="s">
        <v>921</v>
      </c>
      <c r="C418" s="110">
        <v>1</v>
      </c>
      <c r="D418" s="117">
        <v>4.3600000000000003</v>
      </c>
      <c r="E418" s="117">
        <v>1</v>
      </c>
      <c r="F418" s="105">
        <f t="shared" si="20"/>
        <v>4.3600000000000003</v>
      </c>
      <c r="G418" s="105"/>
    </row>
    <row r="419" spans="1:7">
      <c r="A419" s="177"/>
      <c r="B419" s="128"/>
      <c r="C419" s="532" t="s">
        <v>785</v>
      </c>
      <c r="D419" s="532"/>
      <c r="E419" s="532"/>
      <c r="F419" s="125">
        <f>SUM(F396:F418)</f>
        <v>989.02920000000017</v>
      </c>
      <c r="G419" s="125"/>
    </row>
    <row r="420" spans="1:7">
      <c r="A420" s="177" t="s">
        <v>32</v>
      </c>
      <c r="B420" s="178" t="s">
        <v>934</v>
      </c>
      <c r="C420" s="110"/>
      <c r="D420" s="110"/>
      <c r="E420" s="110"/>
      <c r="F420" s="105"/>
      <c r="G420" s="105"/>
    </row>
    <row r="421" spans="1:7">
      <c r="A421" s="156"/>
      <c r="B421" s="123" t="s">
        <v>935</v>
      </c>
      <c r="C421" s="110">
        <v>1</v>
      </c>
      <c r="D421" s="110">
        <v>1.3</v>
      </c>
      <c r="E421" s="110">
        <v>8.4</v>
      </c>
      <c r="F421" s="105">
        <f>C421*D421*E421</f>
        <v>10.920000000000002</v>
      </c>
      <c r="G421" s="105"/>
    </row>
    <row r="422" spans="1:7">
      <c r="A422" s="156"/>
      <c r="B422" s="123" t="s">
        <v>936</v>
      </c>
      <c r="C422" s="110">
        <v>1</v>
      </c>
      <c r="D422" s="110">
        <v>7.08</v>
      </c>
      <c r="E422" s="110">
        <v>8.4</v>
      </c>
      <c r="F422" s="105">
        <f t="shared" ref="F422:F435" si="22">C422*D422*E422</f>
        <v>59.472000000000001</v>
      </c>
      <c r="G422" s="105"/>
    </row>
    <row r="423" spans="1:7">
      <c r="A423" s="156"/>
      <c r="B423" s="123"/>
      <c r="C423" s="110">
        <v>1</v>
      </c>
      <c r="D423" s="110">
        <v>7.08</v>
      </c>
      <c r="E423" s="110">
        <v>8.4</v>
      </c>
      <c r="F423" s="105">
        <f t="shared" si="22"/>
        <v>59.472000000000001</v>
      </c>
      <c r="G423" s="105"/>
    </row>
    <row r="424" spans="1:7">
      <c r="A424" s="156"/>
      <c r="B424" s="123"/>
      <c r="C424" s="110">
        <v>1</v>
      </c>
      <c r="D424" s="110">
        <v>5.9</v>
      </c>
      <c r="E424" s="110">
        <v>8.4</v>
      </c>
      <c r="F424" s="105">
        <f t="shared" si="22"/>
        <v>49.56</v>
      </c>
      <c r="G424" s="105"/>
    </row>
    <row r="425" spans="1:7">
      <c r="A425" s="156"/>
      <c r="B425" s="123"/>
      <c r="C425" s="110">
        <v>1</v>
      </c>
      <c r="D425" s="110">
        <v>5.5</v>
      </c>
      <c r="E425" s="110">
        <v>8.4</v>
      </c>
      <c r="F425" s="105">
        <f t="shared" si="22"/>
        <v>46.2</v>
      </c>
      <c r="G425" s="105"/>
    </row>
    <row r="426" spans="1:7">
      <c r="A426" s="156"/>
      <c r="B426" s="123"/>
      <c r="C426" s="110">
        <v>1</v>
      </c>
      <c r="D426" s="110">
        <v>7.25</v>
      </c>
      <c r="E426" s="110">
        <v>8.4</v>
      </c>
      <c r="F426" s="105">
        <f t="shared" si="22"/>
        <v>60.900000000000006</v>
      </c>
      <c r="G426" s="105"/>
    </row>
    <row r="427" spans="1:7">
      <c r="A427" s="156"/>
      <c r="B427" s="123" t="s">
        <v>909</v>
      </c>
      <c r="C427" s="110">
        <v>1</v>
      </c>
      <c r="D427" s="110">
        <v>5.4</v>
      </c>
      <c r="E427" s="110">
        <v>8.4</v>
      </c>
      <c r="F427" s="105">
        <f t="shared" si="22"/>
        <v>45.360000000000007</v>
      </c>
      <c r="G427" s="105"/>
    </row>
    <row r="428" spans="1:7">
      <c r="A428" s="156"/>
      <c r="B428" s="123"/>
      <c r="C428" s="110">
        <v>1</v>
      </c>
      <c r="D428" s="110">
        <v>3.25</v>
      </c>
      <c r="E428" s="110">
        <v>8.4</v>
      </c>
      <c r="F428" s="105">
        <f t="shared" si="22"/>
        <v>27.3</v>
      </c>
      <c r="G428" s="105"/>
    </row>
    <row r="429" spans="1:7">
      <c r="A429" s="156"/>
      <c r="B429" s="123" t="s">
        <v>937</v>
      </c>
      <c r="C429" s="110">
        <v>1</v>
      </c>
      <c r="D429" s="110">
        <v>2.2999999999999998</v>
      </c>
      <c r="E429" s="110">
        <v>8.4</v>
      </c>
      <c r="F429" s="105">
        <f t="shared" si="22"/>
        <v>19.32</v>
      </c>
      <c r="G429" s="105"/>
    </row>
    <row r="430" spans="1:7">
      <c r="A430" s="156"/>
      <c r="B430" s="123"/>
      <c r="C430" s="110">
        <v>1</v>
      </c>
      <c r="D430" s="110">
        <v>0.4</v>
      </c>
      <c r="E430" s="110">
        <v>8.4</v>
      </c>
      <c r="F430" s="105">
        <f t="shared" si="22"/>
        <v>3.3600000000000003</v>
      </c>
      <c r="G430" s="105"/>
    </row>
    <row r="431" spans="1:7">
      <c r="A431" s="156"/>
      <c r="B431" s="123" t="s">
        <v>769</v>
      </c>
      <c r="C431" s="110">
        <v>1</v>
      </c>
      <c r="D431" s="110">
        <v>1.9</v>
      </c>
      <c r="E431" s="110">
        <v>8</v>
      </c>
      <c r="F431" s="105">
        <f t="shared" si="22"/>
        <v>15.2</v>
      </c>
      <c r="G431" s="105"/>
    </row>
    <row r="432" spans="1:7">
      <c r="A432" s="156"/>
      <c r="B432" s="123"/>
      <c r="C432" s="110">
        <v>1</v>
      </c>
      <c r="D432" s="110">
        <v>2.7</v>
      </c>
      <c r="E432" s="110">
        <v>8</v>
      </c>
      <c r="F432" s="105">
        <f t="shared" si="22"/>
        <v>21.6</v>
      </c>
      <c r="G432" s="105"/>
    </row>
    <row r="433" spans="1:8">
      <c r="A433" s="156"/>
      <c r="B433" s="123"/>
      <c r="C433" s="110">
        <v>1</v>
      </c>
      <c r="D433" s="110">
        <v>3</v>
      </c>
      <c r="E433" s="110">
        <v>8</v>
      </c>
      <c r="F433" s="105">
        <f t="shared" si="22"/>
        <v>24</v>
      </c>
      <c r="G433" s="105"/>
    </row>
    <row r="434" spans="1:8">
      <c r="A434" s="156"/>
      <c r="B434" s="123"/>
      <c r="C434" s="110">
        <v>1</v>
      </c>
      <c r="D434" s="110">
        <v>4</v>
      </c>
      <c r="E434" s="110">
        <v>8</v>
      </c>
      <c r="F434" s="105">
        <f t="shared" si="22"/>
        <v>32</v>
      </c>
      <c r="G434" s="105"/>
    </row>
    <row r="435" spans="1:8">
      <c r="A435" s="156"/>
      <c r="B435" s="123"/>
      <c r="C435" s="110">
        <v>1</v>
      </c>
      <c r="D435" s="110">
        <v>4.8</v>
      </c>
      <c r="E435" s="110">
        <v>8</v>
      </c>
      <c r="F435" s="105">
        <f t="shared" si="22"/>
        <v>38.4</v>
      </c>
      <c r="G435" s="105"/>
    </row>
    <row r="436" spans="1:8">
      <c r="A436" s="120"/>
      <c r="B436" s="128"/>
      <c r="C436" s="532" t="s">
        <v>785</v>
      </c>
      <c r="D436" s="532"/>
      <c r="E436" s="532"/>
      <c r="F436" s="125">
        <f>SUM(F421:F435)</f>
        <v>513.06400000000008</v>
      </c>
      <c r="G436" s="125"/>
    </row>
    <row r="437" spans="1:8">
      <c r="A437" s="62">
        <v>4</v>
      </c>
      <c r="B437" s="60" t="s">
        <v>159</v>
      </c>
      <c r="C437" s="181"/>
      <c r="D437" s="68"/>
      <c r="E437" s="181"/>
      <c r="F437" s="112"/>
      <c r="G437" s="263"/>
    </row>
    <row r="438" spans="1:8">
      <c r="A438" s="77" t="s">
        <v>14</v>
      </c>
      <c r="B438" s="78" t="s">
        <v>160</v>
      </c>
      <c r="C438" s="182"/>
      <c r="D438" s="79"/>
      <c r="E438" s="182"/>
      <c r="F438" s="191"/>
      <c r="G438" s="265"/>
    </row>
    <row r="439" spans="1:8" ht="26.4">
      <c r="A439" s="177" t="s">
        <v>19</v>
      </c>
      <c r="B439" s="277" t="s">
        <v>1428</v>
      </c>
      <c r="C439" s="183"/>
      <c r="D439" s="184"/>
      <c r="E439" s="185"/>
      <c r="F439" s="186"/>
      <c r="G439" s="186"/>
      <c r="H439" s="96" t="s">
        <v>1461</v>
      </c>
    </row>
    <row r="440" spans="1:8">
      <c r="A440" s="130"/>
      <c r="B440" s="188" t="s">
        <v>938</v>
      </c>
      <c r="C440" s="183"/>
      <c r="D440" s="184"/>
      <c r="E440" s="185"/>
      <c r="F440" s="189">
        <v>2</v>
      </c>
      <c r="G440" s="262" t="s">
        <v>1463</v>
      </c>
      <c r="H440" s="96" t="s">
        <v>1462</v>
      </c>
    </row>
    <row r="441" spans="1:8">
      <c r="A441" s="130"/>
      <c r="B441" s="143"/>
      <c r="C441" s="532" t="s">
        <v>785</v>
      </c>
      <c r="D441" s="532"/>
      <c r="E441" s="532"/>
      <c r="F441" s="190">
        <f>SUM(F440)</f>
        <v>2</v>
      </c>
      <c r="G441" s="190"/>
    </row>
    <row r="442" spans="1:8">
      <c r="A442" s="77" t="s">
        <v>44</v>
      </c>
      <c r="B442" s="78" t="s">
        <v>164</v>
      </c>
      <c r="C442" s="182"/>
      <c r="D442" s="79"/>
      <c r="E442" s="182"/>
      <c r="F442" s="191"/>
      <c r="G442" s="265"/>
    </row>
    <row r="443" spans="1:8">
      <c r="A443" s="177" t="s">
        <v>16</v>
      </c>
      <c r="B443" s="278" t="s">
        <v>1429</v>
      </c>
      <c r="C443" s="110"/>
      <c r="D443" s="110"/>
      <c r="E443" s="110"/>
      <c r="F443" s="105"/>
      <c r="G443" s="105"/>
    </row>
    <row r="444" spans="1:8">
      <c r="A444" s="156"/>
      <c r="B444" s="123" t="s">
        <v>862</v>
      </c>
      <c r="C444" s="110"/>
      <c r="D444" s="110"/>
      <c r="E444" s="110"/>
      <c r="F444" s="105">
        <v>1</v>
      </c>
      <c r="G444" s="105"/>
    </row>
    <row r="445" spans="1:8">
      <c r="A445" s="156"/>
      <c r="B445" s="123" t="s">
        <v>939</v>
      </c>
      <c r="C445" s="110"/>
      <c r="D445" s="110"/>
      <c r="E445" s="110"/>
      <c r="F445" s="105">
        <v>1</v>
      </c>
      <c r="G445" s="105"/>
    </row>
    <row r="446" spans="1:8">
      <c r="A446" s="156"/>
      <c r="B446" s="128"/>
      <c r="C446" s="532" t="s">
        <v>785</v>
      </c>
      <c r="D446" s="532"/>
      <c r="E446" s="532"/>
      <c r="F446" s="125">
        <f>SUM(F444:F445)</f>
        <v>2</v>
      </c>
      <c r="G446" s="125"/>
    </row>
    <row r="447" spans="1:8">
      <c r="A447" s="77" t="s">
        <v>46</v>
      </c>
      <c r="B447" s="78" t="s">
        <v>165</v>
      </c>
      <c r="C447" s="182"/>
      <c r="D447" s="79"/>
      <c r="E447" s="182"/>
      <c r="F447" s="191"/>
      <c r="G447" s="265"/>
    </row>
    <row r="448" spans="1:8">
      <c r="A448" s="85" t="s">
        <v>50</v>
      </c>
      <c r="B448" s="278" t="s">
        <v>170</v>
      </c>
      <c r="C448" s="110"/>
      <c r="D448" s="110"/>
      <c r="E448" s="110"/>
      <c r="F448" s="105"/>
      <c r="G448" s="105"/>
    </row>
    <row r="449" spans="1:8">
      <c r="A449" s="156"/>
      <c r="B449" s="123" t="s">
        <v>940</v>
      </c>
      <c r="C449" s="110"/>
      <c r="D449" s="110"/>
      <c r="E449" s="110"/>
      <c r="F449" s="161">
        <v>3</v>
      </c>
      <c r="G449" s="161" t="s">
        <v>1464</v>
      </c>
    </row>
    <row r="450" spans="1:8" ht="26.4">
      <c r="A450" s="177" t="s">
        <v>19</v>
      </c>
      <c r="B450" s="178" t="s">
        <v>941</v>
      </c>
      <c r="C450" s="110"/>
      <c r="D450" s="110"/>
      <c r="E450" s="110"/>
      <c r="F450" s="105">
        <v>2</v>
      </c>
      <c r="G450" s="105"/>
      <c r="H450" s="96" t="s">
        <v>1465</v>
      </c>
    </row>
    <row r="451" spans="1:8">
      <c r="A451" s="156"/>
      <c r="B451" s="123" t="s">
        <v>942</v>
      </c>
      <c r="C451" s="110"/>
      <c r="D451" s="110"/>
      <c r="E451" s="110"/>
      <c r="F451" s="161"/>
      <c r="G451" s="161"/>
    </row>
    <row r="452" spans="1:8">
      <c r="A452" s="77" t="s">
        <v>47</v>
      </c>
      <c r="B452" s="78" t="s">
        <v>173</v>
      </c>
      <c r="C452" s="182"/>
      <c r="D452" s="79"/>
      <c r="E452" s="182"/>
      <c r="F452" s="191"/>
      <c r="G452" s="265"/>
    </row>
    <row r="453" spans="1:8" ht="52.8">
      <c r="A453" s="177" t="s">
        <v>16</v>
      </c>
      <c r="B453" s="178" t="s">
        <v>1430</v>
      </c>
      <c r="C453" s="110"/>
      <c r="D453" s="110"/>
      <c r="E453" s="110"/>
      <c r="F453" s="161">
        <v>1</v>
      </c>
      <c r="G453" s="161"/>
    </row>
    <row r="454" spans="1:8">
      <c r="A454" s="77" t="s">
        <v>50</v>
      </c>
      <c r="B454" s="78" t="s">
        <v>174</v>
      </c>
      <c r="C454" s="182"/>
      <c r="D454" s="79"/>
      <c r="E454" s="182"/>
      <c r="F454" s="191"/>
      <c r="G454" s="265"/>
    </row>
    <row r="455" spans="1:8">
      <c r="A455" s="177" t="s">
        <v>16</v>
      </c>
      <c r="B455" s="277" t="s">
        <v>943</v>
      </c>
      <c r="C455" s="110"/>
      <c r="D455" s="110"/>
      <c r="E455" s="110"/>
      <c r="F455" s="161">
        <v>1</v>
      </c>
      <c r="G455" s="161" t="s">
        <v>1467</v>
      </c>
      <c r="H455" s="96" t="s">
        <v>1466</v>
      </c>
    </row>
    <row r="456" spans="1:8">
      <c r="A456" s="62">
        <v>5</v>
      </c>
      <c r="B456" s="60" t="s">
        <v>176</v>
      </c>
      <c r="C456" s="181"/>
      <c r="D456" s="68"/>
      <c r="E456" s="181"/>
      <c r="F456" s="112"/>
      <c r="G456" s="263"/>
    </row>
    <row r="457" spans="1:8">
      <c r="A457" s="77" t="s">
        <v>14</v>
      </c>
      <c r="B457" s="78" t="s">
        <v>177</v>
      </c>
      <c r="C457" s="182"/>
      <c r="D457" s="79"/>
      <c r="E457" s="182"/>
      <c r="F457" s="191"/>
      <c r="G457" s="265"/>
    </row>
    <row r="458" spans="1:8">
      <c r="A458" s="177" t="s">
        <v>16</v>
      </c>
      <c r="B458" s="144" t="s">
        <v>944</v>
      </c>
      <c r="C458" s="121"/>
      <c r="D458" s="115"/>
      <c r="E458" s="122"/>
      <c r="F458" s="192">
        <v>1</v>
      </c>
      <c r="G458" s="192" t="s">
        <v>1469</v>
      </c>
      <c r="H458" s="96" t="s">
        <v>1468</v>
      </c>
    </row>
    <row r="459" spans="1:8">
      <c r="A459" s="130"/>
      <c r="B459" s="143"/>
      <c r="C459" s="532" t="s">
        <v>785</v>
      </c>
      <c r="D459" s="532"/>
      <c r="E459" s="532"/>
      <c r="F459" s="125">
        <f>SUM(F458)</f>
        <v>1</v>
      </c>
      <c r="G459" s="125"/>
    </row>
    <row r="460" spans="1:8" ht="26.4">
      <c r="A460" s="77" t="s">
        <v>47</v>
      </c>
      <c r="B460" s="78" t="s">
        <v>184</v>
      </c>
      <c r="C460" s="182"/>
      <c r="D460" s="79"/>
      <c r="E460" s="182"/>
      <c r="F460" s="191"/>
      <c r="G460" s="265"/>
    </row>
    <row r="461" spans="1:8" ht="26.4">
      <c r="A461" s="177" t="s">
        <v>16</v>
      </c>
      <c r="B461" s="179" t="s">
        <v>945</v>
      </c>
      <c r="C461" s="183"/>
      <c r="D461" s="184"/>
      <c r="E461" s="185"/>
      <c r="F461" s="161">
        <v>21</v>
      </c>
      <c r="G461" s="161"/>
      <c r="H461" s="96" t="s">
        <v>1470</v>
      </c>
    </row>
    <row r="462" spans="1:8">
      <c r="A462" s="77" t="s">
        <v>85</v>
      </c>
      <c r="B462" s="195" t="s">
        <v>195</v>
      </c>
      <c r="C462" s="182"/>
      <c r="D462" s="79"/>
      <c r="E462" s="182"/>
      <c r="F462" s="191"/>
      <c r="G462" s="265"/>
    </row>
    <row r="463" spans="1:8" ht="26.4">
      <c r="A463" s="177" t="s">
        <v>21</v>
      </c>
      <c r="B463" s="143" t="s">
        <v>946</v>
      </c>
      <c r="C463" s="193"/>
      <c r="D463" s="193"/>
      <c r="E463" s="193"/>
      <c r="F463" s="125"/>
      <c r="G463" s="125"/>
    </row>
    <row r="464" spans="1:8">
      <c r="A464" s="156"/>
      <c r="B464" s="128" t="s">
        <v>1431</v>
      </c>
      <c r="C464" s="114"/>
      <c r="D464" s="115"/>
      <c r="E464" s="194"/>
      <c r="F464" s="105">
        <v>0</v>
      </c>
      <c r="G464" s="105"/>
    </row>
    <row r="465" spans="1:7">
      <c r="A465" s="156"/>
      <c r="B465" s="128"/>
      <c r="C465" s="533" t="s">
        <v>785</v>
      </c>
      <c r="D465" s="533"/>
      <c r="E465" s="533"/>
      <c r="F465" s="125">
        <f>SUM(F464)</f>
        <v>0</v>
      </c>
      <c r="G465" s="125"/>
    </row>
    <row r="466" spans="1:7" ht="26.4">
      <c r="A466" s="77" t="s">
        <v>16</v>
      </c>
      <c r="B466" s="195" t="s">
        <v>200</v>
      </c>
      <c r="C466" s="182"/>
      <c r="D466" s="79"/>
      <c r="E466" s="182"/>
      <c r="F466" s="191"/>
      <c r="G466" s="265"/>
    </row>
    <row r="467" spans="1:7" ht="39.6">
      <c r="A467" s="177" t="s">
        <v>16</v>
      </c>
      <c r="B467" s="175" t="s">
        <v>1432</v>
      </c>
      <c r="C467" s="110"/>
      <c r="D467" s="110"/>
      <c r="E467" s="110"/>
      <c r="F467" s="105"/>
      <c r="G467" s="105"/>
    </row>
    <row r="468" spans="1:7">
      <c r="A468" s="156"/>
      <c r="B468" s="123" t="s">
        <v>947</v>
      </c>
      <c r="C468" s="110">
        <v>1</v>
      </c>
      <c r="D468" s="110">
        <v>4</v>
      </c>
      <c r="E468" s="110">
        <v>2.5</v>
      </c>
      <c r="F468" s="105">
        <f>C468*D468*E468</f>
        <v>10</v>
      </c>
      <c r="G468" s="105"/>
    </row>
    <row r="469" spans="1:7">
      <c r="A469" s="156"/>
      <c r="B469" s="123" t="s">
        <v>818</v>
      </c>
      <c r="C469" s="110"/>
      <c r="D469" s="110"/>
      <c r="E469" s="110"/>
      <c r="F469" s="105">
        <v>0</v>
      </c>
      <c r="G469" s="105"/>
    </row>
    <row r="470" spans="1:7">
      <c r="A470" s="156"/>
      <c r="B470" s="123"/>
      <c r="C470" s="532" t="s">
        <v>785</v>
      </c>
      <c r="D470" s="532"/>
      <c r="E470" s="532"/>
      <c r="F470" s="125">
        <f>SUM(F468:F469)</f>
        <v>10</v>
      </c>
      <c r="G470" s="125"/>
    </row>
    <row r="471" spans="1:7">
      <c r="A471" s="62">
        <v>6</v>
      </c>
      <c r="B471" s="60" t="s">
        <v>205</v>
      </c>
      <c r="C471" s="181"/>
      <c r="D471" s="68"/>
      <c r="E471" s="181"/>
      <c r="F471" s="112"/>
      <c r="G471" s="263"/>
    </row>
    <row r="472" spans="1:7" ht="26.4">
      <c r="A472" s="77" t="s">
        <v>14</v>
      </c>
      <c r="B472" s="195" t="s">
        <v>1345</v>
      </c>
      <c r="C472" s="182"/>
      <c r="D472" s="79"/>
      <c r="E472" s="182"/>
      <c r="F472" s="191"/>
      <c r="G472" s="265"/>
    </row>
    <row r="473" spans="1:7" ht="26.4">
      <c r="A473" s="177" t="s">
        <v>16</v>
      </c>
      <c r="B473" s="175" t="s">
        <v>948</v>
      </c>
      <c r="C473" s="110"/>
      <c r="D473" s="110"/>
      <c r="E473" s="110"/>
      <c r="F473" s="105"/>
      <c r="G473" s="105"/>
    </row>
    <row r="474" spans="1:7">
      <c r="A474" s="156"/>
      <c r="B474" s="123" t="s">
        <v>949</v>
      </c>
      <c r="C474" s="110">
        <v>1</v>
      </c>
      <c r="D474" s="110">
        <v>2</v>
      </c>
      <c r="E474" s="110">
        <v>7</v>
      </c>
      <c r="F474" s="105">
        <f>C474*D474*E474</f>
        <v>14</v>
      </c>
      <c r="G474" s="105"/>
    </row>
    <row r="475" spans="1:7">
      <c r="A475" s="156"/>
      <c r="B475" s="123" t="s">
        <v>914</v>
      </c>
      <c r="C475" s="110">
        <v>1</v>
      </c>
      <c r="D475" s="110">
        <v>3.5</v>
      </c>
      <c r="E475" s="110">
        <v>7</v>
      </c>
      <c r="F475" s="105">
        <f>C475*D475*E475</f>
        <v>24.5</v>
      </c>
      <c r="G475" s="105"/>
    </row>
    <row r="476" spans="1:7">
      <c r="A476" s="156"/>
      <c r="B476" s="123" t="s">
        <v>818</v>
      </c>
      <c r="C476" s="110"/>
      <c r="D476" s="110"/>
      <c r="E476" s="110"/>
      <c r="F476" s="105"/>
      <c r="G476" s="105"/>
    </row>
    <row r="477" spans="1:7">
      <c r="A477" s="156"/>
      <c r="B477" s="123"/>
      <c r="C477" s="532" t="s">
        <v>785</v>
      </c>
      <c r="D477" s="532"/>
      <c r="E477" s="532"/>
      <c r="F477" s="125">
        <f>SUM(F474:F476)</f>
        <v>38.5</v>
      </c>
      <c r="G477" s="125"/>
    </row>
    <row r="478" spans="1:7" ht="26.4">
      <c r="A478" s="77" t="s">
        <v>44</v>
      </c>
      <c r="B478" s="195" t="s">
        <v>1346</v>
      </c>
      <c r="C478" s="182"/>
      <c r="D478" s="79"/>
      <c r="E478" s="182"/>
      <c r="F478" s="191"/>
      <c r="G478" s="265"/>
    </row>
    <row r="479" spans="1:7" ht="26.4">
      <c r="A479" s="177" t="s">
        <v>16</v>
      </c>
      <c r="B479" s="175" t="s">
        <v>950</v>
      </c>
      <c r="C479" s="110"/>
      <c r="D479" s="110"/>
      <c r="E479" s="110"/>
      <c r="F479" s="105"/>
      <c r="G479" s="105"/>
    </row>
    <row r="480" spans="1:7">
      <c r="A480" s="177"/>
      <c r="B480" s="123" t="s">
        <v>951</v>
      </c>
      <c r="C480" s="110">
        <v>1</v>
      </c>
      <c r="D480" s="110">
        <v>9.4</v>
      </c>
      <c r="E480" s="110">
        <v>2.5</v>
      </c>
      <c r="F480" s="105">
        <f>C480*D480*E480</f>
        <v>23.5</v>
      </c>
      <c r="G480" s="105"/>
    </row>
    <row r="481" spans="1:7">
      <c r="A481" s="156"/>
      <c r="B481" s="123" t="s">
        <v>952</v>
      </c>
      <c r="C481" s="110">
        <v>1</v>
      </c>
      <c r="D481" s="110">
        <v>8.76</v>
      </c>
      <c r="E481" s="110">
        <v>1.5</v>
      </c>
      <c r="F481" s="105">
        <f>C481*D481*E481</f>
        <v>13.14</v>
      </c>
      <c r="G481" s="105"/>
    </row>
    <row r="482" spans="1:7">
      <c r="A482" s="156"/>
      <c r="B482" s="123" t="s">
        <v>953</v>
      </c>
      <c r="C482" s="110">
        <v>3</v>
      </c>
      <c r="D482" s="110">
        <v>5.6</v>
      </c>
      <c r="E482" s="110">
        <v>4</v>
      </c>
      <c r="F482" s="105">
        <f>C482*D482*E482</f>
        <v>67.199999999999989</v>
      </c>
      <c r="G482" s="105"/>
    </row>
    <row r="483" spans="1:7">
      <c r="A483" s="156"/>
      <c r="B483" s="123" t="s">
        <v>818</v>
      </c>
      <c r="C483" s="110"/>
      <c r="D483" s="110"/>
      <c r="E483" s="110"/>
      <c r="F483" s="105"/>
      <c r="G483" s="105"/>
    </row>
    <row r="484" spans="1:7">
      <c r="A484" s="156"/>
      <c r="B484" s="123"/>
      <c r="C484" s="532" t="s">
        <v>785</v>
      </c>
      <c r="D484" s="532"/>
      <c r="E484" s="532"/>
      <c r="F484" s="125">
        <f>SUM(F480:F483)</f>
        <v>103.83999999999999</v>
      </c>
      <c r="G484" s="125"/>
    </row>
    <row r="485" spans="1:7" ht="26.4">
      <c r="A485" s="177" t="s">
        <v>21</v>
      </c>
      <c r="B485" s="143" t="s">
        <v>1433</v>
      </c>
      <c r="C485" s="110"/>
      <c r="D485" s="110"/>
      <c r="E485" s="110"/>
      <c r="F485" s="105"/>
      <c r="G485" s="105"/>
    </row>
    <row r="486" spans="1:7">
      <c r="A486" s="156"/>
      <c r="B486" s="123" t="s">
        <v>768</v>
      </c>
      <c r="C486" s="110"/>
      <c r="D486" s="110">
        <v>0</v>
      </c>
      <c r="E486" s="110">
        <v>0</v>
      </c>
      <c r="F486" s="105">
        <f>C486*D486*E486</f>
        <v>0</v>
      </c>
      <c r="G486" s="105"/>
    </row>
    <row r="487" spans="1:7">
      <c r="A487" s="156"/>
      <c r="B487" s="123" t="s">
        <v>818</v>
      </c>
      <c r="C487" s="110"/>
      <c r="D487" s="110"/>
      <c r="E487" s="110"/>
      <c r="F487" s="105">
        <v>0</v>
      </c>
      <c r="G487" s="105"/>
    </row>
    <row r="488" spans="1:7">
      <c r="A488" s="156"/>
      <c r="B488" s="123"/>
      <c r="C488" s="532" t="s">
        <v>785</v>
      </c>
      <c r="D488" s="532"/>
      <c r="E488" s="532"/>
      <c r="F488" s="125">
        <f>SUM(F486:F487)</f>
        <v>0</v>
      </c>
      <c r="G488" s="125"/>
    </row>
    <row r="489" spans="1:7">
      <c r="A489" s="77" t="s">
        <v>46</v>
      </c>
      <c r="B489" s="195" t="s">
        <v>210</v>
      </c>
      <c r="C489" s="182"/>
      <c r="D489" s="79"/>
      <c r="E489" s="182"/>
      <c r="F489" s="191"/>
      <c r="G489" s="265"/>
    </row>
    <row r="490" spans="1:7">
      <c r="A490" s="177" t="s">
        <v>16</v>
      </c>
      <c r="B490" s="143" t="s">
        <v>954</v>
      </c>
      <c r="C490" s="111"/>
      <c r="D490" s="111"/>
      <c r="E490" s="111"/>
      <c r="F490" s="125"/>
      <c r="G490" s="125"/>
    </row>
    <row r="491" spans="1:7">
      <c r="A491" s="156"/>
      <c r="B491" s="123" t="s">
        <v>874</v>
      </c>
      <c r="C491" s="110">
        <v>6</v>
      </c>
      <c r="D491" s="110">
        <v>3</v>
      </c>
      <c r="E491" s="110">
        <v>6.5</v>
      </c>
      <c r="F491" s="105">
        <f>C491*D491*E491</f>
        <v>117</v>
      </c>
      <c r="G491" s="105"/>
    </row>
    <row r="492" spans="1:7">
      <c r="A492" s="156"/>
      <c r="B492" s="123" t="s">
        <v>818</v>
      </c>
      <c r="C492" s="110"/>
      <c r="D492" s="110"/>
      <c r="E492" s="110"/>
      <c r="F492" s="105">
        <v>0</v>
      </c>
      <c r="G492" s="105"/>
    </row>
    <row r="493" spans="1:7">
      <c r="A493" s="156"/>
      <c r="B493" s="123"/>
      <c r="C493" s="532" t="s">
        <v>785</v>
      </c>
      <c r="D493" s="532"/>
      <c r="E493" s="532"/>
      <c r="F493" s="125">
        <f>SUM(F491:F492)</f>
        <v>117</v>
      </c>
      <c r="G493" s="125"/>
    </row>
    <row r="494" spans="1:7">
      <c r="A494" s="62">
        <v>7</v>
      </c>
      <c r="B494" s="60" t="s">
        <v>214</v>
      </c>
      <c r="C494" s="181"/>
      <c r="D494" s="68"/>
      <c r="E494" s="181"/>
      <c r="F494" s="112"/>
      <c r="G494" s="263"/>
    </row>
    <row r="495" spans="1:7">
      <c r="A495" s="177" t="s">
        <v>14</v>
      </c>
      <c r="B495" s="143" t="s">
        <v>955</v>
      </c>
      <c r="C495" s="110"/>
      <c r="D495" s="110"/>
      <c r="E495" s="110"/>
      <c r="F495" s="105"/>
      <c r="G495" s="105"/>
    </row>
    <row r="496" spans="1:7">
      <c r="A496" s="156"/>
      <c r="B496" s="123" t="s">
        <v>768</v>
      </c>
      <c r="C496" s="110">
        <v>1</v>
      </c>
      <c r="D496" s="110">
        <v>15.39</v>
      </c>
      <c r="E496" s="110">
        <v>2.66</v>
      </c>
      <c r="F496" s="105">
        <f>C496*D496*E496</f>
        <v>40.937400000000004</v>
      </c>
      <c r="G496" s="105"/>
    </row>
    <row r="497" spans="1:7">
      <c r="A497" s="156"/>
      <c r="B497" s="123" t="s">
        <v>956</v>
      </c>
      <c r="C497" s="110">
        <v>1</v>
      </c>
      <c r="D497" s="110">
        <v>4.5999999999999996</v>
      </c>
      <c r="E497" s="110">
        <v>2.2999999999999998</v>
      </c>
      <c r="F497" s="105">
        <f>C497*D497*E497</f>
        <v>10.579999999999998</v>
      </c>
      <c r="G497" s="105"/>
    </row>
    <row r="498" spans="1:7">
      <c r="A498" s="156"/>
      <c r="B498" s="123" t="s">
        <v>818</v>
      </c>
      <c r="C498" s="110"/>
      <c r="D498" s="110"/>
      <c r="E498" s="110"/>
      <c r="F498" s="105">
        <f>C498*D498*E498</f>
        <v>0</v>
      </c>
      <c r="G498" s="105"/>
    </row>
    <row r="499" spans="1:7">
      <c r="A499" s="156"/>
      <c r="B499" s="123"/>
      <c r="C499" s="532" t="s">
        <v>785</v>
      </c>
      <c r="D499" s="532"/>
      <c r="E499" s="532"/>
      <c r="F499" s="125">
        <f>SUM(F496:F498)</f>
        <v>51.517400000000002</v>
      </c>
      <c r="G499" s="125"/>
    </row>
    <row r="500" spans="1:7">
      <c r="A500" s="177" t="s">
        <v>46</v>
      </c>
      <c r="B500" s="143" t="s">
        <v>957</v>
      </c>
      <c r="C500" s="110"/>
      <c r="D500" s="110"/>
      <c r="E500" s="110"/>
      <c r="F500" s="105"/>
      <c r="G500" s="105"/>
    </row>
    <row r="501" spans="1:7">
      <c r="A501" s="156"/>
      <c r="B501" s="123" t="s">
        <v>958</v>
      </c>
      <c r="C501" s="110">
        <v>1</v>
      </c>
      <c r="D501" s="110">
        <v>4.5</v>
      </c>
      <c r="E501" s="110">
        <v>7</v>
      </c>
      <c r="F501" s="105">
        <f>C501*D501*E501</f>
        <v>31.5</v>
      </c>
      <c r="G501" s="105"/>
    </row>
    <row r="502" spans="1:7">
      <c r="A502" s="156"/>
      <c r="B502" s="123" t="s">
        <v>818</v>
      </c>
      <c r="C502" s="110"/>
      <c r="D502" s="110"/>
      <c r="E502" s="110"/>
      <c r="F502" s="105">
        <v>0</v>
      </c>
      <c r="G502" s="105"/>
    </row>
    <row r="503" spans="1:7">
      <c r="A503" s="156"/>
      <c r="B503" s="123"/>
      <c r="C503" s="532" t="s">
        <v>785</v>
      </c>
      <c r="D503" s="532"/>
      <c r="E503" s="532"/>
      <c r="F503" s="125">
        <f>SUM(F501:F502)</f>
        <v>31.5</v>
      </c>
      <c r="G503" s="125"/>
    </row>
    <row r="504" spans="1:7">
      <c r="A504" s="62">
        <v>8</v>
      </c>
      <c r="B504" s="60" t="s">
        <v>92</v>
      </c>
      <c r="C504" s="181"/>
      <c r="D504" s="68"/>
      <c r="E504" s="181"/>
      <c r="F504" s="112"/>
      <c r="G504" s="263"/>
    </row>
    <row r="505" spans="1:7">
      <c r="A505" s="77" t="s">
        <v>14</v>
      </c>
      <c r="B505" s="195" t="s">
        <v>216</v>
      </c>
      <c r="C505" s="182"/>
      <c r="D505" s="79"/>
      <c r="E505" s="182"/>
      <c r="F505" s="191"/>
      <c r="G505" s="265"/>
    </row>
    <row r="506" spans="1:7" ht="26.4">
      <c r="A506" s="177" t="s">
        <v>16</v>
      </c>
      <c r="B506" s="196" t="s">
        <v>959</v>
      </c>
      <c r="C506" s="197"/>
      <c r="D506" s="197"/>
      <c r="E506" s="197"/>
      <c r="F506" s="161"/>
      <c r="G506" s="161"/>
    </row>
    <row r="507" spans="1:7">
      <c r="A507" s="177"/>
      <c r="B507" s="198" t="s">
        <v>960</v>
      </c>
      <c r="C507" s="110">
        <v>1</v>
      </c>
      <c r="D507" s="110">
        <v>3</v>
      </c>
      <c r="E507" s="110">
        <v>7.9</v>
      </c>
      <c r="F507" s="105">
        <f>C507*D507*E507</f>
        <v>23.700000000000003</v>
      </c>
      <c r="G507" s="105"/>
    </row>
    <row r="508" spans="1:7">
      <c r="A508" s="177"/>
      <c r="B508" s="198"/>
      <c r="C508" s="110">
        <v>2</v>
      </c>
      <c r="D508" s="110">
        <v>0.8</v>
      </c>
      <c r="E508" s="110">
        <v>7.25</v>
      </c>
      <c r="F508" s="105">
        <f t="shared" ref="F508:F512" si="23">C508*D508*E508</f>
        <v>11.600000000000001</v>
      </c>
      <c r="G508" s="105"/>
    </row>
    <row r="509" spans="1:7">
      <c r="A509" s="177"/>
      <c r="B509" s="198" t="s">
        <v>961</v>
      </c>
      <c r="C509" s="110">
        <v>1</v>
      </c>
      <c r="D509" s="110">
        <v>5.8</v>
      </c>
      <c r="E509" s="110">
        <v>3</v>
      </c>
      <c r="F509" s="105">
        <f t="shared" si="23"/>
        <v>17.399999999999999</v>
      </c>
      <c r="G509" s="105"/>
    </row>
    <row r="510" spans="1:7">
      <c r="A510" s="177"/>
      <c r="B510" s="198"/>
      <c r="C510" s="110">
        <v>1</v>
      </c>
      <c r="D510" s="110">
        <v>0.3</v>
      </c>
      <c r="E510" s="110">
        <v>7</v>
      </c>
      <c r="F510" s="105">
        <f t="shared" si="23"/>
        <v>2.1</v>
      </c>
      <c r="G510" s="105"/>
    </row>
    <row r="511" spans="1:7">
      <c r="A511" s="177"/>
      <c r="B511" s="198" t="s">
        <v>962</v>
      </c>
      <c r="C511" s="110">
        <v>1</v>
      </c>
      <c r="D511" s="110">
        <v>2</v>
      </c>
      <c r="E511" s="110">
        <v>4.5</v>
      </c>
      <c r="F511" s="105">
        <f t="shared" si="23"/>
        <v>9</v>
      </c>
      <c r="G511" s="105"/>
    </row>
    <row r="512" spans="1:7">
      <c r="A512" s="177"/>
      <c r="B512" s="198" t="s">
        <v>963</v>
      </c>
      <c r="C512" s="110">
        <v>1</v>
      </c>
      <c r="D512" s="110">
        <v>24</v>
      </c>
      <c r="E512" s="110">
        <v>2</v>
      </c>
      <c r="F512" s="105">
        <f t="shared" si="23"/>
        <v>48</v>
      </c>
      <c r="G512" s="105"/>
    </row>
    <row r="513" spans="1:7">
      <c r="A513" s="177"/>
      <c r="B513" s="196"/>
      <c r="C513" s="532" t="s">
        <v>785</v>
      </c>
      <c r="D513" s="532"/>
      <c r="E513" s="532"/>
      <c r="F513" s="199">
        <f>SUM(F507:F512)</f>
        <v>111.80000000000001</v>
      </c>
      <c r="G513" s="199"/>
    </row>
    <row r="514" spans="1:7">
      <c r="A514" s="62">
        <v>9</v>
      </c>
      <c r="B514" s="60" t="s">
        <v>218</v>
      </c>
      <c r="C514" s="181"/>
      <c r="D514" s="68"/>
      <c r="E514" s="181"/>
      <c r="F514" s="112"/>
      <c r="G514" s="263"/>
    </row>
    <row r="515" spans="1:7">
      <c r="A515" s="77" t="s">
        <v>14</v>
      </c>
      <c r="B515" s="195" t="s">
        <v>219</v>
      </c>
      <c r="C515" s="182"/>
      <c r="D515" s="79"/>
      <c r="E515" s="182"/>
      <c r="F515" s="191"/>
      <c r="G515" s="265"/>
    </row>
    <row r="516" spans="1:7" ht="26.4">
      <c r="A516" s="279" t="s">
        <v>19</v>
      </c>
      <c r="B516" s="143" t="s">
        <v>1434</v>
      </c>
      <c r="C516" s="111"/>
      <c r="D516" s="111"/>
      <c r="E516" s="111"/>
      <c r="F516" s="125"/>
      <c r="G516" s="125"/>
    </row>
    <row r="517" spans="1:7">
      <c r="A517" s="156"/>
      <c r="B517" s="123" t="s">
        <v>964</v>
      </c>
      <c r="C517" s="127">
        <v>0</v>
      </c>
      <c r="D517" s="127">
        <v>0</v>
      </c>
      <c r="E517" s="127">
        <v>0</v>
      </c>
      <c r="F517" s="105">
        <f>C517*D517*E517</f>
        <v>0</v>
      </c>
      <c r="G517" s="105"/>
    </row>
    <row r="518" spans="1:7">
      <c r="A518" s="156"/>
      <c r="B518" s="123" t="s">
        <v>818</v>
      </c>
      <c r="C518" s="111"/>
      <c r="D518" s="111"/>
      <c r="E518" s="111"/>
      <c r="F518" s="105">
        <v>0</v>
      </c>
      <c r="G518" s="105"/>
    </row>
    <row r="519" spans="1:7">
      <c r="A519" s="156"/>
      <c r="B519" s="123"/>
      <c r="C519" s="532" t="s">
        <v>785</v>
      </c>
      <c r="D519" s="532"/>
      <c r="E519" s="532"/>
      <c r="F519" s="125">
        <f>SUM(F517:F518)</f>
        <v>0</v>
      </c>
      <c r="G519" s="125"/>
    </row>
    <row r="520" spans="1:7">
      <c r="A520" s="62">
        <v>11</v>
      </c>
      <c r="B520" s="60" t="s">
        <v>226</v>
      </c>
      <c r="C520" s="181"/>
      <c r="D520" s="68"/>
      <c r="E520" s="181"/>
      <c r="F520" s="112"/>
      <c r="G520" s="263"/>
    </row>
    <row r="521" spans="1:7" ht="26.4">
      <c r="A521" s="85" t="s">
        <v>14</v>
      </c>
      <c r="B521" s="65" t="s">
        <v>965</v>
      </c>
      <c r="C521" s="110"/>
      <c r="D521" s="110"/>
      <c r="E521" s="110"/>
      <c r="F521" s="105"/>
      <c r="G521" s="105"/>
    </row>
    <row r="522" spans="1:7">
      <c r="A522" s="85"/>
      <c r="B522" s="81" t="s">
        <v>850</v>
      </c>
      <c r="C522" s="110">
        <v>1</v>
      </c>
      <c r="D522" s="110">
        <v>14</v>
      </c>
      <c r="E522" s="110">
        <v>6</v>
      </c>
      <c r="F522" s="105">
        <f>C522*D522*E522</f>
        <v>84</v>
      </c>
      <c r="G522" s="105"/>
    </row>
    <row r="523" spans="1:7">
      <c r="A523" s="85"/>
      <c r="B523" s="81" t="s">
        <v>768</v>
      </c>
      <c r="C523" s="110">
        <v>2</v>
      </c>
      <c r="D523" s="110">
        <v>3.75</v>
      </c>
      <c r="E523" s="110">
        <v>3.75</v>
      </c>
      <c r="F523" s="105">
        <f>C523*D523*E523</f>
        <v>28.125</v>
      </c>
      <c r="G523" s="105"/>
    </row>
    <row r="524" spans="1:7">
      <c r="A524" s="85"/>
      <c r="B524" s="65"/>
      <c r="C524" s="110">
        <v>1</v>
      </c>
      <c r="D524" s="110">
        <v>3.75</v>
      </c>
      <c r="E524" s="110">
        <v>5.79</v>
      </c>
      <c r="F524" s="105">
        <f>C524*D524*E524</f>
        <v>21.712499999999999</v>
      </c>
      <c r="G524" s="105"/>
    </row>
    <row r="525" spans="1:7">
      <c r="A525" s="156"/>
      <c r="B525" s="123"/>
      <c r="C525" s="532" t="s">
        <v>785</v>
      </c>
      <c r="D525" s="532"/>
      <c r="E525" s="532"/>
      <c r="F525" s="125">
        <f>SUM(F522:F524)</f>
        <v>133.83750000000001</v>
      </c>
      <c r="G525" s="125"/>
    </row>
    <row r="526" spans="1:7">
      <c r="A526" s="85" t="s">
        <v>47</v>
      </c>
      <c r="B526" s="65" t="s">
        <v>229</v>
      </c>
      <c r="C526" s="111"/>
      <c r="D526" s="111"/>
      <c r="E526" s="111"/>
      <c r="F526" s="125"/>
      <c r="G526" s="125"/>
    </row>
    <row r="527" spans="1:7">
      <c r="A527" s="156"/>
      <c r="B527" s="123" t="s">
        <v>873</v>
      </c>
      <c r="C527" s="110">
        <v>1</v>
      </c>
      <c r="D527" s="110">
        <v>1.5</v>
      </c>
      <c r="E527" s="110">
        <v>2</v>
      </c>
      <c r="F527" s="105">
        <f>C527*D527*E527</f>
        <v>3</v>
      </c>
      <c r="G527" s="105"/>
    </row>
    <row r="528" spans="1:7">
      <c r="A528" s="156"/>
      <c r="B528" s="123" t="s">
        <v>871</v>
      </c>
      <c r="C528" s="110">
        <v>1</v>
      </c>
      <c r="D528" s="110">
        <v>1.5</v>
      </c>
      <c r="E528" s="110">
        <v>1.5</v>
      </c>
      <c r="F528" s="105">
        <f>C528*D528*E528</f>
        <v>2.25</v>
      </c>
      <c r="G528" s="105"/>
    </row>
    <row r="529" spans="1:7">
      <c r="A529" s="156"/>
      <c r="B529" s="123"/>
      <c r="C529" s="110">
        <v>1</v>
      </c>
      <c r="D529" s="110">
        <v>1.5</v>
      </c>
      <c r="E529" s="110">
        <v>2.25</v>
      </c>
      <c r="F529" s="105">
        <f>C529*D529*E529</f>
        <v>3.375</v>
      </c>
      <c r="G529" s="105"/>
    </row>
    <row r="530" spans="1:7">
      <c r="A530" s="156"/>
      <c r="B530" s="123"/>
      <c r="C530" s="532" t="s">
        <v>785</v>
      </c>
      <c r="D530" s="532"/>
      <c r="E530" s="532"/>
      <c r="F530" s="125">
        <f>SUM(F527:F529)</f>
        <v>8.625</v>
      </c>
      <c r="G530" s="125"/>
    </row>
    <row r="531" spans="1:7">
      <c r="A531" s="156"/>
      <c r="B531" s="123"/>
      <c r="C531" s="111"/>
      <c r="D531" s="111"/>
      <c r="E531" s="111"/>
      <c r="F531" s="125"/>
      <c r="G531" s="125"/>
    </row>
    <row r="532" spans="1:7">
      <c r="A532" s="62">
        <v>12</v>
      </c>
      <c r="B532" s="60" t="s">
        <v>230</v>
      </c>
      <c r="C532" s="181"/>
      <c r="D532" s="68"/>
      <c r="E532" s="181"/>
      <c r="F532" s="112"/>
      <c r="G532" s="263"/>
    </row>
    <row r="533" spans="1:7">
      <c r="A533" s="77" t="s">
        <v>14</v>
      </c>
      <c r="B533" s="195" t="s">
        <v>231</v>
      </c>
      <c r="C533" s="182"/>
      <c r="D533" s="79"/>
      <c r="E533" s="182"/>
      <c r="F533" s="191"/>
      <c r="G533" s="265"/>
    </row>
    <row r="534" spans="1:7">
      <c r="A534" s="177" t="s">
        <v>16</v>
      </c>
      <c r="B534" s="143" t="s">
        <v>966</v>
      </c>
      <c r="C534" s="200"/>
      <c r="D534" s="200"/>
      <c r="E534" s="200"/>
      <c r="F534" s="125"/>
      <c r="G534" s="125"/>
    </row>
    <row r="535" spans="1:7">
      <c r="A535" s="156"/>
      <c r="B535" s="123" t="s">
        <v>947</v>
      </c>
      <c r="C535" s="110">
        <v>1</v>
      </c>
      <c r="D535" s="110">
        <v>30</v>
      </c>
      <c r="E535" s="110">
        <v>1.5</v>
      </c>
      <c r="F535" s="105">
        <f>C535*D535*E535</f>
        <v>45</v>
      </c>
      <c r="G535" s="105"/>
    </row>
    <row r="536" spans="1:7">
      <c r="A536" s="156"/>
      <c r="B536" s="123" t="s">
        <v>944</v>
      </c>
      <c r="C536" s="110">
        <v>1</v>
      </c>
      <c r="D536" s="110">
        <v>18</v>
      </c>
      <c r="E536" s="110">
        <v>1.5</v>
      </c>
      <c r="F536" s="105">
        <f>C536*D536*E536</f>
        <v>27</v>
      </c>
      <c r="G536" s="105"/>
    </row>
    <row r="537" spans="1:7">
      <c r="A537" s="156"/>
      <c r="B537" s="123" t="s">
        <v>818</v>
      </c>
      <c r="C537" s="110"/>
      <c r="D537" s="110"/>
      <c r="E537" s="110"/>
      <c r="F537" s="105">
        <f>C537*D537*E537</f>
        <v>0</v>
      </c>
      <c r="G537" s="105"/>
    </row>
    <row r="538" spans="1:7">
      <c r="A538" s="156"/>
      <c r="B538" s="123"/>
      <c r="C538" s="532" t="s">
        <v>785</v>
      </c>
      <c r="D538" s="532"/>
      <c r="E538" s="532"/>
      <c r="F538" s="125">
        <f>SUM(F535:F537)</f>
        <v>72</v>
      </c>
      <c r="G538" s="125"/>
    </row>
    <row r="539" spans="1:7">
      <c r="A539" s="77" t="s">
        <v>44</v>
      </c>
      <c r="B539" s="195" t="s">
        <v>232</v>
      </c>
      <c r="C539" s="182"/>
      <c r="D539" s="79"/>
      <c r="E539" s="182"/>
      <c r="F539" s="191"/>
      <c r="G539" s="265"/>
    </row>
    <row r="540" spans="1:7">
      <c r="A540" s="177" t="s">
        <v>21</v>
      </c>
      <c r="B540" s="201" t="s">
        <v>967</v>
      </c>
      <c r="C540" s="110"/>
      <c r="D540" s="110"/>
      <c r="E540" s="110"/>
      <c r="F540" s="105"/>
      <c r="G540" s="105"/>
    </row>
    <row r="541" spans="1:7">
      <c r="A541" s="156"/>
      <c r="B541" s="123" t="s">
        <v>862</v>
      </c>
      <c r="C541" s="110"/>
      <c r="D541" s="110"/>
      <c r="E541" s="110"/>
      <c r="F541" s="105"/>
      <c r="G541" s="105"/>
    </row>
    <row r="542" spans="1:7">
      <c r="A542" s="156"/>
      <c r="B542" s="123" t="s">
        <v>944</v>
      </c>
      <c r="C542" s="110"/>
      <c r="D542" s="110"/>
      <c r="E542" s="110"/>
      <c r="F542" s="105"/>
      <c r="G542" s="105"/>
    </row>
    <row r="543" spans="1:7">
      <c r="A543" s="156"/>
      <c r="B543" s="123"/>
      <c r="C543" s="532" t="s">
        <v>785</v>
      </c>
      <c r="D543" s="532"/>
      <c r="E543" s="532"/>
      <c r="F543" s="125">
        <f>SUM(F541:F542)</f>
        <v>0</v>
      </c>
      <c r="G543" s="125"/>
    </row>
    <row r="544" spans="1:7">
      <c r="A544" s="77" t="s">
        <v>46</v>
      </c>
      <c r="B544" s="195" t="s">
        <v>234</v>
      </c>
      <c r="C544" s="182"/>
      <c r="D544" s="79"/>
      <c r="E544" s="182"/>
      <c r="F544" s="191"/>
      <c r="G544" s="265"/>
    </row>
    <row r="545" spans="1:7">
      <c r="A545" s="177" t="s">
        <v>19</v>
      </c>
      <c r="B545" s="143" t="s">
        <v>968</v>
      </c>
      <c r="C545" s="111"/>
      <c r="D545" s="111"/>
      <c r="E545" s="111"/>
      <c r="F545" s="125"/>
      <c r="G545" s="125"/>
    </row>
    <row r="546" spans="1:7">
      <c r="A546" s="156"/>
      <c r="B546" s="123" t="s">
        <v>969</v>
      </c>
      <c r="C546" s="111">
        <v>1</v>
      </c>
      <c r="D546" s="110">
        <v>22.77</v>
      </c>
      <c r="E546" s="110">
        <v>4.3499999999999996</v>
      </c>
      <c r="F546" s="105">
        <f>C546*D546*E546</f>
        <v>99.049499999999995</v>
      </c>
      <c r="G546" s="105"/>
    </row>
    <row r="547" spans="1:7">
      <c r="A547" s="156"/>
      <c r="B547" s="123" t="s">
        <v>970</v>
      </c>
      <c r="C547" s="111">
        <v>1</v>
      </c>
      <c r="D547" s="110">
        <v>5.6</v>
      </c>
      <c r="E547" s="110">
        <v>2.85</v>
      </c>
      <c r="F547" s="105">
        <f t="shared" ref="F547:F552" si="24">C547*D547*E547</f>
        <v>15.959999999999999</v>
      </c>
      <c r="G547" s="105"/>
    </row>
    <row r="548" spans="1:7">
      <c r="A548" s="156"/>
      <c r="B548" s="123" t="s">
        <v>862</v>
      </c>
      <c r="C548" s="111">
        <v>1</v>
      </c>
      <c r="D548" s="110">
        <v>3.13</v>
      </c>
      <c r="E548" s="110">
        <v>3.62</v>
      </c>
      <c r="F548" s="105">
        <f t="shared" si="24"/>
        <v>11.3306</v>
      </c>
      <c r="G548" s="105"/>
    </row>
    <row r="549" spans="1:7">
      <c r="A549" s="156"/>
      <c r="B549" s="123"/>
      <c r="C549" s="111">
        <v>1</v>
      </c>
      <c r="D549" s="110">
        <v>3.59</v>
      </c>
      <c r="E549" s="110">
        <v>5.65</v>
      </c>
      <c r="F549" s="105">
        <f t="shared" si="24"/>
        <v>20.2835</v>
      </c>
      <c r="G549" s="105"/>
    </row>
    <row r="550" spans="1:7">
      <c r="A550" s="156"/>
      <c r="B550" s="123" t="s">
        <v>768</v>
      </c>
      <c r="C550" s="111">
        <v>1</v>
      </c>
      <c r="D550" s="110">
        <v>5.78</v>
      </c>
      <c r="E550" s="110">
        <v>3.75</v>
      </c>
      <c r="F550" s="105">
        <f t="shared" si="24"/>
        <v>21.675000000000001</v>
      </c>
      <c r="G550" s="105"/>
    </row>
    <row r="551" spans="1:7">
      <c r="A551" s="156"/>
      <c r="B551" s="123"/>
      <c r="C551" s="111">
        <v>1</v>
      </c>
      <c r="D551" s="110">
        <v>3.71</v>
      </c>
      <c r="E551" s="110">
        <v>3.69</v>
      </c>
      <c r="F551" s="105">
        <f t="shared" si="24"/>
        <v>13.6899</v>
      </c>
      <c r="G551" s="105"/>
    </row>
    <row r="552" spans="1:7">
      <c r="A552" s="156"/>
      <c r="B552" s="123"/>
      <c r="C552" s="111">
        <v>1</v>
      </c>
      <c r="D552" s="110">
        <v>3.76</v>
      </c>
      <c r="E552" s="110">
        <v>5.3</v>
      </c>
      <c r="F552" s="105">
        <f t="shared" si="24"/>
        <v>19.927999999999997</v>
      </c>
      <c r="G552" s="105"/>
    </row>
    <row r="553" spans="1:7">
      <c r="A553" s="156"/>
      <c r="B553" s="123"/>
      <c r="C553" s="532" t="s">
        <v>785</v>
      </c>
      <c r="D553" s="532"/>
      <c r="E553" s="532"/>
      <c r="F553" s="125">
        <f>SUM(F546:F552)</f>
        <v>201.91649999999998</v>
      </c>
      <c r="G553" s="125"/>
    </row>
    <row r="554" spans="1:7">
      <c r="A554" s="77" t="s">
        <v>47</v>
      </c>
      <c r="B554" s="195" t="s">
        <v>237</v>
      </c>
      <c r="C554" s="182"/>
      <c r="D554" s="79"/>
      <c r="E554" s="182"/>
      <c r="F554" s="191"/>
      <c r="G554" s="265"/>
    </row>
    <row r="555" spans="1:7" ht="26.4">
      <c r="A555" s="177" t="s">
        <v>19</v>
      </c>
      <c r="B555" s="143" t="s">
        <v>971</v>
      </c>
      <c r="C555" s="110"/>
      <c r="D555" s="110"/>
      <c r="E555" s="110"/>
      <c r="F555" s="105"/>
      <c r="G555" s="105"/>
    </row>
    <row r="556" spans="1:7">
      <c r="A556" s="156"/>
      <c r="B556" s="187" t="s">
        <v>769</v>
      </c>
      <c r="C556" s="110">
        <v>1</v>
      </c>
      <c r="D556" s="115">
        <v>11.39</v>
      </c>
      <c r="E556" s="122">
        <v>5</v>
      </c>
      <c r="F556" s="105">
        <f>C556*D556*E556</f>
        <v>56.95</v>
      </c>
      <c r="G556" s="105"/>
    </row>
    <row r="557" spans="1:7">
      <c r="A557" s="156"/>
      <c r="B557" s="187"/>
      <c r="C557" s="110">
        <v>1</v>
      </c>
      <c r="D557" s="115">
        <v>13.11</v>
      </c>
      <c r="E557" s="122">
        <v>5</v>
      </c>
      <c r="F557" s="105">
        <f t="shared" ref="F557:F563" si="25">C557*D557*E557</f>
        <v>65.55</v>
      </c>
      <c r="G557" s="105" t="s">
        <v>1480</v>
      </c>
    </row>
    <row r="558" spans="1:7">
      <c r="A558" s="156"/>
      <c r="B558" s="123" t="s">
        <v>825</v>
      </c>
      <c r="C558" s="110">
        <v>1</v>
      </c>
      <c r="D558" s="110">
        <v>14.92</v>
      </c>
      <c r="E558" s="122">
        <v>5</v>
      </c>
      <c r="F558" s="105">
        <f t="shared" si="25"/>
        <v>74.599999999999994</v>
      </c>
      <c r="G558" s="105"/>
    </row>
    <row r="559" spans="1:7">
      <c r="A559" s="156"/>
      <c r="B559" s="123"/>
      <c r="C559" s="110">
        <v>1</v>
      </c>
      <c r="D559" s="110">
        <v>3</v>
      </c>
      <c r="E559" s="122">
        <v>5</v>
      </c>
      <c r="F559" s="105">
        <f t="shared" si="25"/>
        <v>15</v>
      </c>
      <c r="G559" s="105"/>
    </row>
    <row r="560" spans="1:7">
      <c r="A560" s="156"/>
      <c r="B560" s="123" t="s">
        <v>924</v>
      </c>
      <c r="C560" s="110">
        <v>1</v>
      </c>
      <c r="D560" s="110">
        <v>0.5</v>
      </c>
      <c r="E560" s="122">
        <v>5</v>
      </c>
      <c r="F560" s="105">
        <f t="shared" si="25"/>
        <v>2.5</v>
      </c>
      <c r="G560" s="105"/>
    </row>
    <row r="561" spans="1:7">
      <c r="A561" s="156"/>
      <c r="B561" s="123" t="s">
        <v>925</v>
      </c>
      <c r="C561" s="110">
        <v>1</v>
      </c>
      <c r="D561" s="110">
        <v>36.04</v>
      </c>
      <c r="E561" s="122">
        <v>4.08</v>
      </c>
      <c r="F561" s="105">
        <f t="shared" si="25"/>
        <v>147.04320000000001</v>
      </c>
      <c r="G561" s="105"/>
    </row>
    <row r="562" spans="1:7">
      <c r="A562" s="156"/>
      <c r="B562" s="123" t="s">
        <v>926</v>
      </c>
      <c r="C562" s="110">
        <v>1</v>
      </c>
      <c r="D562" s="110">
        <v>22.76</v>
      </c>
      <c r="E562" s="122">
        <v>4.08</v>
      </c>
      <c r="F562" s="105">
        <f t="shared" si="25"/>
        <v>92.860800000000012</v>
      </c>
      <c r="G562" s="105"/>
    </row>
    <row r="563" spans="1:7">
      <c r="A563" s="156"/>
      <c r="B563" s="123" t="s">
        <v>972</v>
      </c>
      <c r="C563" s="110">
        <v>2</v>
      </c>
      <c r="D563" s="110">
        <v>3.5</v>
      </c>
      <c r="E563" s="110">
        <v>5</v>
      </c>
      <c r="F563" s="105">
        <f t="shared" si="25"/>
        <v>35</v>
      </c>
      <c r="G563" s="105"/>
    </row>
    <row r="564" spans="1:7">
      <c r="A564" s="156"/>
      <c r="B564" s="123"/>
      <c r="C564" s="532" t="s">
        <v>785</v>
      </c>
      <c r="D564" s="532"/>
      <c r="E564" s="532"/>
      <c r="F564" s="125">
        <f>SUM(F556:F563)</f>
        <v>489.50400000000002</v>
      </c>
      <c r="G564" s="125"/>
    </row>
    <row r="565" spans="1:7">
      <c r="A565" s="77" t="s">
        <v>50</v>
      </c>
      <c r="B565" s="195" t="s">
        <v>241</v>
      </c>
      <c r="C565" s="182"/>
      <c r="D565" s="79"/>
      <c r="E565" s="182"/>
      <c r="F565" s="191"/>
      <c r="G565" s="265"/>
    </row>
    <row r="566" spans="1:7">
      <c r="A566" s="177" t="s">
        <v>16</v>
      </c>
      <c r="B566" s="143" t="s">
        <v>973</v>
      </c>
      <c r="C566" s="110"/>
      <c r="D566" s="110"/>
      <c r="E566" s="110"/>
      <c r="F566" s="105"/>
      <c r="G566" s="105"/>
    </row>
    <row r="567" spans="1:7">
      <c r="A567" s="156"/>
      <c r="B567" s="123" t="s">
        <v>871</v>
      </c>
      <c r="C567" s="110">
        <v>1</v>
      </c>
      <c r="D567" s="110">
        <v>2</v>
      </c>
      <c r="E567" s="110">
        <v>3</v>
      </c>
      <c r="F567" s="105">
        <f>C567*D567*E567</f>
        <v>6</v>
      </c>
      <c r="G567" s="105" t="s">
        <v>1471</v>
      </c>
    </row>
    <row r="568" spans="1:7">
      <c r="A568" s="156"/>
      <c r="B568" s="123" t="s">
        <v>873</v>
      </c>
      <c r="C568" s="110">
        <v>1</v>
      </c>
      <c r="D568" s="110">
        <v>2</v>
      </c>
      <c r="E568" s="110">
        <v>3</v>
      </c>
      <c r="F568" s="105">
        <f>C568*D568*E568</f>
        <v>6</v>
      </c>
      <c r="G568" s="105"/>
    </row>
    <row r="569" spans="1:7">
      <c r="A569" s="156"/>
      <c r="B569" s="123" t="s">
        <v>818</v>
      </c>
      <c r="C569" s="110"/>
      <c r="D569" s="110"/>
      <c r="E569" s="110"/>
      <c r="F569" s="105"/>
      <c r="G569" s="105"/>
    </row>
    <row r="570" spans="1:7">
      <c r="A570" s="156"/>
      <c r="B570" s="123"/>
      <c r="C570" s="532" t="s">
        <v>785</v>
      </c>
      <c r="D570" s="532"/>
      <c r="E570" s="532"/>
      <c r="F570" s="125">
        <f>SUM(F567:F569)</f>
        <v>12</v>
      </c>
      <c r="G570" s="125"/>
    </row>
    <row r="571" spans="1:7">
      <c r="A571" s="77" t="s">
        <v>85</v>
      </c>
      <c r="B571" s="195" t="s">
        <v>246</v>
      </c>
      <c r="C571" s="182"/>
      <c r="D571" s="79"/>
      <c r="E571" s="182"/>
      <c r="F571" s="191"/>
      <c r="G571" s="265"/>
    </row>
    <row r="572" spans="1:7" ht="52.8">
      <c r="A572" s="85" t="s">
        <v>16</v>
      </c>
      <c r="B572" s="175" t="s">
        <v>1435</v>
      </c>
      <c r="C572" s="110"/>
      <c r="D572" s="110"/>
      <c r="E572" s="110"/>
      <c r="F572" s="161">
        <v>0</v>
      </c>
      <c r="G572" s="161"/>
    </row>
    <row r="573" spans="1:7">
      <c r="A573" s="77" t="s">
        <v>55</v>
      </c>
      <c r="B573" s="195" t="s">
        <v>248</v>
      </c>
      <c r="C573" s="182"/>
      <c r="D573" s="79"/>
      <c r="E573" s="182"/>
      <c r="F573" s="191"/>
      <c r="G573" s="265"/>
    </row>
    <row r="574" spans="1:7">
      <c r="A574" s="177" t="s">
        <v>16</v>
      </c>
      <c r="B574" s="143" t="s">
        <v>974</v>
      </c>
      <c r="C574" s="110"/>
      <c r="D574" s="110"/>
      <c r="E574" s="110"/>
      <c r="F574" s="161"/>
      <c r="G574" s="161"/>
    </row>
    <row r="575" spans="1:7">
      <c r="A575" s="156"/>
      <c r="B575" s="123" t="s">
        <v>975</v>
      </c>
      <c r="C575" s="110"/>
      <c r="D575" s="110"/>
      <c r="E575" s="110"/>
      <c r="F575" s="105">
        <v>12</v>
      </c>
      <c r="G575" s="105"/>
    </row>
    <row r="576" spans="1:7">
      <c r="A576" s="156"/>
      <c r="B576" s="123"/>
      <c r="C576" s="532" t="s">
        <v>785</v>
      </c>
      <c r="D576" s="532"/>
      <c r="E576" s="532"/>
      <c r="F576" s="125">
        <f>SUM(F575)</f>
        <v>12</v>
      </c>
      <c r="G576" s="125"/>
    </row>
    <row r="577" spans="1:7">
      <c r="A577" s="77" t="s">
        <v>136</v>
      </c>
      <c r="B577" s="195" t="s">
        <v>257</v>
      </c>
      <c r="C577" s="182"/>
      <c r="D577" s="79"/>
      <c r="E577" s="182"/>
      <c r="F577" s="191"/>
      <c r="G577" s="265"/>
    </row>
    <row r="578" spans="1:7">
      <c r="A578" s="177" t="s">
        <v>16</v>
      </c>
      <c r="B578" s="143" t="s">
        <v>976</v>
      </c>
      <c r="C578" s="110"/>
      <c r="D578" s="110"/>
      <c r="E578" s="110"/>
      <c r="F578" s="161">
        <v>1</v>
      </c>
      <c r="G578" s="161"/>
    </row>
    <row r="579" spans="1:7" ht="26.4">
      <c r="A579" s="77" t="s">
        <v>259</v>
      </c>
      <c r="B579" s="195" t="s">
        <v>260</v>
      </c>
      <c r="C579" s="182"/>
      <c r="D579" s="79"/>
      <c r="E579" s="182"/>
      <c r="F579" s="191"/>
      <c r="G579" s="265"/>
    </row>
    <row r="580" spans="1:7">
      <c r="A580" s="280" t="s">
        <v>16</v>
      </c>
      <c r="B580" s="75" t="s">
        <v>1366</v>
      </c>
      <c r="C580" s="110"/>
      <c r="D580" s="110"/>
      <c r="E580" s="110"/>
      <c r="F580" s="161">
        <v>1</v>
      </c>
      <c r="G580" s="161"/>
    </row>
    <row r="581" spans="1:7">
      <c r="A581" s="77" t="s">
        <v>261</v>
      </c>
      <c r="B581" s="195" t="s">
        <v>262</v>
      </c>
      <c r="C581" s="182"/>
      <c r="D581" s="79"/>
      <c r="E581" s="182"/>
      <c r="F581" s="191"/>
      <c r="G581" s="265"/>
    </row>
    <row r="582" spans="1:7">
      <c r="A582" s="177" t="s">
        <v>16</v>
      </c>
      <c r="B582" s="143" t="s">
        <v>263</v>
      </c>
      <c r="C582" s="110"/>
      <c r="D582" s="110"/>
      <c r="E582" s="110"/>
      <c r="F582" s="161"/>
      <c r="G582" s="161"/>
    </row>
    <row r="583" spans="1:7" ht="26.4">
      <c r="A583" s="177" t="s">
        <v>19</v>
      </c>
      <c r="B583" s="143" t="s">
        <v>264</v>
      </c>
      <c r="C583" s="110"/>
      <c r="D583" s="110"/>
      <c r="E583" s="110"/>
      <c r="F583" s="161">
        <v>0</v>
      </c>
      <c r="G583" s="161"/>
    </row>
    <row r="584" spans="1:7">
      <c r="A584" s="177" t="s">
        <v>25</v>
      </c>
      <c r="B584" s="143" t="s">
        <v>977</v>
      </c>
      <c r="C584" s="110"/>
      <c r="D584" s="110"/>
      <c r="E584" s="110"/>
      <c r="F584" s="161">
        <v>1</v>
      </c>
      <c r="G584" s="161"/>
    </row>
    <row r="585" spans="1:7">
      <c r="A585" s="85" t="s">
        <v>32</v>
      </c>
      <c r="B585" s="65" t="s">
        <v>978</v>
      </c>
      <c r="C585" s="110"/>
      <c r="D585" s="110"/>
      <c r="E585" s="110"/>
      <c r="F585" s="161"/>
      <c r="G585" s="161"/>
    </row>
    <row r="586" spans="1:7">
      <c r="A586" s="85"/>
      <c r="B586" s="202" t="s">
        <v>768</v>
      </c>
      <c r="C586" s="203"/>
      <c r="D586" s="203"/>
      <c r="E586" s="203"/>
      <c r="F586" s="161">
        <f>5.3*2</f>
        <v>10.6</v>
      </c>
      <c r="G586" s="204"/>
    </row>
    <row r="587" spans="1:7">
      <c r="A587" s="85"/>
      <c r="B587" s="202" t="s">
        <v>871</v>
      </c>
      <c r="C587" s="203"/>
      <c r="D587" s="203"/>
      <c r="E587" s="203"/>
      <c r="F587" s="161">
        <f>7.87*2</f>
        <v>15.74</v>
      </c>
      <c r="G587" s="204"/>
    </row>
    <row r="588" spans="1:7">
      <c r="A588" s="85"/>
      <c r="B588" s="202" t="s">
        <v>873</v>
      </c>
      <c r="C588" s="203"/>
      <c r="D588" s="203"/>
      <c r="E588" s="203"/>
      <c r="F588" s="161">
        <v>8</v>
      </c>
      <c r="G588" s="204"/>
    </row>
    <row r="589" spans="1:7">
      <c r="A589" s="85"/>
      <c r="B589" s="202" t="s">
        <v>1472</v>
      </c>
      <c r="C589" s="203"/>
      <c r="D589" s="203"/>
      <c r="E589" s="203"/>
      <c r="F589" s="161">
        <f>8*9</f>
        <v>72</v>
      </c>
      <c r="G589" s="204"/>
    </row>
    <row r="590" spans="1:7">
      <c r="A590" s="85"/>
      <c r="B590" s="202" t="s">
        <v>1473</v>
      </c>
      <c r="C590" s="203"/>
      <c r="D590" s="203"/>
      <c r="E590" s="203"/>
      <c r="F590" s="161">
        <f>11.39+13.11</f>
        <v>24.5</v>
      </c>
      <c r="G590" s="204"/>
    </row>
    <row r="591" spans="1:7">
      <c r="A591" s="85"/>
      <c r="B591" s="202" t="s">
        <v>1474</v>
      </c>
      <c r="C591" s="203"/>
      <c r="D591" s="203"/>
      <c r="E591" s="203"/>
      <c r="F591" s="161">
        <f>3.63+3.63+3.2+3.2+5.65+5.65+3.59+3.59</f>
        <v>32.14</v>
      </c>
      <c r="G591" s="204"/>
    </row>
    <row r="592" spans="1:7">
      <c r="A592" s="85"/>
      <c r="B592" s="202" t="s">
        <v>944</v>
      </c>
      <c r="C592" s="203"/>
      <c r="D592" s="203"/>
      <c r="E592" s="203"/>
      <c r="F592" s="161">
        <f>8.35+8.35+8.35+8.35+7+10+11</f>
        <v>61.4</v>
      </c>
      <c r="G592" s="204"/>
    </row>
    <row r="593" spans="1:7">
      <c r="A593" s="85"/>
      <c r="B593" s="202" t="s">
        <v>979</v>
      </c>
      <c r="C593" s="203"/>
      <c r="D593" s="203"/>
      <c r="E593" s="203"/>
      <c r="F593" s="161">
        <f>8.3*26+7+7+3.5+10+11+14+2.5+31+31+30+30</f>
        <v>392.8</v>
      </c>
      <c r="G593" s="204"/>
    </row>
    <row r="594" spans="1:7">
      <c r="A594" s="85"/>
      <c r="B594" s="81"/>
      <c r="C594" s="532" t="s">
        <v>785</v>
      </c>
      <c r="D594" s="532"/>
      <c r="E594" s="532"/>
      <c r="F594" s="161">
        <f>SUM(F586:F593)</f>
        <v>617.18000000000006</v>
      </c>
      <c r="G594" s="161"/>
    </row>
    <row r="595" spans="1:7" ht="26.4">
      <c r="A595" s="177" t="s">
        <v>272</v>
      </c>
      <c r="B595" s="143" t="s">
        <v>1436</v>
      </c>
      <c r="C595" s="110"/>
      <c r="D595" s="110"/>
      <c r="E595" s="110"/>
      <c r="F595" s="161">
        <v>2</v>
      </c>
      <c r="G595" s="161"/>
    </row>
    <row r="596" spans="1:7" ht="52.8">
      <c r="A596" s="177" t="s">
        <v>36</v>
      </c>
      <c r="B596" s="143" t="s">
        <v>273</v>
      </c>
      <c r="C596" s="110"/>
      <c r="D596" s="110"/>
      <c r="E596" s="110"/>
      <c r="F596" s="161">
        <v>18</v>
      </c>
      <c r="G596" s="161" t="s">
        <v>1475</v>
      </c>
    </row>
    <row r="597" spans="1:7" ht="52.8">
      <c r="A597" s="205" t="s">
        <v>38</v>
      </c>
      <c r="B597" s="143" t="s">
        <v>274</v>
      </c>
      <c r="C597" s="110"/>
      <c r="D597" s="110"/>
      <c r="E597" s="110"/>
      <c r="F597" s="161">
        <v>3</v>
      </c>
      <c r="G597" s="161" t="s">
        <v>1475</v>
      </c>
    </row>
    <row r="598" spans="1:7" ht="39.6">
      <c r="A598" s="205" t="s">
        <v>276</v>
      </c>
      <c r="B598" s="131" t="s">
        <v>1370</v>
      </c>
      <c r="C598" s="110"/>
      <c r="D598" s="110"/>
      <c r="E598" s="110"/>
      <c r="F598" s="105"/>
      <c r="G598" s="105"/>
    </row>
    <row r="599" spans="1:7">
      <c r="A599" s="156"/>
      <c r="B599" s="123" t="s">
        <v>980</v>
      </c>
      <c r="C599" s="110">
        <v>0</v>
      </c>
      <c r="D599" s="110">
        <v>0</v>
      </c>
      <c r="E599" s="110">
        <v>0</v>
      </c>
      <c r="F599" s="105">
        <f>C599*D599*E599</f>
        <v>0</v>
      </c>
      <c r="G599" s="105"/>
    </row>
    <row r="600" spans="1:7">
      <c r="A600" s="156"/>
      <c r="B600" s="123" t="s">
        <v>944</v>
      </c>
      <c r="C600" s="110">
        <v>0</v>
      </c>
      <c r="D600" s="110">
        <v>0</v>
      </c>
      <c r="E600" s="110">
        <v>0</v>
      </c>
      <c r="F600" s="105">
        <f>C600*D600*E600</f>
        <v>0</v>
      </c>
      <c r="G600" s="105"/>
    </row>
    <row r="601" spans="1:7">
      <c r="A601" s="156"/>
      <c r="B601" s="123" t="s">
        <v>818</v>
      </c>
      <c r="C601" s="169"/>
      <c r="D601" s="169"/>
      <c r="E601" s="169"/>
      <c r="F601" s="105">
        <v>0</v>
      </c>
      <c r="G601" s="105"/>
    </row>
    <row r="602" spans="1:7">
      <c r="A602" s="156"/>
      <c r="B602" s="123"/>
      <c r="C602" s="532" t="s">
        <v>785</v>
      </c>
      <c r="D602" s="532"/>
      <c r="E602" s="532"/>
      <c r="F602" s="125">
        <f>SUM(F599:F601)</f>
        <v>0</v>
      </c>
      <c r="G602" s="125"/>
    </row>
    <row r="603" spans="1:7">
      <c r="A603" s="83" t="s">
        <v>5</v>
      </c>
      <c r="B603" s="58" t="s">
        <v>6</v>
      </c>
      <c r="C603" s="180"/>
      <c r="D603" s="84"/>
      <c r="E603" s="180"/>
      <c r="F603" s="100"/>
      <c r="G603" s="259"/>
    </row>
    <row r="604" spans="1:7">
      <c r="A604" s="62" t="s">
        <v>14</v>
      </c>
      <c r="B604" s="60" t="s">
        <v>281</v>
      </c>
      <c r="C604" s="181"/>
      <c r="D604" s="68"/>
      <c r="E604" s="181"/>
      <c r="F604" s="112"/>
      <c r="G604" s="263"/>
    </row>
    <row r="605" spans="1:7" ht="26.4">
      <c r="A605" s="177" t="s">
        <v>16</v>
      </c>
      <c r="B605" s="143" t="s">
        <v>981</v>
      </c>
      <c r="C605" s="110"/>
      <c r="D605" s="110"/>
      <c r="E605" s="110"/>
      <c r="F605" s="105"/>
      <c r="G605" s="105"/>
    </row>
    <row r="606" spans="1:7">
      <c r="A606" s="156"/>
      <c r="B606" s="123" t="s">
        <v>982</v>
      </c>
      <c r="C606" s="110">
        <v>1</v>
      </c>
      <c r="D606" s="110">
        <v>1</v>
      </c>
      <c r="E606" s="110">
        <f>F324</f>
        <v>1047.1893</v>
      </c>
      <c r="F606" s="105">
        <f>C606*D606*E606</f>
        <v>1047.1893</v>
      </c>
      <c r="G606" s="105"/>
    </row>
    <row r="607" spans="1:7">
      <c r="A607" s="156"/>
      <c r="B607" s="123" t="s">
        <v>818</v>
      </c>
      <c r="C607" s="110"/>
      <c r="D607" s="110"/>
      <c r="E607" s="110"/>
      <c r="F607" s="105">
        <v>0</v>
      </c>
      <c r="G607" s="105"/>
    </row>
    <row r="608" spans="1:7">
      <c r="A608" s="156"/>
      <c r="B608" s="123"/>
      <c r="C608" s="532" t="s">
        <v>785</v>
      </c>
      <c r="D608" s="532"/>
      <c r="E608" s="532"/>
      <c r="F608" s="125">
        <f>SUM(F606:F607)</f>
        <v>1047.1893</v>
      </c>
      <c r="G608" s="125"/>
    </row>
    <row r="609" spans="1:7">
      <c r="A609" s="62" t="s">
        <v>44</v>
      </c>
      <c r="B609" s="60" t="s">
        <v>282</v>
      </c>
      <c r="C609" s="181"/>
      <c r="D609" s="68"/>
      <c r="E609" s="181"/>
      <c r="F609" s="112"/>
      <c r="G609" s="263"/>
    </row>
    <row r="610" spans="1:7">
      <c r="A610" s="177" t="s">
        <v>16</v>
      </c>
      <c r="B610" s="143" t="s">
        <v>983</v>
      </c>
      <c r="C610" s="110"/>
      <c r="D610" s="110"/>
      <c r="E610" s="110"/>
      <c r="F610" s="105"/>
      <c r="G610" s="105"/>
    </row>
    <row r="611" spans="1:7">
      <c r="A611" s="156"/>
      <c r="B611" s="123" t="s">
        <v>984</v>
      </c>
      <c r="C611" s="110">
        <v>1</v>
      </c>
      <c r="D611" s="110">
        <v>1</v>
      </c>
      <c r="E611" s="110">
        <f>F339</f>
        <v>528.89000000000033</v>
      </c>
      <c r="F611" s="105">
        <f t="shared" ref="F611:F629" si="26">C611*D611*E611</f>
        <v>528.89000000000033</v>
      </c>
      <c r="G611" s="105"/>
    </row>
    <row r="612" spans="1:7">
      <c r="A612" s="156"/>
      <c r="B612" s="123" t="s">
        <v>1481</v>
      </c>
      <c r="C612" s="110">
        <v>-1</v>
      </c>
      <c r="D612" s="110">
        <v>1</v>
      </c>
      <c r="E612" s="110">
        <f>F331+F332+F333+F334+F335+F336+F337</f>
        <v>50.3125</v>
      </c>
      <c r="F612" s="105">
        <f t="shared" si="26"/>
        <v>-50.3125</v>
      </c>
      <c r="G612" s="105"/>
    </row>
    <row r="613" spans="1:7">
      <c r="A613" s="156"/>
      <c r="B613" s="123"/>
      <c r="C613" s="532" t="s">
        <v>785</v>
      </c>
      <c r="D613" s="532"/>
      <c r="E613" s="532"/>
      <c r="F613" s="125">
        <f>SUM(F611:F612)</f>
        <v>478.57750000000033</v>
      </c>
      <c r="G613" s="125"/>
    </row>
    <row r="614" spans="1:7">
      <c r="A614" s="62" t="s">
        <v>46</v>
      </c>
      <c r="B614" s="60" t="s">
        <v>283</v>
      </c>
      <c r="C614" s="181"/>
      <c r="D614" s="68"/>
      <c r="E614" s="181"/>
      <c r="F614" s="112"/>
      <c r="G614" s="263"/>
    </row>
    <row r="615" spans="1:7" ht="26.4">
      <c r="A615" s="177" t="s">
        <v>16</v>
      </c>
      <c r="B615" s="175" t="s">
        <v>1437</v>
      </c>
      <c r="C615" s="110"/>
      <c r="D615" s="110"/>
      <c r="E615" s="110"/>
      <c r="F615" s="105"/>
      <c r="G615" s="105"/>
    </row>
    <row r="616" spans="1:7">
      <c r="A616" s="156"/>
      <c r="B616" s="123" t="s">
        <v>826</v>
      </c>
      <c r="C616" s="110">
        <v>1.5</v>
      </c>
      <c r="D616" s="110">
        <v>22.77</v>
      </c>
      <c r="E616" s="110">
        <v>5</v>
      </c>
      <c r="F616" s="105">
        <f t="shared" si="26"/>
        <v>170.77500000000001</v>
      </c>
      <c r="G616" s="105"/>
    </row>
    <row r="617" spans="1:7">
      <c r="A617" s="156"/>
      <c r="B617" s="123"/>
      <c r="C617" s="110">
        <v>1.5</v>
      </c>
      <c r="D617" s="110">
        <v>6</v>
      </c>
      <c r="E617" s="110">
        <v>5</v>
      </c>
      <c r="F617" s="105">
        <f t="shared" si="26"/>
        <v>45</v>
      </c>
      <c r="G617" s="105"/>
    </row>
    <row r="618" spans="1:7">
      <c r="A618" s="156"/>
      <c r="B618" s="123" t="s">
        <v>862</v>
      </c>
      <c r="C618" s="110">
        <v>1.5</v>
      </c>
      <c r="D618" s="110">
        <v>3.5</v>
      </c>
      <c r="E618" s="110">
        <v>4</v>
      </c>
      <c r="F618" s="105">
        <f t="shared" si="26"/>
        <v>21</v>
      </c>
      <c r="G618" s="105"/>
    </row>
    <row r="619" spans="1:7">
      <c r="A619" s="156"/>
      <c r="B619" s="123"/>
      <c r="C619" s="110">
        <v>1.5</v>
      </c>
      <c r="D619" s="110">
        <v>3.5</v>
      </c>
      <c r="E619" s="110">
        <v>6</v>
      </c>
      <c r="F619" s="105">
        <f t="shared" si="26"/>
        <v>31.5</v>
      </c>
      <c r="G619" s="105"/>
    </row>
    <row r="620" spans="1:7">
      <c r="A620" s="156"/>
      <c r="B620" s="123" t="s">
        <v>1476</v>
      </c>
      <c r="C620" s="110">
        <v>1.5</v>
      </c>
      <c r="D620" s="110">
        <v>14</v>
      </c>
      <c r="E620" s="110">
        <v>6</v>
      </c>
      <c r="F620" s="105">
        <f>C620*D620*E620</f>
        <v>126</v>
      </c>
      <c r="G620" s="105"/>
    </row>
    <row r="621" spans="1:7">
      <c r="A621" s="156"/>
      <c r="B621" s="123" t="s">
        <v>768</v>
      </c>
      <c r="C621" s="110">
        <v>1.5</v>
      </c>
      <c r="D621" s="110">
        <v>5.78</v>
      </c>
      <c r="E621" s="110">
        <v>3.77</v>
      </c>
      <c r="F621" s="105">
        <f t="shared" si="26"/>
        <v>32.685899999999997</v>
      </c>
      <c r="G621" s="105"/>
    </row>
    <row r="622" spans="1:7">
      <c r="A622" s="156"/>
      <c r="B622" s="123" t="s">
        <v>768</v>
      </c>
      <c r="C622" s="110">
        <v>1.5</v>
      </c>
      <c r="D622" s="110">
        <v>3.71</v>
      </c>
      <c r="E622" s="110">
        <v>3.69</v>
      </c>
      <c r="F622" s="105">
        <f t="shared" si="26"/>
        <v>20.534849999999999</v>
      </c>
      <c r="G622" s="105"/>
    </row>
    <row r="623" spans="1:7">
      <c r="A623" s="156"/>
      <c r="B623" s="123" t="s">
        <v>768</v>
      </c>
      <c r="C623" s="110">
        <v>1.5</v>
      </c>
      <c r="D623" s="110">
        <v>3.76</v>
      </c>
      <c r="E623" s="110">
        <v>5.3</v>
      </c>
      <c r="F623" s="105">
        <f t="shared" si="26"/>
        <v>29.891999999999996</v>
      </c>
      <c r="G623" s="105"/>
    </row>
    <row r="624" spans="1:7">
      <c r="A624" s="156"/>
      <c r="B624" s="123" t="s">
        <v>985</v>
      </c>
      <c r="C624" s="110">
        <v>1.5</v>
      </c>
      <c r="D624" s="110">
        <v>36.5</v>
      </c>
      <c r="E624" s="110">
        <v>4.25</v>
      </c>
      <c r="F624" s="105">
        <f t="shared" si="26"/>
        <v>232.6875</v>
      </c>
      <c r="G624" s="105"/>
    </row>
    <row r="625" spans="1:7">
      <c r="A625" s="156"/>
      <c r="B625" s="123" t="s">
        <v>986</v>
      </c>
      <c r="C625" s="110">
        <v>1.5</v>
      </c>
      <c r="D625" s="110">
        <v>1.5</v>
      </c>
      <c r="E625" s="110">
        <v>2</v>
      </c>
      <c r="F625" s="105">
        <f t="shared" si="26"/>
        <v>4.5</v>
      </c>
      <c r="G625" s="105"/>
    </row>
    <row r="626" spans="1:7">
      <c r="A626" s="156"/>
      <c r="B626" s="123"/>
      <c r="C626" s="110">
        <v>1.5</v>
      </c>
      <c r="D626" s="110">
        <v>1.5</v>
      </c>
      <c r="E626" s="110">
        <v>1.5</v>
      </c>
      <c r="F626" s="105">
        <f t="shared" si="26"/>
        <v>3.375</v>
      </c>
      <c r="G626" s="105"/>
    </row>
    <row r="627" spans="1:7">
      <c r="A627" s="156"/>
      <c r="B627" s="123"/>
      <c r="C627" s="110">
        <v>1.5</v>
      </c>
      <c r="D627" s="110">
        <v>1.5</v>
      </c>
      <c r="E627" s="110">
        <v>2</v>
      </c>
      <c r="F627" s="105">
        <f t="shared" si="26"/>
        <v>4.5</v>
      </c>
      <c r="G627" s="105"/>
    </row>
    <row r="628" spans="1:7">
      <c r="A628" s="156"/>
      <c r="B628" s="123" t="s">
        <v>987</v>
      </c>
      <c r="C628" s="110">
        <v>2</v>
      </c>
      <c r="D628" s="110">
        <v>4.25</v>
      </c>
      <c r="E628" s="110">
        <v>8</v>
      </c>
      <c r="F628" s="105">
        <f t="shared" si="26"/>
        <v>68</v>
      </c>
      <c r="G628" s="105"/>
    </row>
    <row r="629" spans="1:7">
      <c r="A629" s="156"/>
      <c r="B629" s="123"/>
      <c r="C629" s="110">
        <v>2</v>
      </c>
      <c r="D629" s="110">
        <v>4.25</v>
      </c>
      <c r="E629" s="110">
        <v>8</v>
      </c>
      <c r="F629" s="105">
        <f t="shared" si="26"/>
        <v>68</v>
      </c>
      <c r="G629" s="105"/>
    </row>
    <row r="630" spans="1:7">
      <c r="A630" s="156"/>
      <c r="B630" s="123"/>
      <c r="C630" s="532" t="s">
        <v>785</v>
      </c>
      <c r="D630" s="532"/>
      <c r="E630" s="532"/>
      <c r="F630" s="125">
        <f>SUM(F616:F629)</f>
        <v>858.45024999999998</v>
      </c>
      <c r="G630" s="125"/>
    </row>
    <row r="631" spans="1:7">
      <c r="A631" s="62" t="s">
        <v>47</v>
      </c>
      <c r="B631" s="60" t="s">
        <v>284</v>
      </c>
      <c r="C631" s="181"/>
      <c r="D631" s="68"/>
      <c r="E631" s="181"/>
      <c r="F631" s="112"/>
      <c r="G631" s="263"/>
    </row>
    <row r="632" spans="1:7">
      <c r="A632" s="177" t="s">
        <v>16</v>
      </c>
      <c r="B632" s="143" t="s">
        <v>988</v>
      </c>
      <c r="C632" s="110"/>
      <c r="D632" s="110"/>
      <c r="E632" s="110"/>
      <c r="F632" s="161"/>
      <c r="G632" s="161"/>
    </row>
    <row r="633" spans="1:7">
      <c r="A633" s="177"/>
      <c r="B633" s="144" t="s">
        <v>979</v>
      </c>
      <c r="C633" s="110">
        <v>1</v>
      </c>
      <c r="D633" s="110">
        <v>13.59</v>
      </c>
      <c r="E633" s="110">
        <v>3</v>
      </c>
      <c r="F633" s="105">
        <f>C633*D633*E633</f>
        <v>40.769999999999996</v>
      </c>
      <c r="G633" s="105"/>
    </row>
    <row r="634" spans="1:7">
      <c r="A634" s="177"/>
      <c r="B634" s="144" t="s">
        <v>915</v>
      </c>
      <c r="C634" s="110">
        <v>1</v>
      </c>
      <c r="D634" s="110">
        <v>3.7</v>
      </c>
      <c r="E634" s="110">
        <v>8.9</v>
      </c>
      <c r="F634" s="105">
        <f t="shared" ref="F634:F645" si="27">C634*D634*E634</f>
        <v>32.93</v>
      </c>
      <c r="G634" s="105"/>
    </row>
    <row r="635" spans="1:7">
      <c r="A635" s="177"/>
      <c r="B635" s="144" t="s">
        <v>989</v>
      </c>
      <c r="C635" s="110">
        <v>1</v>
      </c>
      <c r="D635" s="110">
        <v>3</v>
      </c>
      <c r="E635" s="110">
        <v>8.9</v>
      </c>
      <c r="F635" s="105">
        <f t="shared" si="27"/>
        <v>26.700000000000003</v>
      </c>
      <c r="G635" s="105"/>
    </row>
    <row r="636" spans="1:7">
      <c r="A636" s="177"/>
      <c r="B636" s="144" t="s">
        <v>990</v>
      </c>
      <c r="C636" s="110">
        <v>1</v>
      </c>
      <c r="D636" s="110">
        <v>39.159999999999997</v>
      </c>
      <c r="E636" s="110">
        <v>9.5</v>
      </c>
      <c r="F636" s="105">
        <f t="shared" si="27"/>
        <v>372.02</v>
      </c>
      <c r="G636" s="105"/>
    </row>
    <row r="637" spans="1:7">
      <c r="A637" s="177"/>
      <c r="B637" s="144" t="s">
        <v>991</v>
      </c>
      <c r="C637" s="110">
        <v>1</v>
      </c>
      <c r="D637" s="110">
        <v>20.95</v>
      </c>
      <c r="E637" s="110">
        <v>9.5</v>
      </c>
      <c r="F637" s="105">
        <f t="shared" si="27"/>
        <v>199.02500000000001</v>
      </c>
      <c r="G637" s="105"/>
    </row>
    <row r="638" spans="1:7">
      <c r="A638" s="177"/>
      <c r="B638" s="144" t="s">
        <v>992</v>
      </c>
      <c r="C638" s="110">
        <v>1</v>
      </c>
      <c r="D638" s="110">
        <v>15</v>
      </c>
      <c r="E638" s="110">
        <v>9.5</v>
      </c>
      <c r="F638" s="105">
        <f t="shared" si="27"/>
        <v>142.5</v>
      </c>
      <c r="G638" s="105"/>
    </row>
    <row r="639" spans="1:7">
      <c r="A639" s="177"/>
      <c r="B639" s="144" t="s">
        <v>993</v>
      </c>
      <c r="C639" s="110">
        <v>1</v>
      </c>
      <c r="D639" s="110">
        <v>7</v>
      </c>
      <c r="E639" s="110">
        <v>9.5</v>
      </c>
      <c r="F639" s="105">
        <f t="shared" si="27"/>
        <v>66.5</v>
      </c>
      <c r="G639" s="105"/>
    </row>
    <row r="640" spans="1:7">
      <c r="A640" s="177"/>
      <c r="B640" s="144" t="s">
        <v>994</v>
      </c>
      <c r="C640" s="110">
        <v>1</v>
      </c>
      <c r="D640" s="110">
        <v>40</v>
      </c>
      <c r="E640" s="110">
        <v>4.26</v>
      </c>
      <c r="F640" s="105">
        <f t="shared" si="27"/>
        <v>170.39999999999998</v>
      </c>
      <c r="G640" s="105"/>
    </row>
    <row r="641" spans="1:7">
      <c r="A641" s="177"/>
      <c r="B641" s="144" t="s">
        <v>995</v>
      </c>
      <c r="C641" s="110">
        <v>1</v>
      </c>
      <c r="D641" s="110">
        <v>14</v>
      </c>
      <c r="E641" s="110">
        <v>4.26</v>
      </c>
      <c r="F641" s="105">
        <f t="shared" si="27"/>
        <v>59.64</v>
      </c>
      <c r="G641" s="105"/>
    </row>
    <row r="642" spans="1:7">
      <c r="A642" s="177"/>
      <c r="B642" s="144" t="s">
        <v>985</v>
      </c>
      <c r="C642" s="110">
        <v>1</v>
      </c>
      <c r="D642" s="110">
        <v>2.36</v>
      </c>
      <c r="E642" s="110">
        <v>36.28</v>
      </c>
      <c r="F642" s="105">
        <f t="shared" si="27"/>
        <v>85.620800000000003</v>
      </c>
      <c r="G642" s="105"/>
    </row>
    <row r="643" spans="1:7">
      <c r="A643" s="177"/>
      <c r="B643" s="144"/>
      <c r="C643" s="110">
        <v>1</v>
      </c>
      <c r="D643" s="110">
        <v>31.76</v>
      </c>
      <c r="E643" s="110">
        <v>10.3</v>
      </c>
      <c r="F643" s="105">
        <f t="shared" si="27"/>
        <v>327.12800000000004</v>
      </c>
      <c r="G643" s="105"/>
    </row>
    <row r="644" spans="1:7">
      <c r="A644" s="177"/>
      <c r="B644" s="143"/>
      <c r="C644" s="110">
        <v>-1</v>
      </c>
      <c r="D644" s="110">
        <v>2.76</v>
      </c>
      <c r="E644" s="110">
        <v>6.82</v>
      </c>
      <c r="F644" s="105">
        <f t="shared" si="27"/>
        <v>-18.8232</v>
      </c>
      <c r="G644" s="105"/>
    </row>
    <row r="645" spans="1:7">
      <c r="A645" s="177"/>
      <c r="B645" s="143" t="s">
        <v>1477</v>
      </c>
      <c r="C645" s="110">
        <v>1</v>
      </c>
      <c r="D645" s="110">
        <v>2.78</v>
      </c>
      <c r="E645" s="110">
        <v>31.76</v>
      </c>
      <c r="F645" s="105">
        <f t="shared" si="27"/>
        <v>88.2928</v>
      </c>
      <c r="G645" s="105"/>
    </row>
    <row r="646" spans="1:7">
      <c r="A646" s="177"/>
      <c r="B646" s="143"/>
      <c r="C646" s="532" t="s">
        <v>785</v>
      </c>
      <c r="D646" s="532"/>
      <c r="E646" s="532"/>
      <c r="F646" s="199">
        <f>SUM(F633:F645)</f>
        <v>1592.7033999999999</v>
      </c>
      <c r="G646" s="199"/>
    </row>
    <row r="647" spans="1:7">
      <c r="A647" s="83" t="s">
        <v>8</v>
      </c>
      <c r="B647" s="58" t="s">
        <v>301</v>
      </c>
      <c r="C647" s="180"/>
      <c r="D647" s="84"/>
      <c r="E647" s="180"/>
      <c r="F647" s="180"/>
      <c r="G647" s="266"/>
    </row>
    <row r="648" spans="1:7">
      <c r="A648" s="281"/>
      <c r="B648" s="282"/>
      <c r="C648" s="283"/>
      <c r="D648" s="284"/>
      <c r="E648" s="285"/>
      <c r="F648" s="285"/>
      <c r="G648" s="285"/>
    </row>
    <row r="649" spans="1:7">
      <c r="A649" s="232" t="s">
        <v>302</v>
      </c>
      <c r="B649" s="206" t="s">
        <v>303</v>
      </c>
      <c r="C649" s="233"/>
      <c r="D649" s="207"/>
      <c r="E649" s="208"/>
      <c r="F649" s="208"/>
      <c r="G649" s="208"/>
    </row>
    <row r="650" spans="1:7">
      <c r="A650" s="209" t="s">
        <v>318</v>
      </c>
      <c r="B650" s="210" t="s">
        <v>1482</v>
      </c>
      <c r="C650" s="211"/>
      <c r="D650" s="212"/>
      <c r="E650" s="213"/>
      <c r="F650" s="161">
        <v>1</v>
      </c>
      <c r="G650" s="161"/>
    </row>
    <row r="651" spans="1:7" ht="118.8">
      <c r="A651" s="209" t="s">
        <v>343</v>
      </c>
      <c r="B651" s="214" t="s">
        <v>1389</v>
      </c>
      <c r="C651" s="211"/>
      <c r="D651" s="212"/>
      <c r="E651" s="215"/>
      <c r="F651" s="161">
        <v>2</v>
      </c>
      <c r="G651" s="161"/>
    </row>
    <row r="652" spans="1:7">
      <c r="A652" s="216"/>
      <c r="B652" s="286" t="s">
        <v>359</v>
      </c>
      <c r="C652" s="287"/>
      <c r="D652" s="288"/>
      <c r="E652" s="289"/>
      <c r="F652" s="290"/>
      <c r="G652" s="290"/>
    </row>
    <row r="653" spans="1:7">
      <c r="A653" s="89" t="s">
        <v>302</v>
      </c>
      <c r="B653" s="90" t="s">
        <v>442</v>
      </c>
      <c r="C653" s="217"/>
      <c r="D653" s="93"/>
      <c r="E653" s="217"/>
      <c r="F653" s="218"/>
      <c r="G653" s="218"/>
    </row>
    <row r="654" spans="1:7">
      <c r="A654" s="91"/>
      <c r="B654" s="219"/>
      <c r="C654" s="220"/>
      <c r="D654" s="212"/>
      <c r="E654" s="220"/>
      <c r="F654" s="221"/>
      <c r="G654" s="221"/>
    </row>
    <row r="655" spans="1:7" ht="52.8">
      <c r="A655" s="91">
        <v>4.0999999999999996</v>
      </c>
      <c r="B655" s="222" t="s">
        <v>443</v>
      </c>
      <c r="C655" s="220"/>
      <c r="D655" s="212"/>
      <c r="E655" s="220"/>
      <c r="F655" s="221"/>
      <c r="G655" s="221"/>
    </row>
    <row r="656" spans="1:7">
      <c r="A656" s="91"/>
      <c r="B656" s="222" t="s">
        <v>444</v>
      </c>
      <c r="C656" s="220"/>
      <c r="D656" s="212"/>
      <c r="E656" s="220"/>
      <c r="F656" s="221"/>
      <c r="G656" s="221"/>
    </row>
    <row r="657" spans="1:7">
      <c r="A657" s="223"/>
      <c r="B657" s="224"/>
      <c r="C657" s="223"/>
      <c r="D657" s="225"/>
      <c r="E657" s="226"/>
      <c r="F657" s="221"/>
      <c r="G657" s="221"/>
    </row>
    <row r="658" spans="1:7">
      <c r="A658" s="209" t="s">
        <v>445</v>
      </c>
      <c r="B658" s="210" t="s">
        <v>446</v>
      </c>
      <c r="C658" s="211"/>
      <c r="D658" s="212"/>
      <c r="E658" s="220"/>
      <c r="F658" s="161"/>
      <c r="G658" s="161" t="s">
        <v>1484</v>
      </c>
    </row>
    <row r="659" spans="1:7">
      <c r="A659" s="209" t="s">
        <v>447</v>
      </c>
      <c r="B659" s="210" t="s">
        <v>448</v>
      </c>
      <c r="C659" s="211"/>
      <c r="D659" s="212"/>
      <c r="E659" s="215"/>
      <c r="F659" s="161">
        <v>1</v>
      </c>
      <c r="G659" s="161" t="s">
        <v>1484</v>
      </c>
    </row>
    <row r="660" spans="1:7">
      <c r="A660" s="209" t="s">
        <v>467</v>
      </c>
      <c r="B660" s="210" t="s">
        <v>1396</v>
      </c>
      <c r="C660" s="211"/>
      <c r="D660" s="212"/>
      <c r="E660" s="215"/>
      <c r="F660" s="161">
        <v>1</v>
      </c>
      <c r="G660" s="161" t="s">
        <v>1485</v>
      </c>
    </row>
    <row r="661" spans="1:7">
      <c r="A661" s="209" t="s">
        <v>470</v>
      </c>
      <c r="B661" s="210" t="s">
        <v>471</v>
      </c>
      <c r="C661" s="211"/>
      <c r="D661" s="212"/>
      <c r="E661" s="220"/>
      <c r="F661" s="221"/>
      <c r="G661" s="221"/>
    </row>
    <row r="662" spans="1:7">
      <c r="A662" s="209" t="s">
        <v>475</v>
      </c>
      <c r="B662" s="210" t="s">
        <v>1396</v>
      </c>
      <c r="C662" s="211"/>
      <c r="D662" s="212"/>
      <c r="E662" s="215"/>
      <c r="F662" s="161">
        <v>1</v>
      </c>
      <c r="G662" s="161" t="s">
        <v>1484</v>
      </c>
    </row>
    <row r="663" spans="1:7">
      <c r="A663" s="232" t="s">
        <v>302</v>
      </c>
      <c r="B663" s="206" t="s">
        <v>478</v>
      </c>
      <c r="C663" s="233"/>
      <c r="D663" s="207"/>
      <c r="E663" s="208"/>
      <c r="F663" s="208"/>
      <c r="G663" s="208"/>
    </row>
    <row r="664" spans="1:7">
      <c r="A664" s="209"/>
      <c r="B664" s="210"/>
      <c r="C664" s="211"/>
      <c r="D664" s="212"/>
      <c r="E664" s="220"/>
      <c r="F664" s="161"/>
      <c r="G664" s="221"/>
    </row>
    <row r="665" spans="1:7" ht="52.8">
      <c r="A665" s="209">
        <v>5.0999999999999996</v>
      </c>
      <c r="B665" s="214" t="s">
        <v>479</v>
      </c>
      <c r="C665" s="211"/>
      <c r="D665" s="212"/>
      <c r="E665" s="220"/>
      <c r="F665" s="161"/>
      <c r="G665" s="221"/>
    </row>
    <row r="666" spans="1:7">
      <c r="A666" s="209" t="s">
        <v>485</v>
      </c>
      <c r="B666" s="214" t="s">
        <v>486</v>
      </c>
      <c r="C666" s="211"/>
      <c r="D666" s="212"/>
      <c r="E666" s="215"/>
      <c r="F666" s="161">
        <f>SUM(F667)</f>
        <v>28</v>
      </c>
      <c r="G666" s="161"/>
    </row>
    <row r="667" spans="1:7">
      <c r="A667" s="209"/>
      <c r="B667" s="214" t="s">
        <v>1486</v>
      </c>
      <c r="C667" s="211"/>
      <c r="D667" s="270">
        <v>1</v>
      </c>
      <c r="E667" s="215">
        <v>28</v>
      </c>
      <c r="F667" s="215">
        <f>E667*D667</f>
        <v>28</v>
      </c>
      <c r="G667" s="161"/>
    </row>
    <row r="668" spans="1:7">
      <c r="A668" s="209"/>
      <c r="B668" s="214"/>
      <c r="C668" s="211"/>
      <c r="D668" s="270"/>
      <c r="E668" s="215"/>
      <c r="F668" s="215"/>
      <c r="G668" s="161"/>
    </row>
    <row r="669" spans="1:7">
      <c r="A669" s="209" t="s">
        <v>501</v>
      </c>
      <c r="B669" s="214" t="s">
        <v>502</v>
      </c>
      <c r="C669" s="211"/>
      <c r="D669" s="270"/>
      <c r="E669" s="215"/>
      <c r="F669" s="161">
        <f>SUM(F670:F675)</f>
        <v>90</v>
      </c>
      <c r="G669" s="161"/>
    </row>
    <row r="670" spans="1:7">
      <c r="A670" s="209"/>
      <c r="B670" s="214" t="s">
        <v>1487</v>
      </c>
      <c r="C670" s="211"/>
      <c r="D670" s="270">
        <v>1</v>
      </c>
      <c r="E670" s="215">
        <v>14</v>
      </c>
      <c r="F670" s="105">
        <f>E670*D670</f>
        <v>14</v>
      </c>
      <c r="G670" s="161"/>
    </row>
    <row r="671" spans="1:7">
      <c r="A671" s="209"/>
      <c r="B671" s="214" t="s">
        <v>1488</v>
      </c>
      <c r="C671" s="211"/>
      <c r="D671" s="270">
        <v>1</v>
      </c>
      <c r="E671" s="215">
        <v>16</v>
      </c>
      <c r="F671" s="105">
        <f>E671*D671</f>
        <v>16</v>
      </c>
      <c r="G671" s="161"/>
    </row>
    <row r="672" spans="1:7">
      <c r="A672" s="209"/>
      <c r="B672" s="214" t="s">
        <v>1489</v>
      </c>
      <c r="C672" s="211"/>
      <c r="D672" s="270">
        <v>1</v>
      </c>
      <c r="E672" s="215">
        <v>19</v>
      </c>
      <c r="F672" s="105">
        <f>E672*D672</f>
        <v>19</v>
      </c>
      <c r="G672" s="161"/>
    </row>
    <row r="673" spans="1:7">
      <c r="A673" s="209"/>
      <c r="B673" s="214" t="s">
        <v>1490</v>
      </c>
      <c r="C673" s="211"/>
      <c r="D673" s="270">
        <v>1</v>
      </c>
      <c r="E673" s="215">
        <v>20</v>
      </c>
      <c r="F673" s="105">
        <f>E673*D673</f>
        <v>20</v>
      </c>
      <c r="G673" s="161"/>
    </row>
    <row r="674" spans="1:7">
      <c r="A674" s="209"/>
      <c r="B674" s="214" t="s">
        <v>1491</v>
      </c>
      <c r="C674" s="211"/>
      <c r="D674" s="270">
        <v>1</v>
      </c>
      <c r="E674" s="215">
        <v>21</v>
      </c>
      <c r="F674" s="105">
        <f>E674*D674</f>
        <v>21</v>
      </c>
      <c r="G674" s="161"/>
    </row>
    <row r="675" spans="1:7">
      <c r="A675" s="209"/>
      <c r="B675" s="214"/>
      <c r="C675" s="211"/>
      <c r="D675" s="270"/>
      <c r="E675" s="215"/>
      <c r="F675" s="161"/>
      <c r="G675" s="161"/>
    </row>
    <row r="676" spans="1:7">
      <c r="A676" s="209" t="s">
        <v>509</v>
      </c>
      <c r="B676" s="214" t="s">
        <v>510</v>
      </c>
      <c r="C676" s="211"/>
      <c r="D676" s="270"/>
      <c r="E676" s="215"/>
      <c r="F676" s="161">
        <f>F677</f>
        <v>50</v>
      </c>
      <c r="G676" s="161"/>
    </row>
    <row r="677" spans="1:7">
      <c r="A677" s="209"/>
      <c r="B677" s="214" t="s">
        <v>1492</v>
      </c>
      <c r="C677" s="211"/>
      <c r="D677" s="270">
        <v>4</v>
      </c>
      <c r="E677" s="215">
        <v>12.5</v>
      </c>
      <c r="F677" s="105">
        <f>E677*D677</f>
        <v>50</v>
      </c>
      <c r="G677" s="161"/>
    </row>
    <row r="678" spans="1:7">
      <c r="A678" s="209"/>
      <c r="B678" s="214"/>
      <c r="C678" s="211"/>
      <c r="D678" s="270"/>
      <c r="E678" s="215"/>
      <c r="F678" s="161"/>
      <c r="G678" s="161"/>
    </row>
    <row r="679" spans="1:7">
      <c r="A679" s="209" t="s">
        <v>511</v>
      </c>
      <c r="B679" s="214" t="s">
        <v>512</v>
      </c>
      <c r="C679" s="211"/>
      <c r="D679" s="270"/>
      <c r="E679" s="215"/>
      <c r="F679" s="161">
        <f>SUM(F680:F683)</f>
        <v>48</v>
      </c>
      <c r="G679" s="161"/>
    </row>
    <row r="680" spans="1:7">
      <c r="A680" s="209"/>
      <c r="B680" s="214" t="s">
        <v>1496</v>
      </c>
      <c r="C680" s="211"/>
      <c r="D680" s="270">
        <v>2</v>
      </c>
      <c r="E680" s="215">
        <f>1.5+1+2.5</f>
        <v>5</v>
      </c>
      <c r="F680" s="105">
        <f>E680*D680</f>
        <v>10</v>
      </c>
      <c r="G680" s="161"/>
    </row>
    <row r="681" spans="1:7">
      <c r="A681" s="209"/>
      <c r="B681" s="214" t="s">
        <v>1495</v>
      </c>
      <c r="C681" s="211"/>
      <c r="D681" s="270">
        <v>2</v>
      </c>
      <c r="E681" s="215">
        <v>5</v>
      </c>
      <c r="F681" s="105">
        <f>E681*D681</f>
        <v>10</v>
      </c>
      <c r="G681" s="161"/>
    </row>
    <row r="682" spans="1:7">
      <c r="A682" s="209"/>
      <c r="B682" s="214" t="s">
        <v>1494</v>
      </c>
      <c r="C682" s="211"/>
      <c r="D682" s="270">
        <v>4</v>
      </c>
      <c r="E682" s="215">
        <v>3</v>
      </c>
      <c r="F682" s="105">
        <f>E682*D682</f>
        <v>12</v>
      </c>
      <c r="G682" s="161"/>
    </row>
    <row r="683" spans="1:7">
      <c r="A683" s="209"/>
      <c r="B683" s="214" t="s">
        <v>1493</v>
      </c>
      <c r="C683" s="211"/>
      <c r="D683" s="270">
        <v>4</v>
      </c>
      <c r="E683" s="215">
        <v>4</v>
      </c>
      <c r="F683" s="105">
        <f>E683*D683</f>
        <v>16</v>
      </c>
      <c r="G683" s="161"/>
    </row>
    <row r="684" spans="1:7">
      <c r="A684" s="209"/>
      <c r="B684" s="214"/>
      <c r="C684" s="211"/>
      <c r="D684" s="270"/>
      <c r="E684" s="215"/>
      <c r="F684" s="161"/>
      <c r="G684" s="161"/>
    </row>
    <row r="685" spans="1:7" ht="66">
      <c r="A685" s="209" t="s">
        <v>513</v>
      </c>
      <c r="B685" s="214" t="s">
        <v>514</v>
      </c>
      <c r="C685" s="211"/>
      <c r="D685" s="270"/>
      <c r="E685" s="220"/>
      <c r="F685" s="161"/>
      <c r="G685" s="221"/>
    </row>
    <row r="686" spans="1:7">
      <c r="A686" s="209" t="s">
        <v>517</v>
      </c>
      <c r="B686" s="214" t="s">
        <v>486</v>
      </c>
      <c r="C686" s="211"/>
      <c r="D686" s="212"/>
      <c r="E686" s="215"/>
      <c r="F686" s="161">
        <v>2</v>
      </c>
      <c r="G686" s="161"/>
    </row>
    <row r="687" spans="1:7">
      <c r="A687" s="209" t="s">
        <v>526</v>
      </c>
      <c r="B687" s="214" t="s">
        <v>502</v>
      </c>
      <c r="C687" s="211"/>
      <c r="D687" s="212"/>
      <c r="E687" s="215"/>
      <c r="F687" s="161">
        <v>5</v>
      </c>
      <c r="G687" s="161"/>
    </row>
    <row r="688" spans="1:7">
      <c r="A688" s="209" t="s">
        <v>530</v>
      </c>
      <c r="B688" s="214" t="s">
        <v>510</v>
      </c>
      <c r="C688" s="211"/>
      <c r="D688" s="212"/>
      <c r="E688" s="215"/>
      <c r="F688" s="161">
        <v>8</v>
      </c>
      <c r="G688" s="161"/>
    </row>
    <row r="689" spans="1:7">
      <c r="A689" s="209" t="s">
        <v>531</v>
      </c>
      <c r="B689" s="214" t="s">
        <v>512</v>
      </c>
      <c r="C689" s="211"/>
      <c r="D689" s="212"/>
      <c r="E689" s="215"/>
      <c r="F689" s="161">
        <v>10</v>
      </c>
      <c r="G689" s="161"/>
    </row>
    <row r="690" spans="1:7">
      <c r="A690" s="291"/>
      <c r="B690" s="210"/>
      <c r="C690" s="211"/>
      <c r="D690" s="212"/>
      <c r="E690" s="220"/>
      <c r="F690" s="161"/>
      <c r="G690" s="221"/>
    </row>
    <row r="691" spans="1:7">
      <c r="A691" s="216"/>
      <c r="B691" s="286" t="s">
        <v>532</v>
      </c>
      <c r="C691" s="287"/>
      <c r="D691" s="288"/>
      <c r="E691" s="289"/>
      <c r="F691" s="208"/>
      <c r="G691" s="289"/>
    </row>
    <row r="692" spans="1:7">
      <c r="A692" s="209"/>
      <c r="B692" s="210"/>
      <c r="C692" s="239"/>
      <c r="D692" s="225"/>
      <c r="E692" s="226"/>
      <c r="F692" s="161"/>
      <c r="G692" s="226"/>
    </row>
    <row r="693" spans="1:7">
      <c r="A693" s="232" t="s">
        <v>302</v>
      </c>
      <c r="B693" s="206" t="s">
        <v>533</v>
      </c>
      <c r="C693" s="233"/>
      <c r="D693" s="207"/>
      <c r="E693" s="208"/>
      <c r="F693" s="208"/>
      <c r="G693" s="208"/>
    </row>
    <row r="694" spans="1:7" ht="52.8">
      <c r="A694" s="209" t="s">
        <v>545</v>
      </c>
      <c r="B694" s="227" t="s">
        <v>546</v>
      </c>
      <c r="C694" s="211"/>
      <c r="D694" s="212"/>
      <c r="E694" s="215"/>
      <c r="F694" s="161">
        <f>SUM(F695:F702)</f>
        <v>160</v>
      </c>
      <c r="G694" s="161"/>
    </row>
    <row r="695" spans="1:7">
      <c r="A695" s="209"/>
      <c r="B695" s="227" t="s">
        <v>1497</v>
      </c>
      <c r="C695" s="211"/>
      <c r="D695" s="270">
        <v>1</v>
      </c>
      <c r="E695" s="215">
        <v>35</v>
      </c>
      <c r="F695" s="105">
        <f>E695*D695</f>
        <v>35</v>
      </c>
      <c r="G695" s="161"/>
    </row>
    <row r="696" spans="1:7">
      <c r="A696" s="209"/>
      <c r="B696" s="227" t="s">
        <v>1498</v>
      </c>
      <c r="C696" s="211"/>
      <c r="D696" s="270">
        <v>1</v>
      </c>
      <c r="E696" s="215">
        <v>31</v>
      </c>
      <c r="F696" s="105">
        <f t="shared" ref="F696:F701" si="28">E696*D696</f>
        <v>31</v>
      </c>
      <c r="G696" s="161"/>
    </row>
    <row r="697" spans="1:7">
      <c r="A697" s="209"/>
      <c r="B697" s="227" t="s">
        <v>1499</v>
      </c>
      <c r="C697" s="211"/>
      <c r="D697" s="270">
        <v>1</v>
      </c>
      <c r="E697" s="215">
        <v>29</v>
      </c>
      <c r="F697" s="105">
        <f t="shared" si="28"/>
        <v>29</v>
      </c>
      <c r="G697" s="161"/>
    </row>
    <row r="698" spans="1:7">
      <c r="A698" s="209"/>
      <c r="B698" s="227" t="s">
        <v>1500</v>
      </c>
      <c r="C698" s="211"/>
      <c r="D698" s="270">
        <v>1</v>
      </c>
      <c r="E698" s="215">
        <v>20</v>
      </c>
      <c r="F698" s="105">
        <f t="shared" si="28"/>
        <v>20</v>
      </c>
      <c r="G698" s="161"/>
    </row>
    <row r="699" spans="1:7">
      <c r="A699" s="209"/>
      <c r="B699" s="227" t="s">
        <v>1501</v>
      </c>
      <c r="C699" s="211"/>
      <c r="D699" s="270">
        <v>1</v>
      </c>
      <c r="E699" s="215">
        <v>27</v>
      </c>
      <c r="F699" s="105">
        <f t="shared" si="28"/>
        <v>27</v>
      </c>
      <c r="G699" s="161"/>
    </row>
    <row r="700" spans="1:7">
      <c r="A700" s="209"/>
      <c r="B700" s="227" t="s">
        <v>1502</v>
      </c>
      <c r="C700" s="211"/>
      <c r="D700" s="270">
        <v>1</v>
      </c>
      <c r="E700" s="215">
        <v>13</v>
      </c>
      <c r="F700" s="105">
        <f t="shared" si="28"/>
        <v>13</v>
      </c>
      <c r="G700" s="161"/>
    </row>
    <row r="701" spans="1:7">
      <c r="A701" s="209"/>
      <c r="B701" s="227" t="s">
        <v>1503</v>
      </c>
      <c r="C701" s="211"/>
      <c r="D701" s="270">
        <v>1</v>
      </c>
      <c r="E701" s="215">
        <v>5</v>
      </c>
      <c r="F701" s="105">
        <f t="shared" si="28"/>
        <v>5</v>
      </c>
      <c r="G701" s="161"/>
    </row>
    <row r="702" spans="1:7">
      <c r="A702" s="209"/>
      <c r="B702" s="227"/>
      <c r="C702" s="211"/>
      <c r="D702" s="212"/>
      <c r="E702" s="215"/>
      <c r="F702" s="161"/>
      <c r="G702" s="161"/>
    </row>
    <row r="703" spans="1:7">
      <c r="A703" s="209"/>
      <c r="B703" s="227"/>
      <c r="C703" s="211"/>
      <c r="D703" s="212"/>
      <c r="E703" s="215"/>
      <c r="F703" s="161"/>
      <c r="G703" s="161"/>
    </row>
    <row r="704" spans="1:7" ht="26.4">
      <c r="A704" s="209" t="s">
        <v>548</v>
      </c>
      <c r="B704" s="227" t="s">
        <v>549</v>
      </c>
      <c r="C704" s="211"/>
      <c r="D704" s="212"/>
      <c r="E704" s="215"/>
      <c r="F704" s="161">
        <f>SUM(F706:F710)</f>
        <v>75</v>
      </c>
      <c r="G704" s="161"/>
    </row>
    <row r="705" spans="1:7">
      <c r="A705" s="209"/>
      <c r="B705" s="227"/>
      <c r="C705" s="211"/>
      <c r="D705" s="212"/>
      <c r="E705" s="215"/>
      <c r="F705" s="161"/>
      <c r="G705" s="161"/>
    </row>
    <row r="706" spans="1:7">
      <c r="A706" s="209"/>
      <c r="B706" s="227" t="s">
        <v>1521</v>
      </c>
      <c r="C706" s="211"/>
      <c r="D706" s="270">
        <v>1</v>
      </c>
      <c r="E706" s="215">
        <v>25</v>
      </c>
      <c r="F706" s="105">
        <f>E706*D706</f>
        <v>25</v>
      </c>
      <c r="G706" s="161"/>
    </row>
    <row r="707" spans="1:7" ht="26.4">
      <c r="A707" s="209"/>
      <c r="B707" s="227" t="s">
        <v>1522</v>
      </c>
      <c r="C707" s="211"/>
      <c r="D707" s="295">
        <v>1</v>
      </c>
      <c r="E707" s="215">
        <v>21</v>
      </c>
      <c r="F707" s="105">
        <f>E707*D707</f>
        <v>21</v>
      </c>
      <c r="G707" s="296" t="s">
        <v>1530</v>
      </c>
    </row>
    <row r="708" spans="1:7">
      <c r="A708" s="209"/>
      <c r="B708" s="227" t="s">
        <v>1523</v>
      </c>
      <c r="C708" s="211"/>
      <c r="D708" s="295">
        <v>1</v>
      </c>
      <c r="E708" s="215">
        <v>11</v>
      </c>
      <c r="F708" s="105">
        <f>E708*D708</f>
        <v>11</v>
      </c>
      <c r="G708" s="161"/>
    </row>
    <row r="709" spans="1:7">
      <c r="A709" s="209"/>
      <c r="B709" s="227" t="s">
        <v>1524</v>
      </c>
      <c r="C709" s="211"/>
      <c r="D709" s="295">
        <v>1</v>
      </c>
      <c r="E709" s="215">
        <v>13</v>
      </c>
      <c r="F709" s="105">
        <f>E709*D709</f>
        <v>13</v>
      </c>
      <c r="G709" s="161"/>
    </row>
    <row r="710" spans="1:7">
      <c r="A710" s="209"/>
      <c r="B710" s="227" t="s">
        <v>1525</v>
      </c>
      <c r="C710" s="211"/>
      <c r="D710" s="295">
        <v>1</v>
      </c>
      <c r="E710" s="215">
        <v>5</v>
      </c>
      <c r="F710" s="105">
        <f>E710*D710</f>
        <v>5</v>
      </c>
      <c r="G710" s="161"/>
    </row>
    <row r="711" spans="1:7">
      <c r="A711" s="209"/>
      <c r="B711" s="227"/>
      <c r="C711" s="211"/>
      <c r="D711" s="212"/>
      <c r="E711" s="215"/>
      <c r="F711" s="161"/>
      <c r="G711" s="161"/>
    </row>
    <row r="712" spans="1:7">
      <c r="A712" s="209">
        <v>6.4</v>
      </c>
      <c r="B712" s="228" t="s">
        <v>553</v>
      </c>
      <c r="C712" s="211"/>
      <c r="D712" s="212"/>
      <c r="E712" s="220"/>
      <c r="F712" s="161"/>
      <c r="G712" s="161"/>
    </row>
    <row r="713" spans="1:7" ht="66">
      <c r="A713" s="209" t="s">
        <v>554</v>
      </c>
      <c r="B713" s="227" t="s">
        <v>555</v>
      </c>
      <c r="C713" s="211"/>
      <c r="D713" s="212"/>
      <c r="E713" s="215"/>
      <c r="F713" s="161">
        <f>SUM(F715:F738)</f>
        <v>122</v>
      </c>
      <c r="G713" s="161"/>
    </row>
    <row r="714" spans="1:7">
      <c r="A714" s="209"/>
      <c r="B714" s="227"/>
      <c r="C714" s="211"/>
      <c r="D714" s="212"/>
      <c r="E714" s="215"/>
      <c r="F714" s="161"/>
      <c r="G714" s="161"/>
    </row>
    <row r="715" spans="1:7">
      <c r="A715" s="209"/>
      <c r="B715" s="227" t="s">
        <v>1504</v>
      </c>
      <c r="C715" s="211"/>
      <c r="D715" s="270">
        <v>1</v>
      </c>
      <c r="E715" s="215">
        <v>3</v>
      </c>
      <c r="F715" s="105">
        <f>E715*D715</f>
        <v>3</v>
      </c>
      <c r="G715" s="161"/>
    </row>
    <row r="716" spans="1:7">
      <c r="A716" s="209"/>
      <c r="B716" s="227" t="s">
        <v>1505</v>
      </c>
      <c r="C716" s="211"/>
      <c r="D716" s="270">
        <v>1</v>
      </c>
      <c r="E716" s="215">
        <v>3</v>
      </c>
      <c r="F716" s="105">
        <f t="shared" ref="F716:F738" si="29">E716*D716</f>
        <v>3</v>
      </c>
      <c r="G716" s="161"/>
    </row>
    <row r="717" spans="1:7">
      <c r="A717" s="209"/>
      <c r="B717" s="227" t="s">
        <v>1531</v>
      </c>
      <c r="C717" s="211"/>
      <c r="D717" s="270">
        <v>1</v>
      </c>
      <c r="E717" s="215">
        <v>3</v>
      </c>
      <c r="F717" s="105">
        <f>E717*D717</f>
        <v>3</v>
      </c>
      <c r="G717" s="161"/>
    </row>
    <row r="718" spans="1:7">
      <c r="A718" s="209"/>
      <c r="B718" s="227" t="s">
        <v>1506</v>
      </c>
      <c r="C718" s="211"/>
      <c r="D718" s="270">
        <v>1</v>
      </c>
      <c r="E718" s="215">
        <v>4</v>
      </c>
      <c r="F718" s="105">
        <f t="shared" si="29"/>
        <v>4</v>
      </c>
      <c r="G718" s="161"/>
    </row>
    <row r="719" spans="1:7">
      <c r="A719" s="209"/>
      <c r="B719" s="227" t="s">
        <v>1507</v>
      </c>
      <c r="C719" s="211"/>
      <c r="D719" s="270">
        <v>1</v>
      </c>
      <c r="E719" s="215">
        <v>5</v>
      </c>
      <c r="F719" s="105">
        <f t="shared" si="29"/>
        <v>5</v>
      </c>
      <c r="G719" s="161"/>
    </row>
    <row r="720" spans="1:7">
      <c r="A720" s="209"/>
      <c r="B720" s="227" t="s">
        <v>1508</v>
      </c>
      <c r="C720" s="211"/>
      <c r="D720" s="270">
        <v>1</v>
      </c>
      <c r="E720" s="215">
        <v>5</v>
      </c>
      <c r="F720" s="105">
        <f t="shared" si="29"/>
        <v>5</v>
      </c>
      <c r="G720" s="161"/>
    </row>
    <row r="721" spans="1:7">
      <c r="A721" s="209"/>
      <c r="B721" s="227" t="s">
        <v>1509</v>
      </c>
      <c r="C721" s="211"/>
      <c r="D721" s="270">
        <v>1</v>
      </c>
      <c r="E721" s="215">
        <v>4</v>
      </c>
      <c r="F721" s="105">
        <f t="shared" si="29"/>
        <v>4</v>
      </c>
      <c r="G721" s="161"/>
    </row>
    <row r="722" spans="1:7">
      <c r="A722" s="209"/>
      <c r="B722" s="227" t="s">
        <v>1510</v>
      </c>
      <c r="C722" s="211"/>
      <c r="D722" s="270">
        <v>1</v>
      </c>
      <c r="E722" s="215">
        <v>4</v>
      </c>
      <c r="F722" s="105">
        <f t="shared" si="29"/>
        <v>4</v>
      </c>
      <c r="G722" s="161"/>
    </row>
    <row r="723" spans="1:7">
      <c r="A723" s="209"/>
      <c r="B723" s="227" t="s">
        <v>1511</v>
      </c>
      <c r="C723" s="211"/>
      <c r="D723" s="270">
        <v>1</v>
      </c>
      <c r="E723" s="215">
        <v>5</v>
      </c>
      <c r="F723" s="105">
        <f t="shared" si="29"/>
        <v>5</v>
      </c>
      <c r="G723" s="161"/>
    </row>
    <row r="724" spans="1:7">
      <c r="A724" s="209"/>
      <c r="B724" s="227" t="s">
        <v>1512</v>
      </c>
      <c r="C724" s="211"/>
      <c r="D724" s="270">
        <v>1</v>
      </c>
      <c r="E724" s="215">
        <v>7</v>
      </c>
      <c r="F724" s="105">
        <f t="shared" si="29"/>
        <v>7</v>
      </c>
      <c r="G724" s="161"/>
    </row>
    <row r="725" spans="1:7">
      <c r="A725" s="209"/>
      <c r="B725" s="227" t="s">
        <v>1531</v>
      </c>
      <c r="C725" s="211"/>
      <c r="D725" s="270">
        <v>1</v>
      </c>
      <c r="E725" s="215">
        <v>3</v>
      </c>
      <c r="F725" s="105">
        <f>E725*D725</f>
        <v>3</v>
      </c>
      <c r="G725" s="161"/>
    </row>
    <row r="726" spans="1:7">
      <c r="A726" s="209"/>
      <c r="B726" s="227" t="s">
        <v>1513</v>
      </c>
      <c r="C726" s="211"/>
      <c r="D726" s="270">
        <v>1</v>
      </c>
      <c r="E726" s="215">
        <v>8</v>
      </c>
      <c r="F726" s="105">
        <f t="shared" si="29"/>
        <v>8</v>
      </c>
      <c r="G726" s="161"/>
    </row>
    <row r="727" spans="1:7">
      <c r="A727" s="209"/>
      <c r="B727" s="227" t="s">
        <v>1514</v>
      </c>
      <c r="C727" s="211"/>
      <c r="D727" s="270">
        <v>1</v>
      </c>
      <c r="E727" s="215">
        <v>6</v>
      </c>
      <c r="F727" s="105">
        <f t="shared" si="29"/>
        <v>6</v>
      </c>
      <c r="G727" s="161"/>
    </row>
    <row r="728" spans="1:7">
      <c r="A728" s="209"/>
      <c r="B728" s="227" t="s">
        <v>1515</v>
      </c>
      <c r="C728" s="211"/>
      <c r="D728" s="270">
        <v>1</v>
      </c>
      <c r="E728" s="215">
        <v>3</v>
      </c>
      <c r="F728" s="105">
        <f t="shared" si="29"/>
        <v>3</v>
      </c>
      <c r="G728" s="161"/>
    </row>
    <row r="729" spans="1:7">
      <c r="A729" s="209"/>
      <c r="B729" s="227" t="s">
        <v>1531</v>
      </c>
      <c r="C729" s="211"/>
      <c r="D729" s="270">
        <v>1</v>
      </c>
      <c r="E729" s="215">
        <v>2</v>
      </c>
      <c r="F729" s="105">
        <f t="shared" si="29"/>
        <v>2</v>
      </c>
      <c r="G729" s="161"/>
    </row>
    <row r="730" spans="1:7">
      <c r="A730" s="209"/>
      <c r="B730" s="227" t="s">
        <v>1516</v>
      </c>
      <c r="C730" s="211"/>
      <c r="D730" s="270">
        <v>1</v>
      </c>
      <c r="E730" s="215">
        <v>4</v>
      </c>
      <c r="F730" s="105">
        <f t="shared" si="29"/>
        <v>4</v>
      </c>
      <c r="G730" s="161"/>
    </row>
    <row r="731" spans="1:7">
      <c r="A731" s="209"/>
      <c r="B731" s="227" t="s">
        <v>1531</v>
      </c>
      <c r="C731" s="211"/>
      <c r="D731" s="270">
        <v>1</v>
      </c>
      <c r="E731" s="215">
        <v>3</v>
      </c>
      <c r="F731" s="105">
        <f>E731*D731</f>
        <v>3</v>
      </c>
      <c r="G731" s="161"/>
    </row>
    <row r="732" spans="1:7">
      <c r="A732" s="209"/>
      <c r="B732" s="227" t="s">
        <v>1517</v>
      </c>
      <c r="C732" s="211"/>
      <c r="D732" s="270">
        <v>1</v>
      </c>
      <c r="E732" s="215">
        <v>5</v>
      </c>
      <c r="F732" s="105">
        <f t="shared" si="29"/>
        <v>5</v>
      </c>
      <c r="G732" s="161"/>
    </row>
    <row r="733" spans="1:7">
      <c r="A733" s="209"/>
      <c r="B733" s="227" t="s">
        <v>1532</v>
      </c>
      <c r="C733" s="211"/>
      <c r="D733" s="270">
        <v>1</v>
      </c>
      <c r="E733" s="215">
        <v>3</v>
      </c>
      <c r="F733" s="105">
        <f t="shared" si="29"/>
        <v>3</v>
      </c>
      <c r="G733" s="161"/>
    </row>
    <row r="734" spans="1:7">
      <c r="A734" s="209"/>
      <c r="B734" s="227" t="s">
        <v>1534</v>
      </c>
      <c r="C734" s="211"/>
      <c r="D734" s="270">
        <v>1</v>
      </c>
      <c r="E734" s="215">
        <v>5</v>
      </c>
      <c r="F734" s="105">
        <f>E734*D734</f>
        <v>5</v>
      </c>
      <c r="G734" s="161"/>
    </row>
    <row r="735" spans="1:7">
      <c r="A735" s="209"/>
      <c r="B735" s="227" t="s">
        <v>1533</v>
      </c>
      <c r="C735" s="211"/>
      <c r="D735" s="270">
        <v>1</v>
      </c>
      <c r="E735" s="215">
        <v>4</v>
      </c>
      <c r="F735" s="105">
        <f>E735*D735</f>
        <v>4</v>
      </c>
      <c r="G735" s="161"/>
    </row>
    <row r="736" spans="1:7" ht="26.4">
      <c r="A736" s="209"/>
      <c r="B736" s="227" t="s">
        <v>1518</v>
      </c>
      <c r="C736" s="211"/>
      <c r="D736" s="270">
        <v>1</v>
      </c>
      <c r="E736" s="215">
        <v>7</v>
      </c>
      <c r="F736" s="105">
        <f t="shared" si="29"/>
        <v>7</v>
      </c>
      <c r="G736" s="296" t="s">
        <v>1538</v>
      </c>
    </row>
    <row r="737" spans="1:7" ht="26.4">
      <c r="A737" s="209"/>
      <c r="B737" s="227" t="s">
        <v>1519</v>
      </c>
      <c r="C737" s="211"/>
      <c r="D737" s="270">
        <v>1</v>
      </c>
      <c r="E737" s="215">
        <v>21</v>
      </c>
      <c r="F737" s="105">
        <f t="shared" si="29"/>
        <v>21</v>
      </c>
      <c r="G737" s="296" t="s">
        <v>1538</v>
      </c>
    </row>
    <row r="738" spans="1:7" ht="26.4">
      <c r="A738" s="209"/>
      <c r="B738" s="227" t="s">
        <v>1520</v>
      </c>
      <c r="C738" s="211"/>
      <c r="D738" s="270">
        <v>1</v>
      </c>
      <c r="E738" s="215">
        <v>5</v>
      </c>
      <c r="F738" s="105">
        <f t="shared" si="29"/>
        <v>5</v>
      </c>
      <c r="G738" s="296" t="s">
        <v>1538</v>
      </c>
    </row>
    <row r="739" spans="1:7">
      <c r="A739" s="209"/>
      <c r="B739" s="227"/>
      <c r="C739" s="211"/>
      <c r="D739" s="212"/>
      <c r="E739" s="215"/>
      <c r="F739" s="161"/>
      <c r="G739" s="161"/>
    </row>
    <row r="740" spans="1:7">
      <c r="A740" s="216"/>
      <c r="B740" s="286" t="s">
        <v>558</v>
      </c>
      <c r="C740" s="287"/>
      <c r="D740" s="288"/>
      <c r="E740" s="289"/>
      <c r="F740" s="208"/>
      <c r="G740" s="289"/>
    </row>
    <row r="741" spans="1:7">
      <c r="A741" s="209"/>
      <c r="B741" s="210"/>
      <c r="C741" s="239"/>
      <c r="D741" s="225"/>
      <c r="E741" s="226"/>
      <c r="F741" s="161"/>
      <c r="G741" s="226"/>
    </row>
    <row r="742" spans="1:7">
      <c r="A742" s="232" t="s">
        <v>302</v>
      </c>
      <c r="B742" s="206" t="s">
        <v>559</v>
      </c>
      <c r="C742" s="233"/>
      <c r="D742" s="207"/>
      <c r="E742" s="208"/>
      <c r="F742" s="208"/>
      <c r="G742" s="208"/>
    </row>
    <row r="743" spans="1:7">
      <c r="A743" s="209"/>
      <c r="B743" s="210"/>
      <c r="C743" s="161"/>
      <c r="D743" s="161"/>
      <c r="E743" s="161"/>
      <c r="F743" s="161"/>
      <c r="G743" s="221"/>
    </row>
    <row r="744" spans="1:7" ht="26.4">
      <c r="A744" s="209" t="s">
        <v>563</v>
      </c>
      <c r="B744" s="214" t="s">
        <v>564</v>
      </c>
      <c r="C744" s="161"/>
      <c r="D744" s="212"/>
      <c r="E744" s="161"/>
      <c r="F744" s="161"/>
      <c r="G744" s="161"/>
    </row>
    <row r="745" spans="1:7">
      <c r="A745" s="209" t="s">
        <v>565</v>
      </c>
      <c r="B745" s="214" t="s">
        <v>566</v>
      </c>
      <c r="C745" s="161"/>
      <c r="D745" s="161"/>
      <c r="E745" s="161"/>
      <c r="F745" s="161"/>
      <c r="G745" s="161"/>
    </row>
    <row r="746" spans="1:7" ht="105.6">
      <c r="A746" s="209">
        <v>7.4</v>
      </c>
      <c r="B746" s="214" t="s">
        <v>1399</v>
      </c>
      <c r="C746" s="211"/>
      <c r="D746" s="212"/>
      <c r="E746" s="215"/>
      <c r="F746" s="161"/>
      <c r="G746" s="161"/>
    </row>
    <row r="747" spans="1:7">
      <c r="A747" s="232" t="s">
        <v>302</v>
      </c>
      <c r="B747" s="206" t="s">
        <v>587</v>
      </c>
      <c r="C747" s="233"/>
      <c r="D747" s="207"/>
      <c r="E747" s="208"/>
      <c r="F747" s="208"/>
      <c r="G747" s="208"/>
    </row>
    <row r="748" spans="1:7" ht="26.4">
      <c r="A748" s="229" t="s">
        <v>589</v>
      </c>
      <c r="B748" s="214" t="s">
        <v>1400</v>
      </c>
      <c r="C748" s="211"/>
      <c r="D748" s="230"/>
      <c r="E748" s="215"/>
      <c r="F748" s="161">
        <v>44</v>
      </c>
      <c r="G748" s="161" t="s">
        <v>1485</v>
      </c>
    </row>
    <row r="749" spans="1:7" ht="39.6">
      <c r="A749" s="229" t="s">
        <v>590</v>
      </c>
      <c r="B749" s="227" t="s">
        <v>1401</v>
      </c>
      <c r="C749" s="211"/>
      <c r="D749" s="230"/>
      <c r="E749" s="215"/>
      <c r="F749" s="161">
        <v>46</v>
      </c>
      <c r="G749" s="161" t="s">
        <v>1485</v>
      </c>
    </row>
    <row r="750" spans="1:7">
      <c r="A750" s="229">
        <v>9.1999999999999993</v>
      </c>
      <c r="B750" s="228" t="s">
        <v>593</v>
      </c>
      <c r="C750" s="211"/>
      <c r="D750" s="212"/>
      <c r="E750" s="220"/>
      <c r="F750" s="161"/>
      <c r="G750" s="161"/>
    </row>
    <row r="751" spans="1:7">
      <c r="A751" s="231" t="s">
        <v>594</v>
      </c>
      <c r="B751" s="210" t="s">
        <v>595</v>
      </c>
      <c r="C751" s="211"/>
      <c r="D751" s="230"/>
      <c r="E751" s="215"/>
      <c r="F751" s="161">
        <v>20</v>
      </c>
      <c r="G751" s="161" t="s">
        <v>1526</v>
      </c>
    </row>
    <row r="752" spans="1:7" ht="52.8">
      <c r="A752" s="231" t="s">
        <v>597</v>
      </c>
      <c r="B752" s="227" t="s">
        <v>1402</v>
      </c>
      <c r="C752" s="211"/>
      <c r="D752" s="230"/>
      <c r="E752" s="215"/>
      <c r="F752" s="161"/>
      <c r="G752" s="161"/>
    </row>
    <row r="753" spans="1:7" ht="66">
      <c r="A753" s="231" t="s">
        <v>598</v>
      </c>
      <c r="B753" s="227" t="s">
        <v>1403</v>
      </c>
      <c r="C753" s="211"/>
      <c r="D753" s="230"/>
      <c r="E753" s="215"/>
      <c r="F753" s="161">
        <v>9</v>
      </c>
      <c r="G753" s="161" t="s">
        <v>1485</v>
      </c>
    </row>
    <row r="754" spans="1:7">
      <c r="A754" s="232" t="s">
        <v>302</v>
      </c>
      <c r="B754" s="206" t="s">
        <v>601</v>
      </c>
      <c r="C754" s="233"/>
      <c r="D754" s="207"/>
      <c r="E754" s="208"/>
      <c r="F754" s="208"/>
      <c r="G754" s="208"/>
    </row>
    <row r="755" spans="1:7" ht="26.4">
      <c r="A755" s="234" t="s">
        <v>607</v>
      </c>
      <c r="B755" s="214" t="s">
        <v>608</v>
      </c>
      <c r="C755" s="211"/>
      <c r="D755" s="235"/>
      <c r="E755" s="215"/>
      <c r="F755" s="161">
        <v>25</v>
      </c>
      <c r="G755" s="161" t="s">
        <v>1485</v>
      </c>
    </row>
    <row r="756" spans="1:7" ht="26.4">
      <c r="A756" s="234" t="s">
        <v>609</v>
      </c>
      <c r="B756" s="214" t="s">
        <v>610</v>
      </c>
      <c r="C756" s="211"/>
      <c r="D756" s="235"/>
      <c r="E756" s="215"/>
      <c r="F756" s="161">
        <v>21</v>
      </c>
      <c r="G756" s="161" t="s">
        <v>1485</v>
      </c>
    </row>
    <row r="757" spans="1:7" ht="26.4">
      <c r="A757" s="234" t="s">
        <v>611</v>
      </c>
      <c r="B757" s="214" t="s">
        <v>612</v>
      </c>
      <c r="C757" s="211"/>
      <c r="D757" s="235"/>
      <c r="E757" s="215"/>
      <c r="F757" s="161">
        <v>1.33</v>
      </c>
      <c r="G757" s="161" t="s">
        <v>1485</v>
      </c>
    </row>
    <row r="758" spans="1:7" ht="39.6">
      <c r="A758" s="234" t="s">
        <v>615</v>
      </c>
      <c r="B758" s="214" t="s">
        <v>616</v>
      </c>
      <c r="C758" s="211"/>
      <c r="D758" s="235"/>
      <c r="E758" s="215"/>
      <c r="F758" s="161"/>
      <c r="G758" s="161"/>
    </row>
    <row r="759" spans="1:7">
      <c r="A759" s="232" t="s">
        <v>302</v>
      </c>
      <c r="B759" s="206" t="s">
        <v>618</v>
      </c>
      <c r="C759" s="233"/>
      <c r="D759" s="207"/>
      <c r="E759" s="208"/>
      <c r="F759" s="208"/>
      <c r="G759" s="208"/>
    </row>
    <row r="760" spans="1:7" ht="52.8">
      <c r="A760" s="236">
        <v>11.1</v>
      </c>
      <c r="B760" s="237" t="s">
        <v>1405</v>
      </c>
      <c r="C760" s="211"/>
      <c r="D760" s="212"/>
      <c r="E760" s="220"/>
      <c r="F760" s="161"/>
      <c r="G760" s="221"/>
    </row>
    <row r="761" spans="1:7">
      <c r="A761" s="238" t="s">
        <v>619</v>
      </c>
      <c r="B761" s="237" t="s">
        <v>620</v>
      </c>
      <c r="C761" s="211"/>
      <c r="D761" s="212"/>
      <c r="E761" s="215"/>
      <c r="F761" s="161">
        <v>6</v>
      </c>
      <c r="G761" s="161"/>
    </row>
    <row r="762" spans="1:7">
      <c r="A762" s="238" t="s">
        <v>622</v>
      </c>
      <c r="B762" s="237" t="s">
        <v>623</v>
      </c>
      <c r="C762" s="211"/>
      <c r="D762" s="212"/>
      <c r="E762" s="215"/>
      <c r="F762" s="161">
        <v>4</v>
      </c>
      <c r="G762" s="161"/>
    </row>
    <row r="763" spans="1:7">
      <c r="A763" s="238" t="s">
        <v>624</v>
      </c>
      <c r="B763" s="237" t="s">
        <v>625</v>
      </c>
      <c r="C763" s="211"/>
      <c r="D763" s="212"/>
      <c r="E763" s="215"/>
      <c r="F763" s="161">
        <v>2</v>
      </c>
      <c r="G763" s="161"/>
    </row>
    <row r="764" spans="1:7">
      <c r="A764" s="238" t="s">
        <v>626</v>
      </c>
      <c r="B764" s="237" t="s">
        <v>627</v>
      </c>
      <c r="C764" s="211"/>
      <c r="D764" s="212"/>
      <c r="E764" s="215"/>
      <c r="F764" s="161">
        <v>4</v>
      </c>
      <c r="G764" s="161"/>
    </row>
    <row r="765" spans="1:7" ht="52.8">
      <c r="A765" s="236">
        <v>11.2</v>
      </c>
      <c r="B765" s="237" t="s">
        <v>1406</v>
      </c>
      <c r="C765" s="239"/>
      <c r="D765" s="225"/>
      <c r="E765" s="226"/>
      <c r="F765" s="161"/>
      <c r="G765" s="161"/>
    </row>
    <row r="766" spans="1:7">
      <c r="A766" s="236" t="s">
        <v>628</v>
      </c>
      <c r="B766" s="237" t="s">
        <v>623</v>
      </c>
      <c r="C766" s="211"/>
      <c r="D766" s="212"/>
      <c r="E766" s="215"/>
      <c r="F766" s="161">
        <v>7</v>
      </c>
      <c r="G766" s="161"/>
    </row>
    <row r="767" spans="1:7">
      <c r="A767" s="236" t="s">
        <v>630</v>
      </c>
      <c r="B767" s="237" t="s">
        <v>627</v>
      </c>
      <c r="C767" s="211"/>
      <c r="D767" s="212"/>
      <c r="E767" s="215"/>
      <c r="F767" s="161">
        <v>6</v>
      </c>
      <c r="G767" s="161"/>
    </row>
    <row r="768" spans="1:7" ht="79.2">
      <c r="A768" s="236">
        <v>11.3</v>
      </c>
      <c r="B768" s="214" t="s">
        <v>1407</v>
      </c>
      <c r="C768" s="211"/>
      <c r="D768" s="212"/>
      <c r="E768" s="220"/>
      <c r="F768" s="161"/>
      <c r="G768" s="161"/>
    </row>
    <row r="769" spans="1:7">
      <c r="A769" s="238" t="s">
        <v>643</v>
      </c>
      <c r="B769" s="214" t="s">
        <v>644</v>
      </c>
      <c r="C769" s="211"/>
      <c r="D769" s="212"/>
      <c r="E769" s="215"/>
      <c r="F769" s="161">
        <v>3</v>
      </c>
      <c r="G769" s="161"/>
    </row>
    <row r="770" spans="1:7">
      <c r="A770" s="238" t="s">
        <v>645</v>
      </c>
      <c r="B770" s="214" t="s">
        <v>646</v>
      </c>
      <c r="C770" s="211"/>
      <c r="D770" s="212"/>
      <c r="E770" s="215"/>
      <c r="F770" s="161">
        <v>2</v>
      </c>
      <c r="G770" s="161"/>
    </row>
    <row r="771" spans="1:7">
      <c r="A771" s="238" t="s">
        <v>647</v>
      </c>
      <c r="B771" s="214" t="s">
        <v>648</v>
      </c>
      <c r="C771" s="211"/>
      <c r="D771" s="212"/>
      <c r="E771" s="215"/>
      <c r="F771" s="161">
        <v>4</v>
      </c>
      <c r="G771" s="161"/>
    </row>
    <row r="772" spans="1:7">
      <c r="A772" s="238" t="s">
        <v>649</v>
      </c>
      <c r="B772" s="214" t="s">
        <v>650</v>
      </c>
      <c r="C772" s="211"/>
      <c r="D772" s="212"/>
      <c r="E772" s="215"/>
      <c r="F772" s="161">
        <v>6</v>
      </c>
      <c r="G772" s="161"/>
    </row>
    <row r="773" spans="1:7">
      <c r="A773" s="232" t="s">
        <v>302</v>
      </c>
      <c r="B773" s="206" t="s">
        <v>652</v>
      </c>
      <c r="C773" s="233"/>
      <c r="D773" s="207"/>
      <c r="E773" s="208"/>
      <c r="F773" s="208"/>
      <c r="G773" s="208"/>
    </row>
    <row r="774" spans="1:7">
      <c r="A774" s="209"/>
      <c r="B774" s="214"/>
      <c r="C774" s="211"/>
      <c r="D774" s="212"/>
      <c r="E774" s="220"/>
      <c r="F774" s="161"/>
      <c r="G774" s="161"/>
    </row>
    <row r="775" spans="1:7">
      <c r="A775" s="209">
        <v>12.1</v>
      </c>
      <c r="B775" s="240" t="s">
        <v>653</v>
      </c>
      <c r="C775" s="211"/>
      <c r="D775" s="212"/>
      <c r="E775" s="220"/>
      <c r="F775" s="161"/>
      <c r="G775" s="161"/>
    </row>
    <row r="776" spans="1:7" ht="26.4">
      <c r="A776" s="209"/>
      <c r="B776" s="241" t="s">
        <v>654</v>
      </c>
      <c r="C776" s="211"/>
      <c r="D776" s="212"/>
      <c r="E776" s="220"/>
      <c r="F776" s="161"/>
      <c r="G776" s="161"/>
    </row>
    <row r="777" spans="1:7" ht="92.4">
      <c r="A777" s="209" t="s">
        <v>655</v>
      </c>
      <c r="B777" s="242" t="s">
        <v>656</v>
      </c>
      <c r="C777" s="211"/>
      <c r="D777" s="212"/>
      <c r="E777" s="220"/>
      <c r="F777" s="161"/>
      <c r="G777" s="161"/>
    </row>
    <row r="778" spans="1:7">
      <c r="A778" s="209"/>
      <c r="B778" s="243" t="s">
        <v>657</v>
      </c>
      <c r="C778" s="211"/>
      <c r="D778" s="212"/>
      <c r="E778" s="220"/>
      <c r="F778" s="161"/>
      <c r="G778" s="161"/>
    </row>
    <row r="779" spans="1:7">
      <c r="A779" s="209" t="s">
        <v>16</v>
      </c>
      <c r="B779" s="244" t="s">
        <v>658</v>
      </c>
      <c r="C779" s="211"/>
      <c r="D779" s="212"/>
      <c r="E779" s="215"/>
      <c r="F779" s="161">
        <v>34</v>
      </c>
      <c r="G779" s="161"/>
    </row>
    <row r="780" spans="1:7" ht="105.6">
      <c r="A780" s="245" t="s">
        <v>661</v>
      </c>
      <c r="B780" s="242" t="s">
        <v>662</v>
      </c>
      <c r="C780" s="211"/>
      <c r="D780" s="212"/>
      <c r="E780" s="220"/>
      <c r="F780" s="161"/>
      <c r="G780" s="161"/>
    </row>
    <row r="781" spans="1:7">
      <c r="A781" s="209"/>
      <c r="B781" s="243" t="s">
        <v>657</v>
      </c>
      <c r="C781" s="211"/>
      <c r="D781" s="212"/>
      <c r="E781" s="220"/>
      <c r="F781" s="161"/>
      <c r="G781" s="161"/>
    </row>
    <row r="782" spans="1:7">
      <c r="A782" s="209" t="s">
        <v>16</v>
      </c>
      <c r="B782" s="244" t="s">
        <v>663</v>
      </c>
      <c r="C782" s="211"/>
      <c r="D782" s="212"/>
      <c r="E782" s="215"/>
      <c r="F782" s="161">
        <v>50</v>
      </c>
      <c r="G782" s="161"/>
    </row>
    <row r="783" spans="1:7">
      <c r="A783" s="209" t="s">
        <v>19</v>
      </c>
      <c r="B783" s="244" t="s">
        <v>680</v>
      </c>
      <c r="C783" s="211"/>
      <c r="D783" s="212"/>
      <c r="E783" s="215"/>
      <c r="F783" s="161">
        <v>0</v>
      </c>
      <c r="G783" s="161"/>
    </row>
    <row r="784" spans="1:7" ht="52.8">
      <c r="A784" s="245" t="s">
        <v>684</v>
      </c>
      <c r="B784" s="214" t="s">
        <v>1408</v>
      </c>
      <c r="C784" s="211"/>
      <c r="D784" s="212"/>
      <c r="E784" s="215"/>
      <c r="F784" s="161">
        <v>3</v>
      </c>
      <c r="G784" s="161" t="s">
        <v>1527</v>
      </c>
    </row>
    <row r="785" spans="1:7" ht="39.6">
      <c r="A785" s="245" t="s">
        <v>686</v>
      </c>
      <c r="B785" s="214" t="s">
        <v>687</v>
      </c>
      <c r="C785" s="211"/>
      <c r="D785" s="212"/>
      <c r="E785" s="215"/>
      <c r="F785" s="161">
        <v>4</v>
      </c>
      <c r="G785" s="161" t="s">
        <v>1528</v>
      </c>
    </row>
    <row r="786" spans="1:7" ht="26.4">
      <c r="A786" s="245" t="s">
        <v>688</v>
      </c>
      <c r="B786" s="214" t="s">
        <v>689</v>
      </c>
      <c r="C786" s="211"/>
      <c r="D786" s="212"/>
      <c r="E786" s="215"/>
      <c r="F786" s="161">
        <v>2</v>
      </c>
      <c r="G786" s="161" t="s">
        <v>1528</v>
      </c>
    </row>
    <row r="787" spans="1:7">
      <c r="A787" s="232" t="s">
        <v>302</v>
      </c>
      <c r="B787" s="206" t="s">
        <v>691</v>
      </c>
      <c r="C787" s="233"/>
      <c r="D787" s="207"/>
      <c r="E787" s="208"/>
      <c r="F787" s="246"/>
      <c r="G787" s="246"/>
    </row>
    <row r="788" spans="1:7" ht="39.6">
      <c r="A788" s="234">
        <v>13.2</v>
      </c>
      <c r="B788" s="214" t="s">
        <v>703</v>
      </c>
      <c r="C788" s="211"/>
      <c r="D788" s="212"/>
      <c r="E788" s="220"/>
      <c r="F788" s="161"/>
      <c r="G788" s="161"/>
    </row>
    <row r="789" spans="1:7">
      <c r="A789" s="234" t="s">
        <v>706</v>
      </c>
      <c r="B789" s="214" t="s">
        <v>707</v>
      </c>
      <c r="C789" s="211"/>
      <c r="D789" s="212"/>
      <c r="E789" s="215"/>
      <c r="F789" s="161">
        <v>3</v>
      </c>
      <c r="G789" s="161"/>
    </row>
    <row r="790" spans="1:7">
      <c r="A790" s="234" t="s">
        <v>708</v>
      </c>
      <c r="B790" s="214" t="s">
        <v>709</v>
      </c>
      <c r="C790" s="211"/>
      <c r="D790" s="212"/>
      <c r="E790" s="215"/>
      <c r="F790" s="161">
        <v>2</v>
      </c>
      <c r="G790" s="161"/>
    </row>
    <row r="791" spans="1:7">
      <c r="A791" s="234" t="s">
        <v>710</v>
      </c>
      <c r="B791" s="214" t="s">
        <v>711</v>
      </c>
      <c r="C791" s="211"/>
      <c r="D791" s="212"/>
      <c r="E791" s="215"/>
      <c r="F791" s="161">
        <v>9</v>
      </c>
      <c r="G791" s="161"/>
    </row>
    <row r="792" spans="1:7">
      <c r="A792" s="209"/>
      <c r="B792" s="214"/>
      <c r="C792" s="211"/>
      <c r="D792" s="212"/>
      <c r="E792" s="220"/>
      <c r="F792" s="161"/>
      <c r="G792" s="161"/>
    </row>
    <row r="793" spans="1:7" ht="26.4">
      <c r="A793" s="209">
        <v>13.3</v>
      </c>
      <c r="B793" s="214" t="s">
        <v>712</v>
      </c>
      <c r="C793" s="211"/>
      <c r="D793" s="212"/>
      <c r="E793" s="220"/>
      <c r="F793" s="161"/>
      <c r="G793" s="161"/>
    </row>
    <row r="794" spans="1:7">
      <c r="A794" s="209" t="s">
        <v>715</v>
      </c>
      <c r="B794" s="214" t="s">
        <v>716</v>
      </c>
      <c r="C794" s="211"/>
      <c r="D794" s="212"/>
      <c r="E794" s="215"/>
      <c r="F794" s="161">
        <v>38</v>
      </c>
      <c r="G794" s="161"/>
    </row>
    <row r="795" spans="1:7">
      <c r="A795" s="209" t="s">
        <v>717</v>
      </c>
      <c r="B795" s="214" t="s">
        <v>718</v>
      </c>
      <c r="C795" s="211"/>
      <c r="D795" s="212"/>
      <c r="E795" s="215"/>
      <c r="F795" s="161">
        <v>210</v>
      </c>
      <c r="G795" s="161"/>
    </row>
    <row r="796" spans="1:7">
      <c r="A796" s="209"/>
      <c r="B796" s="214"/>
      <c r="C796" s="211"/>
      <c r="D796" s="212"/>
      <c r="E796" s="220"/>
      <c r="F796" s="161"/>
      <c r="G796" s="161"/>
    </row>
    <row r="797" spans="1:7" ht="26.4">
      <c r="A797" s="209">
        <v>13.4</v>
      </c>
      <c r="B797" s="214" t="s">
        <v>719</v>
      </c>
      <c r="C797" s="211"/>
      <c r="D797" s="212"/>
      <c r="E797" s="220"/>
      <c r="F797" s="161"/>
      <c r="G797" s="161"/>
    </row>
    <row r="798" spans="1:7">
      <c r="A798" s="209" t="s">
        <v>720</v>
      </c>
      <c r="B798" s="214" t="s">
        <v>721</v>
      </c>
      <c r="C798" s="211"/>
      <c r="D798" s="212"/>
      <c r="E798" s="215"/>
      <c r="F798" s="161">
        <v>10</v>
      </c>
      <c r="G798" s="161"/>
    </row>
    <row r="799" spans="1:7">
      <c r="A799" s="209" t="s">
        <v>722</v>
      </c>
      <c r="B799" s="214" t="s">
        <v>723</v>
      </c>
      <c r="C799" s="211"/>
      <c r="D799" s="212"/>
      <c r="E799" s="215"/>
      <c r="F799" s="161">
        <v>20</v>
      </c>
      <c r="G799" s="161"/>
    </row>
    <row r="800" spans="1:7">
      <c r="A800" s="232" t="s">
        <v>302</v>
      </c>
      <c r="B800" s="206" t="s">
        <v>739</v>
      </c>
      <c r="C800" s="233"/>
      <c r="D800" s="207"/>
      <c r="E800" s="208"/>
      <c r="F800" s="208"/>
      <c r="G800" s="208"/>
    </row>
    <row r="801" spans="1:7">
      <c r="A801" s="209">
        <v>15.1</v>
      </c>
      <c r="B801" s="292" t="s">
        <v>740</v>
      </c>
      <c r="C801" s="211"/>
      <c r="D801" s="230"/>
      <c r="E801" s="215"/>
      <c r="F801" s="161">
        <v>1</v>
      </c>
      <c r="G801" s="161"/>
    </row>
    <row r="802" spans="1:7" ht="26.4">
      <c r="A802" s="293" t="s">
        <v>9</v>
      </c>
      <c r="B802" s="247" t="s">
        <v>1412</v>
      </c>
      <c r="C802" s="294"/>
      <c r="D802" s="248"/>
      <c r="E802" s="249"/>
      <c r="F802" s="250"/>
      <c r="G802" s="250"/>
    </row>
    <row r="803" spans="1:7">
      <c r="A803" s="251">
        <v>1</v>
      </c>
      <c r="B803" s="252" t="s">
        <v>750</v>
      </c>
      <c r="C803" s="253"/>
      <c r="D803" s="254"/>
      <c r="E803" s="255"/>
      <c r="F803" s="110">
        <v>0</v>
      </c>
      <c r="G803" s="110" t="s">
        <v>1529</v>
      </c>
    </row>
    <row r="804" spans="1:7">
      <c r="A804" s="251">
        <v>2</v>
      </c>
      <c r="B804" s="252" t="s">
        <v>751</v>
      </c>
      <c r="C804" s="253"/>
      <c r="D804" s="254"/>
      <c r="E804" s="255"/>
      <c r="F804" s="110">
        <v>0</v>
      </c>
      <c r="G804" s="110" t="s">
        <v>1529</v>
      </c>
    </row>
    <row r="805" spans="1:7">
      <c r="A805" s="251">
        <v>3</v>
      </c>
      <c r="B805" s="252" t="s">
        <v>752</v>
      </c>
      <c r="C805" s="253">
        <v>1</v>
      </c>
      <c r="D805" s="254">
        <v>23.6</v>
      </c>
      <c r="E805" s="255">
        <v>4</v>
      </c>
      <c r="F805" s="105">
        <f>C805*D805*E805</f>
        <v>94.4</v>
      </c>
      <c r="G805" s="105"/>
    </row>
    <row r="806" spans="1:7">
      <c r="A806" s="251">
        <v>4</v>
      </c>
      <c r="B806" s="252" t="s">
        <v>753</v>
      </c>
      <c r="C806" s="253">
        <v>3</v>
      </c>
      <c r="D806" s="254">
        <v>6</v>
      </c>
      <c r="E806" s="255">
        <v>3</v>
      </c>
      <c r="F806" s="105">
        <f>C806*D806*E806</f>
        <v>54</v>
      </c>
      <c r="G806" s="105"/>
    </row>
    <row r="807" spans="1:7">
      <c r="A807" s="251">
        <v>5</v>
      </c>
      <c r="B807" s="252" t="s">
        <v>754</v>
      </c>
      <c r="C807" s="253">
        <v>7</v>
      </c>
      <c r="D807" s="254">
        <v>3</v>
      </c>
      <c r="E807" s="255">
        <v>1</v>
      </c>
      <c r="F807" s="105">
        <f>C807*D807*E807</f>
        <v>21</v>
      </c>
      <c r="G807" s="105"/>
    </row>
    <row r="808" spans="1:7">
      <c r="A808" s="251">
        <v>6</v>
      </c>
      <c r="B808" s="252" t="s">
        <v>1535</v>
      </c>
      <c r="C808" s="253"/>
      <c r="D808" s="254"/>
      <c r="E808" s="255"/>
      <c r="F808" s="110">
        <v>15</v>
      </c>
      <c r="G808" s="110"/>
    </row>
    <row r="809" spans="1:7">
      <c r="A809" s="251">
        <v>7</v>
      </c>
      <c r="B809" s="252" t="s">
        <v>1536</v>
      </c>
      <c r="C809" s="253"/>
      <c r="D809" s="254"/>
      <c r="E809" s="255"/>
      <c r="F809" s="110">
        <v>25</v>
      </c>
      <c r="G809" s="110"/>
    </row>
    <row r="810" spans="1:7">
      <c r="A810" s="251">
        <v>8</v>
      </c>
      <c r="B810" s="144" t="s">
        <v>757</v>
      </c>
      <c r="C810" s="253"/>
      <c r="D810" s="254"/>
      <c r="E810" s="255"/>
      <c r="F810" s="110">
        <v>25</v>
      </c>
      <c r="G810" s="110"/>
    </row>
    <row r="811" spans="1:7">
      <c r="A811" s="251">
        <v>9</v>
      </c>
      <c r="B811" s="252" t="s">
        <v>759</v>
      </c>
      <c r="C811" s="253"/>
      <c r="D811" s="254"/>
      <c r="E811" s="255"/>
      <c r="F811" s="256">
        <v>5</v>
      </c>
      <c r="G811" s="256" t="s">
        <v>1537</v>
      </c>
    </row>
    <row r="812" spans="1:7">
      <c r="A812" s="251">
        <v>10</v>
      </c>
      <c r="B812" s="123" t="s">
        <v>1483</v>
      </c>
      <c r="C812" s="110"/>
      <c r="D812" s="110"/>
      <c r="E812" s="110"/>
      <c r="F812" s="105">
        <v>1</v>
      </c>
      <c r="G812" s="105"/>
    </row>
    <row r="813" spans="1:7">
      <c r="A813" s="156">
        <v>11</v>
      </c>
      <c r="B813" s="123" t="s">
        <v>1590</v>
      </c>
      <c r="C813" s="169"/>
      <c r="D813" s="169"/>
      <c r="E813" s="169"/>
      <c r="F813" s="105">
        <v>3</v>
      </c>
      <c r="G813" s="267"/>
    </row>
  </sheetData>
  <protectedRanges>
    <protectedRange sqref="A210:B210" name="Range1_29"/>
    <protectedRange sqref="D209:D210 D214:D223" name="Range1_14"/>
    <protectedRange sqref="B107:B108 B142:B143 B165:B166 B178 B110:B112 B118:B120 B158:B159 B168 B203:B204 B206" name="Range1_40"/>
    <protectedRange sqref="B474:B477 B389:B392 B449 B421:B435 B451 B444:B445 B468:B470 B486:B488 B496:B499 B501:B503 B525 B541:B543 B611:B613 B323 B599:B602 B575:B576 B606:B608 B99 B567:B570 B481:B484 B341:B356 B564 B517:B519 B527:B531 B535:B538 B560:B562 B812:B813 B327:B337" name="Range1_62"/>
    <protectedRange sqref="D250 D240 D253 G250 G252:G253 F255:G255 F311:G311 F291:G295 F297:G300 F256:F258 G256:G257 G261 G263 F282:G287" name="Range1_7_4"/>
    <protectedRange sqref="A312:A323 A449 A451 A481:A484 A564 A468:A470 A486:A488 A496:A499 A501:A503 A525 A444:A446 A541:A543 A611:A613 A599:A602 A606:A608 A392 A575:A576 A567:A570 A474:A477 A388:A389 A421:A435 A341:A356 A517:A519 A527:A531 A535:A538 A813 A327:A338" name="Range1_12"/>
    <protectedRange sqref="A241:A242" name="Range1_13"/>
    <protectedRange sqref="D102 F102:G102" name="Range1_81"/>
    <protectedRange sqref="A108 A159 A109:B109 A141:B141 A103:B106 A154:B157 A160:B162 B167 A116:B117" name="Range1_82"/>
    <protectedRange sqref="A213:B213 B212 F213:G213" name="Range1_98"/>
    <protectedRange sqref="D225:D226 A239 A218:A223 A339 A324 A228:A229 A357:A358 A436 F225:G226" name="Range1_99"/>
    <protectedRange sqref="B218:B223" name="Range1_1_2"/>
    <protectedRange sqref="A232:A234 A227" name="Range1_21_4"/>
    <protectedRange sqref="A244:A246 A279:A280" name="Range1_22_1"/>
    <protectedRange sqref="A212 B252 A209:B209 A211:B211 A248:A253 A225:B226 B248:B250 A240:B240 A214:B217" name="Range1"/>
    <protectedRange sqref="A56:B56" name="Range1_32"/>
    <protectedRange sqref="A82:B82 A83:A100" name="Range1_38"/>
    <protectedRange sqref="A102:B102" name="Range1_50"/>
    <protectedRange sqref="A115:B115" name="Range1_51"/>
    <protectedRange sqref="A134:B134" name="Range1_58"/>
    <protectedRange sqref="A152:B153" name="Range1_68"/>
    <protectedRange sqref="B251" name="Range1_1_1"/>
    <protectedRange sqref="B253" name="Range1_3_1"/>
    <protectedRange sqref="A256:A258" name="Range1_21_1"/>
    <protectedRange sqref="B256:B258" name="Range1_2_3"/>
    <protectedRange sqref="A260:A266" name="Range1_10"/>
    <protectedRange sqref="B265" name="Range1_3_4"/>
    <protectedRange sqref="B260:B264" name="Range1_3_1_3"/>
    <protectedRange sqref="B266" name="Range1_19_3"/>
    <protectedRange sqref="B271 A268:A271" name="Range1_24"/>
    <protectedRange sqref="B268:B270" name="Range1_4_4"/>
    <protectedRange sqref="D133 A133:B133 F133:G133" name="Range1_33"/>
    <protectedRange sqref="A151:B151 D151 F151:G151" name="Range1_36"/>
    <protectedRange sqref="D231 F231:G231" name="Range1_47"/>
    <protectedRange sqref="B254" name="Range1_2_2"/>
    <protectedRange sqref="B259" name="Range1_3_2"/>
    <protectedRange sqref="B267" name="Range1_4_2"/>
    <protectedRange sqref="A255" name="Range1_21_2"/>
    <protectedRange sqref="B255" name="Range1_2_3_1"/>
    <protectedRange sqref="A231:B231" name="Range1_7"/>
    <protectedRange sqref="A58:A61" name="Range1_48_1"/>
    <protectedRange sqref="A62:A63 A79" name="Range1_76_1"/>
    <protectedRange sqref="A201:B201 D201 F201:G201" name="Range1_25"/>
    <protectedRange sqref="A202" name="Range1_30"/>
    <protectedRange sqref="B202" name="Range1_15_1"/>
    <protectedRange sqref="A278:B278" name="Range1_56"/>
    <protectedRange sqref="B286:B287 A282:A287 A290:B290 A291:A294 A297" name="Range1_22_2"/>
    <protectedRange sqref="B282:B285" name="Range1_5_1_1"/>
    <protectedRange sqref="A298:A300" name="Range1_22_1_1"/>
    <protectedRange sqref="A311 A419" name="Range1_8_2"/>
    <protectedRange sqref="A326" name="Range1_8_4"/>
    <protectedRange sqref="A340" name="Range1_8_5"/>
    <protectedRange sqref="F188:G188" name="Range1_7_4_2"/>
    <protectedRange sqref="A189:A195" name="Range1_17_1"/>
    <protectedRange sqref="A187:B187 D187 F187:G187" name="Range1_25_1"/>
    <protectedRange sqref="A188:B188" name="Range1_34"/>
    <protectedRange sqref="B289" name="Range1_40_4"/>
    <protectedRange sqref="A288" name="Range1_22_7"/>
    <protectedRange sqref="B546:B553" name="Range1_62_3"/>
    <protectedRange sqref="A546:A553" name="Range1_12_2"/>
    <protectedRange sqref="A180:B186" name="Range1_3"/>
    <protectedRange sqref="A196:B196 D196 F196:G196" name="Range1_4"/>
    <protectedRange sqref="A197" name="Range1_6"/>
    <protectedRange sqref="B197" name="Range1_14_1"/>
    <protectedRange sqref="A123:A130" name="Range1_8"/>
    <protectedRange sqref="B123:B130" name="Range1_13_1"/>
    <protectedRange sqref="A55:B55 D55 F55:G55" name="Range1_5"/>
    <protectedRange sqref="A3:B3 D3 D5:D25 A28:B35 D27:D34 A37:B47 D36:D46 D48:D50 A49:B51 A6:B26 A53:B54 F3:G3 F5:G5 F57:G60 F10:G54" name="Range1_9"/>
    <protectedRange sqref="A81:B81 D81 F81:G81" name="Range1_11"/>
    <protectedRange sqref="A101:B101 D101 F101:G101" name="Range1_15"/>
    <protectedRange sqref="A114:B114 D114 F114:G114" name="Range1_19"/>
    <protectedRange sqref="A122:B122 D122 F122:G122" name="Range1_1"/>
    <protectedRange sqref="A132:B132 D132 F132:G132" name="Range1_20"/>
    <protectedRange sqref="A208:B208 D208 F208:G208" name="Range1_21"/>
    <protectedRange sqref="A230:B230 D230 F230:G230" name="Range1_22"/>
    <protectedRange sqref="A247:B247 D247 F247:G247" name="Range1_23"/>
    <protectedRange sqref="A254 D254 F254:G254" name="Range1_26"/>
    <protectedRange sqref="B254" name="Range1_2_1"/>
    <protectedRange sqref="A259 D259 F259:G259" name="Range1_27"/>
    <protectedRange sqref="B259" name="Range1_3_3"/>
    <protectedRange sqref="A267 D267 F267:G267" name="Range1_28"/>
    <protectedRange sqref="B267" name="Range1_4_1"/>
    <protectedRange sqref="A277:B277 D277 F277:G277" name="Range1_31"/>
    <protectedRange sqref="A281 D281 F281:G281" name="Range1_35"/>
    <protectedRange sqref="B281" name="Range1_5_2"/>
    <protectedRange sqref="A309" name="Range1_1_1_1"/>
    <protectedRange sqref="A310" name="Range1_1_1_2"/>
    <protectedRange sqref="A325" name="Range1_1_1_3"/>
    <protectedRange sqref="A4:B4 D4 F4:G4" name="Range1_16"/>
    <protectedRange sqref="A5:B5" name="Range1_37"/>
    <protectedRange sqref="A27:B27" name="Range1_41"/>
    <protectedRange sqref="A36:B36" name="Range1_42"/>
    <protectedRange sqref="A48:B48" name="Range1_43"/>
    <protectedRange sqref="A146:B146" name="Range1_44"/>
    <protectedRange sqref="A52" name="Range1_45"/>
    <protectedRange sqref="B52" name="Range1_8_1"/>
    <protectedRange sqref="A295" name="Range1_18"/>
  </protectedRanges>
  <mergeCells count="60">
    <mergeCell ref="C26:E26"/>
    <mergeCell ref="C35:E35"/>
    <mergeCell ref="C47:E47"/>
    <mergeCell ref="C51:E51"/>
    <mergeCell ref="A1:G1"/>
    <mergeCell ref="C54:E54"/>
    <mergeCell ref="C80:E80"/>
    <mergeCell ref="C100:E100"/>
    <mergeCell ref="C113:E113"/>
    <mergeCell ref="C121:E121"/>
    <mergeCell ref="C131:E131"/>
    <mergeCell ref="C145:E145"/>
    <mergeCell ref="C150:E150"/>
    <mergeCell ref="C179:E179"/>
    <mergeCell ref="C186:E186"/>
    <mergeCell ref="C195:E195"/>
    <mergeCell ref="C200:E200"/>
    <mergeCell ref="C207:E207"/>
    <mergeCell ref="C213:E213"/>
    <mergeCell ref="C224:E224"/>
    <mergeCell ref="C229:E229"/>
    <mergeCell ref="C239:E239"/>
    <mergeCell ref="C246:E246"/>
    <mergeCell ref="C280:E280"/>
    <mergeCell ref="C290:E290"/>
    <mergeCell ref="C308:E308"/>
    <mergeCell ref="C324:E324"/>
    <mergeCell ref="C339:E339"/>
    <mergeCell ref="C357:E357"/>
    <mergeCell ref="C380:E380"/>
    <mergeCell ref="C392:E392"/>
    <mergeCell ref="C419:E419"/>
    <mergeCell ref="C436:E436"/>
    <mergeCell ref="C441:E441"/>
    <mergeCell ref="C446:E446"/>
    <mergeCell ref="C459:E459"/>
    <mergeCell ref="C465:E465"/>
    <mergeCell ref="C470:E470"/>
    <mergeCell ref="C477:E477"/>
    <mergeCell ref="C484:E484"/>
    <mergeCell ref="C488:E488"/>
    <mergeCell ref="C493:E493"/>
    <mergeCell ref="C499:E499"/>
    <mergeCell ref="C503:E503"/>
    <mergeCell ref="C513:E513"/>
    <mergeCell ref="C519:E519"/>
    <mergeCell ref="C525:E525"/>
    <mergeCell ref="C530:E530"/>
    <mergeCell ref="C538:E538"/>
    <mergeCell ref="C543:E543"/>
    <mergeCell ref="C553:E553"/>
    <mergeCell ref="C564:E564"/>
    <mergeCell ref="C570:E570"/>
    <mergeCell ref="C576:E576"/>
    <mergeCell ref="C594:E594"/>
    <mergeCell ref="C602:E602"/>
    <mergeCell ref="C608:E608"/>
    <mergeCell ref="C613:E613"/>
    <mergeCell ref="C630:E630"/>
    <mergeCell ref="C646:E646"/>
  </mergeCells>
  <phoneticPr fontId="61" alignment="center"/>
  <printOptions horizontalCentered="1"/>
  <pageMargins left="0.7" right="0.7" top="0.75" bottom="0.75" header="0.3" footer="0.3"/>
  <pageSetup paperSize="9" scale="63" orientation="portrait" r:id="rId1"/>
  <headerFooter>
    <oddHeader>&amp;R&amp;"+,Bold"TEAMSWIFT PROJECTS PVT. LTD.</oddHeader>
    <oddFooter>&amp;R&amp;"+,Bold"Page&amp;"+,Regular"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0F455-FAC8-4954-A895-B67E7D85B72C}">
  <sheetPr codeName="Sheet2"/>
  <dimension ref="A1:J14"/>
  <sheetViews>
    <sheetView topLeftCell="A4" workbookViewId="0">
      <selection activeCell="E5" sqref="E5"/>
    </sheetView>
  </sheetViews>
  <sheetFormatPr defaultRowHeight="14.4"/>
  <cols>
    <col min="3" max="3" width="44.109375" customWidth="1"/>
    <col min="5" max="5" width="11.21875" bestFit="1" customWidth="1"/>
    <col min="7" max="7" width="12.109375" bestFit="1" customWidth="1"/>
    <col min="8" max="8" width="8.44140625" bestFit="1" customWidth="1"/>
    <col min="9" max="9" width="12.109375" bestFit="1" customWidth="1"/>
    <col min="10" max="10" width="35" customWidth="1"/>
    <col min="12" max="12" width="11.109375" customWidth="1"/>
  </cols>
  <sheetData>
    <row r="1" spans="1:10" ht="41.4">
      <c r="A1" s="462" t="s">
        <v>1592</v>
      </c>
      <c r="B1" s="462" t="s">
        <v>1593</v>
      </c>
      <c r="C1" s="462" t="s">
        <v>11</v>
      </c>
      <c r="D1" s="462" t="s">
        <v>1543</v>
      </c>
      <c r="E1" s="462" t="s">
        <v>1544</v>
      </c>
      <c r="F1" s="462" t="s">
        <v>1594</v>
      </c>
      <c r="G1" s="462" t="s">
        <v>1595</v>
      </c>
      <c r="H1" s="462" t="s">
        <v>1596</v>
      </c>
      <c r="I1" s="462" t="s">
        <v>1597</v>
      </c>
      <c r="J1" s="462" t="s">
        <v>1551</v>
      </c>
    </row>
    <row r="2" spans="1:10">
      <c r="A2" s="463"/>
      <c r="B2" s="463"/>
      <c r="C2" s="463"/>
      <c r="D2" s="463"/>
      <c r="E2" s="463"/>
      <c r="F2" s="463"/>
      <c r="G2" s="463"/>
      <c r="H2" s="463"/>
      <c r="I2" s="463"/>
      <c r="J2" s="463"/>
    </row>
    <row r="3" spans="1:10">
      <c r="A3" s="462"/>
      <c r="B3" s="462"/>
      <c r="C3" s="462" t="s">
        <v>1570</v>
      </c>
      <c r="D3" s="462"/>
      <c r="E3" s="462"/>
      <c r="F3" s="462"/>
      <c r="G3" s="462"/>
      <c r="H3" s="462"/>
      <c r="I3" s="462"/>
      <c r="J3" s="462"/>
    </row>
    <row r="4" spans="1:10" ht="386.4">
      <c r="A4" s="470" t="s">
        <v>16</v>
      </c>
      <c r="B4" s="471" t="s">
        <v>16</v>
      </c>
      <c r="C4" s="464" t="s">
        <v>1599</v>
      </c>
      <c r="D4" s="463" t="s">
        <v>522</v>
      </c>
      <c r="E4" s="468">
        <v>28249</v>
      </c>
      <c r="F4" s="465">
        <v>2</v>
      </c>
      <c r="G4" s="466">
        <f t="shared" ref="G4:G8" si="0">F4*E4</f>
        <v>56498</v>
      </c>
      <c r="H4" s="465">
        <f>F4-0.25</f>
        <v>1.75</v>
      </c>
      <c r="I4" s="466">
        <f t="shared" ref="I4:I8" si="1">H4*E4</f>
        <v>49435.75</v>
      </c>
      <c r="J4" s="467" t="s">
        <v>1600</v>
      </c>
    </row>
    <row r="5" spans="1:10" ht="69">
      <c r="A5" s="469" t="s">
        <v>1601</v>
      </c>
      <c r="B5" s="464" t="s">
        <v>21</v>
      </c>
      <c r="C5" s="464" t="s">
        <v>181</v>
      </c>
      <c r="D5" s="463"/>
      <c r="E5" s="468">
        <v>20488</v>
      </c>
      <c r="F5" s="465">
        <v>8</v>
      </c>
      <c r="G5" s="466">
        <f t="shared" si="0"/>
        <v>163904</v>
      </c>
      <c r="H5" s="465">
        <v>7.65</v>
      </c>
      <c r="I5" s="466">
        <f t="shared" si="1"/>
        <v>156733.20000000001</v>
      </c>
      <c r="J5" s="467" t="s">
        <v>1602</v>
      </c>
    </row>
    <row r="6" spans="1:10" ht="276">
      <c r="A6" s="469" t="s">
        <v>1603</v>
      </c>
      <c r="B6" s="464" t="s">
        <v>16</v>
      </c>
      <c r="C6" s="464" t="s">
        <v>185</v>
      </c>
      <c r="D6" s="463"/>
      <c r="E6" s="468">
        <v>16568</v>
      </c>
      <c r="F6" s="465">
        <v>2</v>
      </c>
      <c r="G6" s="466">
        <f t="shared" si="0"/>
        <v>33136</v>
      </c>
      <c r="H6" s="465">
        <v>1.89</v>
      </c>
      <c r="I6" s="466">
        <f t="shared" si="1"/>
        <v>31313.519999999997</v>
      </c>
      <c r="J6" s="467" t="s">
        <v>1602</v>
      </c>
    </row>
    <row r="7" spans="1:10" ht="289.8">
      <c r="A7" s="469" t="s">
        <v>1604</v>
      </c>
      <c r="B7" s="464" t="s">
        <v>16</v>
      </c>
      <c r="C7" s="464" t="s">
        <v>190</v>
      </c>
      <c r="D7" s="463"/>
      <c r="E7" s="468">
        <v>24336</v>
      </c>
      <c r="F7" s="465">
        <v>1</v>
      </c>
      <c r="G7" s="466">
        <f t="shared" si="0"/>
        <v>24336</v>
      </c>
      <c r="H7" s="465">
        <v>0.96</v>
      </c>
      <c r="I7" s="466">
        <f t="shared" si="1"/>
        <v>23362.559999999998</v>
      </c>
      <c r="J7" s="467" t="s">
        <v>1602</v>
      </c>
    </row>
    <row r="8" spans="1:10" ht="303.60000000000002">
      <c r="A8" s="469" t="s">
        <v>1605</v>
      </c>
      <c r="B8" s="464" t="s">
        <v>16</v>
      </c>
      <c r="C8" s="464" t="s">
        <v>193</v>
      </c>
      <c r="D8" s="463" t="s">
        <v>74</v>
      </c>
      <c r="E8" s="468">
        <v>3813</v>
      </c>
      <c r="F8" s="465">
        <v>4.4400000000000004</v>
      </c>
      <c r="G8" s="466">
        <f t="shared" si="0"/>
        <v>16929.72</v>
      </c>
      <c r="H8" s="465">
        <v>4.2</v>
      </c>
      <c r="I8" s="466">
        <f t="shared" si="1"/>
        <v>16014.6</v>
      </c>
      <c r="J8" s="467" t="s">
        <v>1602</v>
      </c>
    </row>
    <row r="9" spans="1:10">
      <c r="A9" s="470"/>
      <c r="B9" s="471"/>
      <c r="C9" s="464"/>
      <c r="D9" s="463"/>
      <c r="E9" s="468"/>
      <c r="F9" s="465"/>
      <c r="G9" s="466"/>
      <c r="H9" s="465"/>
      <c r="I9" s="466"/>
      <c r="J9" s="467"/>
    </row>
    <row r="10" spans="1:10">
      <c r="A10" s="470"/>
      <c r="B10" s="471"/>
      <c r="C10" s="464"/>
      <c r="D10" s="463"/>
      <c r="E10" s="468"/>
      <c r="F10" s="465"/>
      <c r="G10" s="466"/>
      <c r="H10" s="465"/>
      <c r="I10" s="466"/>
      <c r="J10" s="467"/>
    </row>
    <row r="11" spans="1:10">
      <c r="A11" s="470"/>
      <c r="B11" s="471"/>
      <c r="C11" s="464"/>
      <c r="D11" s="463"/>
      <c r="E11" s="468"/>
      <c r="F11" s="465"/>
      <c r="G11" s="466"/>
      <c r="H11" s="465"/>
      <c r="I11" s="466"/>
      <c r="J11" s="467"/>
    </row>
    <row r="12" spans="1:10">
      <c r="A12" s="462"/>
      <c r="B12" s="462"/>
      <c r="C12" s="462" t="s">
        <v>301</v>
      </c>
      <c r="D12" s="462"/>
      <c r="E12" s="462"/>
      <c r="F12" s="462"/>
      <c r="G12" s="462"/>
      <c r="H12" s="462"/>
      <c r="I12" s="462"/>
      <c r="J12" s="462"/>
    </row>
    <row r="13" spans="1:10" ht="69">
      <c r="A13" s="472" t="s">
        <v>1606</v>
      </c>
      <c r="B13" s="473" t="s">
        <v>318</v>
      </c>
      <c r="C13" s="474" t="s">
        <v>1607</v>
      </c>
      <c r="D13" s="475" t="s">
        <v>522</v>
      </c>
      <c r="E13" s="476">
        <v>155313</v>
      </c>
      <c r="F13" s="465">
        <v>1</v>
      </c>
      <c r="G13" s="466">
        <f>F13*E13</f>
        <v>155313</v>
      </c>
      <c r="H13" s="465">
        <f>F13-0.065</f>
        <v>0.93500000000000005</v>
      </c>
      <c r="I13" s="466">
        <f>H13*E13</f>
        <v>145217.655</v>
      </c>
      <c r="J13" s="467" t="s">
        <v>1608</v>
      </c>
    </row>
    <row r="14" spans="1:10">
      <c r="A14" s="467"/>
      <c r="B14" s="467"/>
      <c r="C14" s="467"/>
      <c r="D14" s="467"/>
      <c r="E14" s="467"/>
      <c r="F14" s="467"/>
      <c r="G14" s="467"/>
      <c r="H14" s="467"/>
      <c r="I14" s="467"/>
      <c r="J14" s="46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45D2-B8F2-4504-8DD0-3C0D48A662C2}">
  <sheetPr codeName="Sheet6"/>
  <dimension ref="A1:E40"/>
  <sheetViews>
    <sheetView workbookViewId="0">
      <selection sqref="A1:E40"/>
    </sheetView>
  </sheetViews>
  <sheetFormatPr defaultRowHeight="14.4"/>
  <cols>
    <col min="2" max="2" width="17.109375" customWidth="1"/>
    <col min="3" max="3" width="5" bestFit="1" customWidth="1"/>
    <col min="4" max="4" width="8.6640625" bestFit="1" customWidth="1"/>
    <col min="5" max="5" width="25.21875" customWidth="1"/>
  </cols>
  <sheetData>
    <row r="1" spans="1:5" ht="27.6">
      <c r="A1" s="504" t="s">
        <v>10</v>
      </c>
      <c r="B1" s="504" t="s">
        <v>1624</v>
      </c>
      <c r="C1" s="504" t="s">
        <v>1543</v>
      </c>
      <c r="D1" s="504" t="s">
        <v>1625</v>
      </c>
      <c r="E1" s="504" t="s">
        <v>1626</v>
      </c>
    </row>
    <row r="2" spans="1:5">
      <c r="A2" s="535" t="s">
        <v>13</v>
      </c>
      <c r="B2" s="535"/>
      <c r="C2" s="535"/>
      <c r="D2" s="535"/>
      <c r="E2" s="535"/>
    </row>
    <row r="3" spans="1:5" ht="39.6">
      <c r="A3" s="505">
        <v>1</v>
      </c>
      <c r="B3" s="506" t="s">
        <v>20</v>
      </c>
      <c r="C3" s="506" t="s">
        <v>18</v>
      </c>
      <c r="D3" s="507">
        <v>932.39</v>
      </c>
      <c r="E3" s="506" t="s">
        <v>1627</v>
      </c>
    </row>
    <row r="4" spans="1:5" ht="39.6">
      <c r="A4" s="505">
        <v>2</v>
      </c>
      <c r="B4" s="506" t="s">
        <v>22</v>
      </c>
      <c r="C4" s="506" t="s">
        <v>18</v>
      </c>
      <c r="D4" s="507">
        <v>459.73</v>
      </c>
      <c r="E4" s="506" t="s">
        <v>1627</v>
      </c>
    </row>
    <row r="5" spans="1:5" ht="52.8">
      <c r="A5" s="505">
        <v>3</v>
      </c>
      <c r="B5" s="506" t="s">
        <v>24</v>
      </c>
      <c r="C5" s="506" t="s">
        <v>18</v>
      </c>
      <c r="D5" s="507">
        <v>540.83000000000004</v>
      </c>
      <c r="E5" s="506" t="s">
        <v>1628</v>
      </c>
    </row>
    <row r="6" spans="1:5" ht="26.4">
      <c r="A6" s="505">
        <v>4</v>
      </c>
      <c r="B6" s="506" t="s">
        <v>1629</v>
      </c>
      <c r="C6" s="506" t="s">
        <v>522</v>
      </c>
      <c r="D6" s="507">
        <v>16</v>
      </c>
      <c r="E6" s="506" t="s">
        <v>1630</v>
      </c>
    </row>
    <row r="7" spans="1:5" ht="39.6">
      <c r="A7" s="505">
        <v>5</v>
      </c>
      <c r="B7" s="508" t="s">
        <v>41</v>
      </c>
      <c r="C7" s="508" t="s">
        <v>18</v>
      </c>
      <c r="D7" s="507">
        <v>2</v>
      </c>
      <c r="E7" s="506" t="s">
        <v>1628</v>
      </c>
    </row>
    <row r="8" spans="1:5">
      <c r="A8" s="505">
        <v>6</v>
      </c>
      <c r="B8" s="536" t="s">
        <v>1642</v>
      </c>
      <c r="C8" s="536"/>
      <c r="D8" s="536"/>
      <c r="E8" s="536"/>
    </row>
    <row r="9" spans="1:5">
      <c r="A9" s="505"/>
      <c r="B9" s="511" t="s">
        <v>801</v>
      </c>
      <c r="C9" s="508" t="s">
        <v>18</v>
      </c>
      <c r="D9" s="507">
        <v>21</v>
      </c>
      <c r="E9" s="506" t="s">
        <v>1628</v>
      </c>
    </row>
    <row r="10" spans="1:5">
      <c r="A10" s="505"/>
      <c r="B10" s="512" t="s">
        <v>811</v>
      </c>
      <c r="C10" s="508" t="s">
        <v>18</v>
      </c>
      <c r="D10" s="507">
        <v>22</v>
      </c>
      <c r="E10" s="508"/>
    </row>
    <row r="11" spans="1:5">
      <c r="A11" s="505"/>
      <c r="B11" s="512" t="s">
        <v>812</v>
      </c>
      <c r="C11" s="508" t="s">
        <v>18</v>
      </c>
      <c r="D11" s="507">
        <v>8</v>
      </c>
      <c r="E11" s="508"/>
    </row>
    <row r="12" spans="1:5">
      <c r="A12" s="505"/>
      <c r="B12" s="512" t="s">
        <v>814</v>
      </c>
      <c r="C12" s="508" t="s">
        <v>18</v>
      </c>
      <c r="D12" s="507">
        <v>6</v>
      </c>
      <c r="E12" s="508"/>
    </row>
    <row r="13" spans="1:5">
      <c r="A13" s="505"/>
      <c r="B13" s="512" t="s">
        <v>815</v>
      </c>
      <c r="C13" s="508" t="s">
        <v>18</v>
      </c>
      <c r="D13" s="507">
        <v>24</v>
      </c>
      <c r="E13" s="508"/>
    </row>
    <row r="14" spans="1:5">
      <c r="A14" s="505"/>
      <c r="B14" s="512" t="s">
        <v>816</v>
      </c>
      <c r="C14" s="508" t="s">
        <v>18</v>
      </c>
      <c r="D14" s="507">
        <v>6</v>
      </c>
      <c r="E14" s="508"/>
    </row>
    <row r="15" spans="1:5">
      <c r="A15" s="505"/>
      <c r="B15" s="512" t="s">
        <v>817</v>
      </c>
      <c r="C15" s="508" t="s">
        <v>18</v>
      </c>
      <c r="D15" s="507">
        <v>6</v>
      </c>
      <c r="E15" s="508"/>
    </row>
    <row r="16" spans="1:5">
      <c r="A16" s="505">
        <v>7</v>
      </c>
      <c r="B16" s="536" t="s">
        <v>62</v>
      </c>
      <c r="C16" s="536"/>
      <c r="D16" s="536"/>
      <c r="E16" s="536"/>
    </row>
    <row r="17" spans="1:5">
      <c r="A17" s="505"/>
      <c r="B17" s="513" t="s">
        <v>825</v>
      </c>
      <c r="C17" s="508" t="s">
        <v>18</v>
      </c>
      <c r="D17" s="514">
        <v>58.5</v>
      </c>
      <c r="E17" s="508"/>
    </row>
    <row r="18" spans="1:5">
      <c r="A18" s="505"/>
      <c r="B18" s="513" t="s">
        <v>826</v>
      </c>
      <c r="C18" s="508" t="s">
        <v>18</v>
      </c>
      <c r="D18" s="514">
        <v>58.5</v>
      </c>
      <c r="E18" s="508"/>
    </row>
    <row r="19" spans="1:5" ht="26.4">
      <c r="A19" s="505"/>
      <c r="B19" s="513" t="s">
        <v>827</v>
      </c>
      <c r="C19" s="508" t="s">
        <v>18</v>
      </c>
      <c r="D19" s="514">
        <v>15</v>
      </c>
      <c r="E19" s="508"/>
    </row>
    <row r="20" spans="1:5" ht="26.4">
      <c r="A20" s="505">
        <v>8</v>
      </c>
      <c r="B20" s="508" t="s">
        <v>1643</v>
      </c>
      <c r="C20" s="508" t="s">
        <v>18</v>
      </c>
      <c r="D20" s="507">
        <v>285.08</v>
      </c>
      <c r="E20" s="508" t="s">
        <v>1445</v>
      </c>
    </row>
    <row r="21" spans="1:5">
      <c r="A21" s="505">
        <v>9</v>
      </c>
      <c r="B21" s="508" t="s">
        <v>1631</v>
      </c>
      <c r="C21" s="508" t="s">
        <v>18</v>
      </c>
      <c r="D21" s="507">
        <v>109.28</v>
      </c>
      <c r="E21" s="508" t="s">
        <v>1445</v>
      </c>
    </row>
    <row r="22" spans="1:5">
      <c r="A22" s="505">
        <v>10</v>
      </c>
      <c r="B22" s="508" t="s">
        <v>1644</v>
      </c>
      <c r="C22" s="508" t="s">
        <v>18</v>
      </c>
      <c r="D22" s="507">
        <v>534.5</v>
      </c>
      <c r="E22" s="508" t="s">
        <v>1445</v>
      </c>
    </row>
    <row r="23" spans="1:5" ht="26.4">
      <c r="A23" s="505">
        <v>11</v>
      </c>
      <c r="B23" s="508" t="s">
        <v>86</v>
      </c>
      <c r="C23" s="508" t="s">
        <v>18</v>
      </c>
      <c r="D23" s="515">
        <v>2191.5</v>
      </c>
      <c r="E23" s="508" t="s">
        <v>1645</v>
      </c>
    </row>
    <row r="24" spans="1:5" ht="39.6">
      <c r="A24" s="505">
        <v>12</v>
      </c>
      <c r="B24" s="508" t="s">
        <v>893</v>
      </c>
      <c r="C24" s="508" t="s">
        <v>74</v>
      </c>
      <c r="D24" s="507">
        <v>190</v>
      </c>
      <c r="E24" s="508" t="s">
        <v>1445</v>
      </c>
    </row>
    <row r="25" spans="1:5" ht="66">
      <c r="A25" s="505">
        <v>13</v>
      </c>
      <c r="B25" s="508" t="s">
        <v>894</v>
      </c>
      <c r="C25" s="508" t="s">
        <v>522</v>
      </c>
      <c r="D25" s="507">
        <v>1</v>
      </c>
      <c r="E25" s="508" t="s">
        <v>1445</v>
      </c>
    </row>
    <row r="26" spans="1:5">
      <c r="A26" s="505">
        <v>14</v>
      </c>
      <c r="B26" s="508" t="s">
        <v>1632</v>
      </c>
      <c r="C26" s="508" t="s">
        <v>18</v>
      </c>
      <c r="D26" s="507">
        <v>350</v>
      </c>
      <c r="E26" s="508" t="s">
        <v>1445</v>
      </c>
    </row>
    <row r="27" spans="1:5">
      <c r="A27" s="505">
        <v>15</v>
      </c>
      <c r="B27" s="508" t="s">
        <v>1646</v>
      </c>
      <c r="C27" s="508" t="s">
        <v>522</v>
      </c>
      <c r="D27" s="507">
        <v>3</v>
      </c>
      <c r="E27" s="508" t="s">
        <v>1456</v>
      </c>
    </row>
    <row r="28" spans="1:5" ht="26.4">
      <c r="A28" s="505">
        <v>16</v>
      </c>
      <c r="B28" s="508" t="s">
        <v>1647</v>
      </c>
      <c r="C28" s="508" t="s">
        <v>18</v>
      </c>
      <c r="D28" s="507">
        <v>49.76</v>
      </c>
      <c r="E28" s="508" t="s">
        <v>1445</v>
      </c>
    </row>
    <row r="29" spans="1:5" ht="52.8">
      <c r="A29" s="505">
        <v>17</v>
      </c>
      <c r="B29" s="508" t="s">
        <v>1648</v>
      </c>
      <c r="C29" s="508"/>
      <c r="D29" s="507"/>
      <c r="E29" s="508" t="s">
        <v>1445</v>
      </c>
    </row>
    <row r="30" spans="1:5" ht="39.6">
      <c r="A30" s="505">
        <v>18</v>
      </c>
      <c r="B30" s="508" t="s">
        <v>1649</v>
      </c>
      <c r="C30" s="508" t="s">
        <v>522</v>
      </c>
      <c r="D30" s="507">
        <v>1</v>
      </c>
      <c r="E30" s="508" t="s">
        <v>1445</v>
      </c>
    </row>
    <row r="31" spans="1:5" ht="39.6">
      <c r="A31" s="505">
        <v>19</v>
      </c>
      <c r="B31" s="508" t="s">
        <v>1650</v>
      </c>
      <c r="C31" s="508" t="s">
        <v>522</v>
      </c>
      <c r="D31" s="507">
        <v>1</v>
      </c>
      <c r="E31" s="508" t="s">
        <v>1651</v>
      </c>
    </row>
    <row r="32" spans="1:5" ht="52.8">
      <c r="A32" s="505">
        <v>20</v>
      </c>
      <c r="B32" s="508" t="s">
        <v>1652</v>
      </c>
      <c r="C32" s="508" t="s">
        <v>522</v>
      </c>
      <c r="D32" s="507">
        <v>1</v>
      </c>
      <c r="E32" s="508" t="s">
        <v>1651</v>
      </c>
    </row>
    <row r="33" spans="1:5" ht="52.8">
      <c r="A33" s="505">
        <v>21</v>
      </c>
      <c r="B33" s="508" t="s">
        <v>1653</v>
      </c>
      <c r="C33" s="508" t="s">
        <v>522</v>
      </c>
      <c r="D33" s="507">
        <v>1</v>
      </c>
      <c r="E33" s="508" t="s">
        <v>1651</v>
      </c>
    </row>
    <row r="34" spans="1:5" ht="39.6">
      <c r="A34" s="505">
        <v>22</v>
      </c>
      <c r="B34" s="508" t="s">
        <v>1654</v>
      </c>
      <c r="C34" s="508" t="s">
        <v>522</v>
      </c>
      <c r="D34" s="507">
        <v>4</v>
      </c>
      <c r="E34" s="508" t="s">
        <v>1651</v>
      </c>
    </row>
    <row r="35" spans="1:5" ht="26.4">
      <c r="A35" s="505">
        <v>23</v>
      </c>
      <c r="B35" s="508" t="s">
        <v>1633</v>
      </c>
      <c r="C35" s="508"/>
      <c r="D35" s="507"/>
      <c r="E35" s="508" t="s">
        <v>1634</v>
      </c>
    </row>
    <row r="36" spans="1:5" ht="105.6">
      <c r="A36" s="505">
        <v>24</v>
      </c>
      <c r="B36" s="508" t="s">
        <v>1635</v>
      </c>
      <c r="C36" s="508"/>
      <c r="D36" s="507"/>
      <c r="E36" s="537" t="s">
        <v>1636</v>
      </c>
    </row>
    <row r="37" spans="1:5" ht="26.4">
      <c r="A37" s="505">
        <v>25</v>
      </c>
      <c r="B37" s="508" t="s">
        <v>1637</v>
      </c>
      <c r="C37" s="508"/>
      <c r="D37" s="507"/>
      <c r="E37" s="537"/>
    </row>
    <row r="38" spans="1:5">
      <c r="A38" s="505">
        <v>26</v>
      </c>
      <c r="B38" s="509" t="s">
        <v>237</v>
      </c>
      <c r="C38" s="508"/>
      <c r="D38" s="507"/>
      <c r="E38" s="537"/>
    </row>
    <row r="39" spans="1:5" ht="39.6">
      <c r="A39" s="505">
        <v>27</v>
      </c>
      <c r="B39" s="505" t="s">
        <v>1638</v>
      </c>
      <c r="C39" s="505"/>
      <c r="D39" s="507"/>
      <c r="E39" s="510" t="s">
        <v>1639</v>
      </c>
    </row>
    <row r="40" spans="1:5">
      <c r="A40" s="505">
        <v>28</v>
      </c>
      <c r="B40" s="505" t="s">
        <v>1640</v>
      </c>
      <c r="C40" s="505"/>
      <c r="D40" s="507"/>
      <c r="E40" s="505" t="s">
        <v>1641</v>
      </c>
    </row>
  </sheetData>
  <mergeCells count="4">
    <mergeCell ref="A2:E2"/>
    <mergeCell ref="B8:E8"/>
    <mergeCell ref="B16:E16"/>
    <mergeCell ref="E36:E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E130"/>
  <sheetViews>
    <sheetView view="pageBreakPreview" topLeftCell="A48" zoomScale="90" zoomScaleNormal="100" workbookViewId="0">
      <selection activeCell="F55" sqref="F55"/>
    </sheetView>
  </sheetViews>
  <sheetFormatPr defaultColWidth="9.109375" defaultRowHeight="13.8"/>
  <cols>
    <col min="1" max="1" width="9.109375" style="1"/>
    <col min="2" max="2" width="35.109375" style="2" customWidth="1"/>
    <col min="3" max="3" width="20" style="3" customWidth="1"/>
    <col min="4" max="4" width="47.88671875" style="4" customWidth="1"/>
    <col min="5" max="5" width="14.88671875" style="2" customWidth="1"/>
    <col min="6" max="16384" width="9.109375" style="2"/>
  </cols>
  <sheetData>
    <row r="1" spans="1:4" ht="15" customHeight="1">
      <c r="A1" s="538" t="s">
        <v>996</v>
      </c>
      <c r="B1" s="538"/>
      <c r="C1" s="538"/>
      <c r="D1" s="538"/>
    </row>
    <row r="2" spans="1:4">
      <c r="A2" s="5"/>
      <c r="B2" s="5" t="s">
        <v>997</v>
      </c>
      <c r="C2" s="6" t="s">
        <v>998</v>
      </c>
      <c r="D2" s="7" t="s">
        <v>999</v>
      </c>
    </row>
    <row r="3" spans="1:4">
      <c r="A3" s="8"/>
      <c r="B3" s="9" t="s">
        <v>1000</v>
      </c>
      <c r="C3" s="10"/>
      <c r="D3" s="11"/>
    </row>
    <row r="4" spans="1:4" ht="409.6">
      <c r="A4" s="12">
        <v>1</v>
      </c>
      <c r="B4" s="13" t="s">
        <v>1001</v>
      </c>
      <c r="C4" s="14" t="s">
        <v>1002</v>
      </c>
      <c r="D4" s="15" t="s">
        <v>1003</v>
      </c>
    </row>
    <row r="5" spans="1:4" ht="207">
      <c r="A5" s="12">
        <v>2</v>
      </c>
      <c r="B5" s="13" t="s">
        <v>1004</v>
      </c>
      <c r="C5" s="16" t="s">
        <v>1002</v>
      </c>
      <c r="D5" s="17" t="s">
        <v>1005</v>
      </c>
    </row>
    <row r="6" spans="1:4" ht="303.60000000000002">
      <c r="A6" s="12">
        <v>3</v>
      </c>
      <c r="B6" s="13" t="s">
        <v>1006</v>
      </c>
      <c r="C6" s="14" t="s">
        <v>1002</v>
      </c>
      <c r="D6" s="15" t="s">
        <v>1007</v>
      </c>
    </row>
    <row r="7" spans="1:4">
      <c r="A7" s="12">
        <v>4</v>
      </c>
      <c r="B7" s="18" t="s">
        <v>1008</v>
      </c>
      <c r="C7" s="10" t="s">
        <v>1009</v>
      </c>
      <c r="D7" s="11" t="s">
        <v>1010</v>
      </c>
    </row>
    <row r="8" spans="1:4">
      <c r="A8" s="12">
        <v>5</v>
      </c>
      <c r="B8" s="18" t="s">
        <v>1011</v>
      </c>
      <c r="C8" s="10" t="s">
        <v>1009</v>
      </c>
      <c r="D8" s="11" t="s">
        <v>1012</v>
      </c>
    </row>
    <row r="9" spans="1:4">
      <c r="A9" s="12">
        <v>6</v>
      </c>
      <c r="B9" s="18" t="s">
        <v>1013</v>
      </c>
      <c r="C9" s="10" t="s">
        <v>1009</v>
      </c>
      <c r="D9" s="11" t="s">
        <v>1014</v>
      </c>
    </row>
    <row r="10" spans="1:4">
      <c r="A10" s="12">
        <v>7</v>
      </c>
      <c r="B10" s="18" t="s">
        <v>1015</v>
      </c>
      <c r="C10" s="10" t="s">
        <v>1009</v>
      </c>
      <c r="D10" s="11" t="s">
        <v>1016</v>
      </c>
    </row>
    <row r="11" spans="1:4">
      <c r="A11" s="19">
        <v>8</v>
      </c>
      <c r="B11" s="20" t="s">
        <v>1017</v>
      </c>
      <c r="C11" s="21"/>
      <c r="D11" s="22"/>
    </row>
    <row r="12" spans="1:4" ht="193.2">
      <c r="A12" s="12">
        <v>8.01</v>
      </c>
      <c r="B12" s="23" t="s">
        <v>1018</v>
      </c>
      <c r="C12" s="24" t="s">
        <v>1019</v>
      </c>
      <c r="D12" s="25" t="s">
        <v>1020</v>
      </c>
    </row>
    <row r="13" spans="1:4" ht="248.4">
      <c r="A13" s="12">
        <v>8.02</v>
      </c>
      <c r="B13" s="23" t="s">
        <v>1021</v>
      </c>
      <c r="C13" s="24" t="s">
        <v>1019</v>
      </c>
      <c r="D13" s="25" t="s">
        <v>1022</v>
      </c>
    </row>
    <row r="14" spans="1:4" ht="207">
      <c r="A14" s="12">
        <v>8.0299999999999994</v>
      </c>
      <c r="B14" s="23" t="s">
        <v>1023</v>
      </c>
      <c r="C14" s="24" t="s">
        <v>1019</v>
      </c>
      <c r="D14" s="25" t="s">
        <v>1024</v>
      </c>
    </row>
    <row r="15" spans="1:4" ht="79.2">
      <c r="A15" s="12">
        <v>8.0399999999999991</v>
      </c>
      <c r="B15" s="23" t="s">
        <v>1025</v>
      </c>
      <c r="C15" s="26" t="s">
        <v>1009</v>
      </c>
      <c r="D15" s="27" t="s">
        <v>1026</v>
      </c>
    </row>
    <row r="16" spans="1:4" ht="79.2">
      <c r="A16" s="12">
        <v>8.0500000000000007</v>
      </c>
      <c r="B16" s="23" t="s">
        <v>1027</v>
      </c>
      <c r="C16" s="26" t="s">
        <v>1009</v>
      </c>
      <c r="D16" s="27" t="s">
        <v>1028</v>
      </c>
    </row>
    <row r="17" spans="1:5" ht="124.2">
      <c r="A17" s="12">
        <v>8.06</v>
      </c>
      <c r="B17" s="23" t="s">
        <v>1029</v>
      </c>
      <c r="C17" s="24" t="s">
        <v>1030</v>
      </c>
      <c r="D17" s="25" t="s">
        <v>1031</v>
      </c>
    </row>
    <row r="18" spans="1:5">
      <c r="A18" s="12">
        <v>8.07</v>
      </c>
      <c r="B18" s="23" t="s">
        <v>1032</v>
      </c>
      <c r="C18" s="26" t="s">
        <v>1009</v>
      </c>
      <c r="D18" s="15" t="s">
        <v>1033</v>
      </c>
    </row>
    <row r="19" spans="1:5">
      <c r="A19" s="12">
        <v>8.08</v>
      </c>
      <c r="B19" s="23" t="s">
        <v>1034</v>
      </c>
      <c r="C19" s="26" t="s">
        <v>1009</v>
      </c>
      <c r="D19" s="15" t="s">
        <v>1035</v>
      </c>
    </row>
    <row r="20" spans="1:5">
      <c r="A20" s="12">
        <v>8.09</v>
      </c>
      <c r="B20" s="23" t="s">
        <v>1036</v>
      </c>
      <c r="C20" s="26" t="s">
        <v>1009</v>
      </c>
      <c r="D20" s="15" t="s">
        <v>1037</v>
      </c>
    </row>
    <row r="21" spans="1:5">
      <c r="A21" s="12">
        <v>8.1</v>
      </c>
      <c r="B21" s="23" t="s">
        <v>1038</v>
      </c>
      <c r="C21" s="26" t="s">
        <v>1009</v>
      </c>
      <c r="D21" s="15" t="s">
        <v>1039</v>
      </c>
    </row>
    <row r="22" spans="1:5">
      <c r="A22" s="12">
        <v>8.11</v>
      </c>
      <c r="B22" s="23" t="s">
        <v>1040</v>
      </c>
      <c r="C22" s="26" t="s">
        <v>1009</v>
      </c>
      <c r="D22" s="15" t="s">
        <v>1041</v>
      </c>
    </row>
    <row r="23" spans="1:5" ht="110.4">
      <c r="A23" s="12">
        <v>8.1199999999999992</v>
      </c>
      <c r="B23" s="23" t="s">
        <v>1042</v>
      </c>
      <c r="C23" s="24" t="s">
        <v>1019</v>
      </c>
      <c r="D23" s="25" t="s">
        <v>1043</v>
      </c>
    </row>
    <row r="24" spans="1:5">
      <c r="A24" s="12">
        <v>8.1300000000000008</v>
      </c>
      <c r="B24" s="18" t="s">
        <v>1044</v>
      </c>
      <c r="C24" s="10" t="s">
        <v>1009</v>
      </c>
      <c r="D24" s="11" t="s">
        <v>1045</v>
      </c>
    </row>
    <row r="25" spans="1:5">
      <c r="A25" s="12">
        <v>8.14</v>
      </c>
      <c r="B25" s="18" t="s">
        <v>1046</v>
      </c>
      <c r="C25" s="10" t="s">
        <v>1009</v>
      </c>
      <c r="D25" s="11" t="s">
        <v>1047</v>
      </c>
    </row>
    <row r="26" spans="1:5">
      <c r="A26" s="12">
        <v>8.15</v>
      </c>
      <c r="B26" s="18" t="s">
        <v>1048</v>
      </c>
      <c r="C26" s="10" t="s">
        <v>1009</v>
      </c>
      <c r="D26" s="11" t="s">
        <v>1049</v>
      </c>
    </row>
    <row r="27" spans="1:5">
      <c r="A27" s="12">
        <v>8.16</v>
      </c>
      <c r="B27" s="18" t="s">
        <v>1015</v>
      </c>
      <c r="C27" s="10" t="s">
        <v>1009</v>
      </c>
      <c r="D27" s="11" t="s">
        <v>1050</v>
      </c>
    </row>
    <row r="28" spans="1:5" ht="82.8">
      <c r="A28" s="23" t="s">
        <v>1051</v>
      </c>
      <c r="B28" s="28" t="s">
        <v>1052</v>
      </c>
      <c r="C28" s="14" t="s">
        <v>1002</v>
      </c>
      <c r="D28" s="29" t="s">
        <v>1053</v>
      </c>
      <c r="E28" s="30"/>
    </row>
    <row r="29" spans="1:5" ht="124.2">
      <c r="A29" s="23" t="s">
        <v>1054</v>
      </c>
      <c r="B29" s="23" t="s">
        <v>1055</v>
      </c>
      <c r="C29" s="31" t="s">
        <v>1056</v>
      </c>
      <c r="D29" s="32" t="s">
        <v>1057</v>
      </c>
    </row>
    <row r="30" spans="1:5" ht="248.4">
      <c r="A30" s="23" t="s">
        <v>1058</v>
      </c>
      <c r="B30" s="23" t="s">
        <v>1059</v>
      </c>
      <c r="C30" s="31" t="s">
        <v>1056</v>
      </c>
      <c r="D30" s="32" t="s">
        <v>1060</v>
      </c>
    </row>
    <row r="31" spans="1:5" ht="41.4">
      <c r="A31" s="12">
        <v>8.19</v>
      </c>
      <c r="B31" s="18" t="s">
        <v>1061</v>
      </c>
      <c r="C31" s="16" t="s">
        <v>1002</v>
      </c>
      <c r="D31" s="11" t="s">
        <v>1062</v>
      </c>
    </row>
    <row r="32" spans="1:5" ht="55.2">
      <c r="A32" s="12">
        <v>8.1999999999999993</v>
      </c>
      <c r="B32" s="18" t="s">
        <v>1063</v>
      </c>
      <c r="C32" s="16" t="s">
        <v>1002</v>
      </c>
      <c r="D32" s="33" t="s">
        <v>1064</v>
      </c>
    </row>
    <row r="33" spans="1:4">
      <c r="A33" s="12">
        <v>8.2100000000000009</v>
      </c>
      <c r="B33" s="18" t="s">
        <v>1065</v>
      </c>
      <c r="C33" s="10" t="s">
        <v>1009</v>
      </c>
      <c r="D33" s="11" t="s">
        <v>1066</v>
      </c>
    </row>
    <row r="34" spans="1:4">
      <c r="A34" s="12">
        <v>10</v>
      </c>
      <c r="B34" s="18" t="s">
        <v>1067</v>
      </c>
      <c r="C34" s="10" t="s">
        <v>1009</v>
      </c>
      <c r="D34" s="11" t="s">
        <v>1068</v>
      </c>
    </row>
    <row r="35" spans="1:4">
      <c r="A35" s="12">
        <v>11</v>
      </c>
      <c r="B35" s="18" t="s">
        <v>1069</v>
      </c>
      <c r="C35" s="10" t="s">
        <v>1009</v>
      </c>
      <c r="D35" s="11" t="s">
        <v>1070</v>
      </c>
    </row>
    <row r="36" spans="1:4">
      <c r="A36" s="8"/>
      <c r="B36" s="18"/>
      <c r="C36" s="10"/>
      <c r="D36" s="11"/>
    </row>
    <row r="37" spans="1:4">
      <c r="A37" s="8"/>
      <c r="B37" s="34" t="s">
        <v>70</v>
      </c>
      <c r="C37" s="10"/>
      <c r="D37" s="35"/>
    </row>
    <row r="38" spans="1:4" ht="179.4">
      <c r="A38" s="12">
        <v>1</v>
      </c>
      <c r="B38" s="36" t="s">
        <v>1071</v>
      </c>
      <c r="C38" s="37" t="s">
        <v>1002</v>
      </c>
      <c r="D38" s="38" t="s">
        <v>1072</v>
      </c>
    </row>
    <row r="39" spans="1:4">
      <c r="A39" s="12">
        <v>3</v>
      </c>
      <c r="B39" s="18" t="s">
        <v>80</v>
      </c>
      <c r="C39" s="10" t="s">
        <v>1009</v>
      </c>
      <c r="D39" s="11" t="s">
        <v>1073</v>
      </c>
    </row>
    <row r="40" spans="1:4">
      <c r="A40" s="8"/>
      <c r="B40" s="9"/>
      <c r="C40" s="39"/>
      <c r="D40" s="17"/>
    </row>
    <row r="41" spans="1:4">
      <c r="A41" s="8"/>
      <c r="B41" s="9" t="s">
        <v>1074</v>
      </c>
      <c r="C41" s="10"/>
      <c r="D41" s="17"/>
    </row>
    <row r="42" spans="1:4" ht="21.75" customHeight="1">
      <c r="A42" s="12">
        <v>1</v>
      </c>
      <c r="B42" s="11" t="s">
        <v>1075</v>
      </c>
      <c r="C42" s="16" t="s">
        <v>1002</v>
      </c>
      <c r="D42" s="15" t="s">
        <v>1076</v>
      </c>
    </row>
    <row r="43" spans="1:4" ht="55.2">
      <c r="A43" s="12">
        <v>1.1000000000000001</v>
      </c>
      <c r="B43" s="11" t="s">
        <v>1077</v>
      </c>
      <c r="C43" s="40" t="s">
        <v>1078</v>
      </c>
      <c r="D43" s="11" t="s">
        <v>1079</v>
      </c>
    </row>
    <row r="44" spans="1:4" ht="57.75" customHeight="1">
      <c r="A44" s="12">
        <v>2</v>
      </c>
      <c r="B44" s="11" t="s">
        <v>1080</v>
      </c>
      <c r="C44" s="40" t="s">
        <v>1078</v>
      </c>
      <c r="D44" s="11" t="s">
        <v>1081</v>
      </c>
    </row>
    <row r="45" spans="1:4" ht="27.6">
      <c r="A45" s="12">
        <v>4</v>
      </c>
      <c r="B45" s="18" t="s">
        <v>1082</v>
      </c>
      <c r="C45" s="10" t="s">
        <v>1009</v>
      </c>
      <c r="D45" s="11" t="s">
        <v>1083</v>
      </c>
    </row>
    <row r="46" spans="1:4" ht="55.2">
      <c r="A46" s="12">
        <v>5</v>
      </c>
      <c r="B46" s="18" t="s">
        <v>1084</v>
      </c>
      <c r="C46" s="40" t="s">
        <v>1078</v>
      </c>
      <c r="D46" s="11" t="s">
        <v>1085</v>
      </c>
    </row>
    <row r="47" spans="1:4" ht="138">
      <c r="A47" s="41">
        <v>6</v>
      </c>
      <c r="B47" s="42" t="s">
        <v>1086</v>
      </c>
      <c r="C47" s="16" t="s">
        <v>1002</v>
      </c>
      <c r="D47" s="43" t="s">
        <v>1087</v>
      </c>
    </row>
    <row r="48" spans="1:4" ht="27" customHeight="1">
      <c r="A48" s="12">
        <v>7</v>
      </c>
      <c r="B48" s="18" t="s">
        <v>1088</v>
      </c>
      <c r="C48" s="10" t="s">
        <v>1009</v>
      </c>
      <c r="D48" s="11" t="s">
        <v>1089</v>
      </c>
    </row>
    <row r="49" spans="1:4" ht="55.2">
      <c r="A49" s="12">
        <v>8</v>
      </c>
      <c r="B49" s="44" t="s">
        <v>1090</v>
      </c>
      <c r="C49" s="40" t="s">
        <v>1078</v>
      </c>
      <c r="D49" s="11" t="s">
        <v>1091</v>
      </c>
    </row>
    <row r="50" spans="1:4">
      <c r="A50" s="12">
        <v>9</v>
      </c>
      <c r="B50" s="44" t="s">
        <v>1092</v>
      </c>
      <c r="C50" s="10"/>
      <c r="D50" s="11" t="s">
        <v>1093</v>
      </c>
    </row>
    <row r="51" spans="1:4" ht="55.2">
      <c r="A51" s="12" t="s">
        <v>1094</v>
      </c>
      <c r="B51" s="18" t="s">
        <v>1095</v>
      </c>
      <c r="C51" s="45" t="s">
        <v>1096</v>
      </c>
      <c r="D51" s="11" t="s">
        <v>1097</v>
      </c>
    </row>
    <row r="52" spans="1:4" ht="27.6">
      <c r="A52" s="12">
        <v>10</v>
      </c>
      <c r="B52" s="18" t="s">
        <v>1098</v>
      </c>
      <c r="C52" s="46" t="s">
        <v>1099</v>
      </c>
      <c r="D52" s="11" t="s">
        <v>1100</v>
      </c>
    </row>
    <row r="53" spans="1:4" ht="27.6">
      <c r="A53" s="41">
        <v>11</v>
      </c>
      <c r="B53" s="42" t="s">
        <v>1101</v>
      </c>
      <c r="C53" s="46" t="s">
        <v>1099</v>
      </c>
      <c r="D53" s="43" t="s">
        <v>1102</v>
      </c>
    </row>
    <row r="54" spans="1:4" ht="27.6">
      <c r="A54" s="12">
        <v>12</v>
      </c>
      <c r="B54" s="18" t="s">
        <v>1103</v>
      </c>
      <c r="C54" s="16" t="s">
        <v>1002</v>
      </c>
      <c r="D54" s="11" t="s">
        <v>1104</v>
      </c>
    </row>
    <row r="55" spans="1:4" ht="27.6">
      <c r="A55" s="12">
        <v>13</v>
      </c>
      <c r="B55" s="18" t="s">
        <v>1105</v>
      </c>
      <c r="C55" s="16" t="s">
        <v>1002</v>
      </c>
      <c r="D55" s="11" t="s">
        <v>1106</v>
      </c>
    </row>
    <row r="56" spans="1:4" ht="27.6">
      <c r="A56" s="12">
        <v>14</v>
      </c>
      <c r="B56" s="18" t="s">
        <v>1107</v>
      </c>
      <c r="C56" s="16" t="s">
        <v>1002</v>
      </c>
      <c r="D56" s="11" t="s">
        <v>1108</v>
      </c>
    </row>
    <row r="57" spans="1:4" ht="27.6">
      <c r="A57" s="12">
        <v>15</v>
      </c>
      <c r="B57" s="18" t="s">
        <v>1109</v>
      </c>
      <c r="C57" s="16" t="s">
        <v>1002</v>
      </c>
      <c r="D57" s="11" t="s">
        <v>1108</v>
      </c>
    </row>
    <row r="58" spans="1:4">
      <c r="A58" s="12">
        <v>16</v>
      </c>
      <c r="B58" s="18" t="s">
        <v>1110</v>
      </c>
      <c r="C58" s="10" t="s">
        <v>1009</v>
      </c>
      <c r="D58" s="11" t="s">
        <v>1111</v>
      </c>
    </row>
    <row r="59" spans="1:4">
      <c r="A59" s="12"/>
      <c r="B59" s="18"/>
      <c r="C59" s="10" t="s">
        <v>1009</v>
      </c>
      <c r="D59" s="11" t="s">
        <v>1112</v>
      </c>
    </row>
    <row r="60" spans="1:4">
      <c r="A60" s="12">
        <v>17</v>
      </c>
      <c r="B60" s="18" t="s">
        <v>1113</v>
      </c>
      <c r="C60" s="10" t="s">
        <v>1009</v>
      </c>
      <c r="D60" s="11"/>
    </row>
    <row r="61" spans="1:4">
      <c r="A61" s="12">
        <v>18</v>
      </c>
      <c r="B61" s="18" t="s">
        <v>1114</v>
      </c>
      <c r="C61" s="10" t="s">
        <v>1009</v>
      </c>
      <c r="D61" s="11" t="s">
        <v>1115</v>
      </c>
    </row>
    <row r="62" spans="1:4" ht="27.6">
      <c r="A62" s="12">
        <v>19</v>
      </c>
      <c r="B62" s="18" t="s">
        <v>216</v>
      </c>
      <c r="C62" s="10" t="s">
        <v>1009</v>
      </c>
      <c r="D62" s="11" t="s">
        <v>1116</v>
      </c>
    </row>
    <row r="63" spans="1:4">
      <c r="A63" s="12">
        <v>20</v>
      </c>
      <c r="B63" s="18" t="s">
        <v>1117</v>
      </c>
      <c r="C63" s="10" t="s">
        <v>1009</v>
      </c>
      <c r="D63" s="11" t="s">
        <v>1118</v>
      </c>
    </row>
    <row r="64" spans="1:4" ht="27.6">
      <c r="A64" s="12">
        <v>21</v>
      </c>
      <c r="B64" s="11" t="s">
        <v>1119</v>
      </c>
      <c r="C64" s="10" t="s">
        <v>1009</v>
      </c>
      <c r="D64" s="11" t="s">
        <v>1120</v>
      </c>
    </row>
    <row r="65" spans="1:4" ht="110.4">
      <c r="A65" s="12">
        <v>23</v>
      </c>
      <c r="B65" s="18" t="s">
        <v>1121</v>
      </c>
      <c r="C65" s="16" t="s">
        <v>1122</v>
      </c>
      <c r="D65" s="11" t="s">
        <v>1123</v>
      </c>
    </row>
    <row r="66" spans="1:4">
      <c r="A66" s="12"/>
      <c r="B66" s="18"/>
      <c r="C66" s="10"/>
      <c r="D66" s="11"/>
    </row>
    <row r="67" spans="1:4">
      <c r="A67" s="12"/>
      <c r="B67" s="9" t="s">
        <v>1124</v>
      </c>
      <c r="C67" s="10"/>
      <c r="D67" s="11"/>
    </row>
    <row r="68" spans="1:4" ht="151.80000000000001">
      <c r="A68" s="12">
        <v>1</v>
      </c>
      <c r="B68" s="18" t="s">
        <v>984</v>
      </c>
      <c r="C68" s="16" t="s">
        <v>1002</v>
      </c>
      <c r="D68" s="43" t="s">
        <v>1125</v>
      </c>
    </row>
    <row r="69" spans="1:4" ht="27.6">
      <c r="A69" s="12">
        <v>2</v>
      </c>
      <c r="B69" s="18" t="s">
        <v>1126</v>
      </c>
      <c r="C69" s="16" t="s">
        <v>1002</v>
      </c>
      <c r="D69" s="11" t="s">
        <v>1127</v>
      </c>
    </row>
    <row r="70" spans="1:4" ht="68.25" customHeight="1">
      <c r="A70" s="12">
        <v>3</v>
      </c>
      <c r="B70" s="18" t="s">
        <v>1128</v>
      </c>
      <c r="C70" s="16" t="s">
        <v>1002</v>
      </c>
      <c r="D70" s="11" t="s">
        <v>1129</v>
      </c>
    </row>
    <row r="71" spans="1:4" ht="59.25" customHeight="1">
      <c r="A71" s="12">
        <v>4</v>
      </c>
      <c r="B71" s="18" t="s">
        <v>1130</v>
      </c>
      <c r="C71" s="16" t="s">
        <v>1002</v>
      </c>
      <c r="D71" s="11" t="s">
        <v>1131</v>
      </c>
    </row>
    <row r="72" spans="1:4">
      <c r="A72" s="12"/>
      <c r="B72" s="18"/>
      <c r="C72" s="10"/>
      <c r="D72" s="11"/>
    </row>
    <row r="73" spans="1:4">
      <c r="A73" s="12"/>
      <c r="B73" s="9" t="s">
        <v>1132</v>
      </c>
      <c r="C73" s="10"/>
      <c r="D73" s="11"/>
    </row>
    <row r="74" spans="1:4">
      <c r="A74" s="12"/>
      <c r="B74" s="18"/>
      <c r="C74" s="10"/>
      <c r="D74" s="11"/>
    </row>
    <row r="75" spans="1:4" ht="110.4">
      <c r="A75" s="12"/>
      <c r="B75" s="18" t="s">
        <v>1133</v>
      </c>
      <c r="C75" s="16" t="s">
        <v>1122</v>
      </c>
      <c r="D75" s="47" t="s">
        <v>1134</v>
      </c>
    </row>
    <row r="76" spans="1:4" ht="110.4">
      <c r="A76" s="12"/>
      <c r="B76" s="18" t="s">
        <v>1135</v>
      </c>
      <c r="C76" s="16" t="s">
        <v>1122</v>
      </c>
      <c r="D76" s="47" t="s">
        <v>1134</v>
      </c>
    </row>
    <row r="77" spans="1:4">
      <c r="A77" s="12"/>
      <c r="B77" s="9" t="s">
        <v>1136</v>
      </c>
      <c r="C77" s="10"/>
      <c r="D77" s="17"/>
    </row>
    <row r="78" spans="1:4">
      <c r="A78" s="12">
        <v>1</v>
      </c>
      <c r="B78" s="18" t="s">
        <v>1137</v>
      </c>
      <c r="C78" s="10" t="s">
        <v>1009</v>
      </c>
      <c r="D78" s="11" t="s">
        <v>1138</v>
      </c>
    </row>
    <row r="79" spans="1:4" ht="41.4">
      <c r="A79" s="12">
        <v>2</v>
      </c>
      <c r="B79" s="18" t="s">
        <v>1139</v>
      </c>
      <c r="C79" s="45" t="s">
        <v>1140</v>
      </c>
      <c r="D79" s="11" t="s">
        <v>1141</v>
      </c>
    </row>
    <row r="80" spans="1:4" ht="41.4">
      <c r="A80" s="12">
        <v>3</v>
      </c>
      <c r="B80" s="18" t="s">
        <v>1142</v>
      </c>
      <c r="C80" s="45" t="s">
        <v>1140</v>
      </c>
      <c r="D80" s="11" t="s">
        <v>1143</v>
      </c>
    </row>
    <row r="81" spans="1:4" ht="27.6">
      <c r="A81" s="12">
        <v>4</v>
      </c>
      <c r="B81" s="18" t="s">
        <v>1144</v>
      </c>
      <c r="C81" s="10" t="s">
        <v>1009</v>
      </c>
      <c r="D81" s="11" t="s">
        <v>1145</v>
      </c>
    </row>
    <row r="82" spans="1:4" ht="27.6">
      <c r="A82" s="12">
        <v>5</v>
      </c>
      <c r="B82" s="18" t="s">
        <v>1146</v>
      </c>
      <c r="C82" s="10" t="s">
        <v>1009</v>
      </c>
      <c r="D82" s="11" t="s">
        <v>1147</v>
      </c>
    </row>
    <row r="83" spans="1:4" ht="27.6">
      <c r="A83" s="12">
        <v>6</v>
      </c>
      <c r="B83" s="18" t="s">
        <v>1148</v>
      </c>
      <c r="C83" s="10" t="s">
        <v>1009</v>
      </c>
      <c r="D83" s="11" t="s">
        <v>1149</v>
      </c>
    </row>
    <row r="84" spans="1:4" ht="41.4">
      <c r="A84" s="12">
        <v>7</v>
      </c>
      <c r="B84" s="18" t="s">
        <v>1150</v>
      </c>
      <c r="C84" s="10" t="s">
        <v>1009</v>
      </c>
      <c r="D84" s="11" t="s">
        <v>1151</v>
      </c>
    </row>
    <row r="85" spans="1:4" ht="69">
      <c r="A85" s="12">
        <v>8</v>
      </c>
      <c r="B85" s="18" t="s">
        <v>1152</v>
      </c>
      <c r="C85" s="10" t="s">
        <v>1009</v>
      </c>
      <c r="D85" s="11" t="s">
        <v>1153</v>
      </c>
    </row>
    <row r="86" spans="1:4" ht="41.4">
      <c r="A86" s="12">
        <v>9</v>
      </c>
      <c r="B86" s="18" t="s">
        <v>1154</v>
      </c>
      <c r="C86" s="10" t="s">
        <v>1009</v>
      </c>
      <c r="D86" s="11" t="s">
        <v>1155</v>
      </c>
    </row>
    <row r="87" spans="1:4">
      <c r="A87" s="12">
        <v>10</v>
      </c>
      <c r="B87" s="18" t="s">
        <v>1156</v>
      </c>
      <c r="C87" s="10" t="s">
        <v>1009</v>
      </c>
      <c r="D87" s="11" t="s">
        <v>1157</v>
      </c>
    </row>
    <row r="88" spans="1:4">
      <c r="A88" s="12">
        <v>11</v>
      </c>
      <c r="B88" s="18" t="s">
        <v>1158</v>
      </c>
      <c r="C88" s="10" t="s">
        <v>1009</v>
      </c>
      <c r="D88" s="11" t="s">
        <v>1159</v>
      </c>
    </row>
    <row r="89" spans="1:4">
      <c r="A89" s="12">
        <v>12</v>
      </c>
      <c r="B89" s="18" t="s">
        <v>1160</v>
      </c>
      <c r="C89" s="10" t="s">
        <v>1009</v>
      </c>
      <c r="D89" s="11" t="s">
        <v>1161</v>
      </c>
    </row>
    <row r="90" spans="1:4">
      <c r="A90" s="12">
        <v>13</v>
      </c>
      <c r="B90" s="18" t="s">
        <v>1162</v>
      </c>
      <c r="C90" s="10" t="s">
        <v>1009</v>
      </c>
      <c r="D90" s="11" t="s">
        <v>1163</v>
      </c>
    </row>
    <row r="91" spans="1:4">
      <c r="A91" s="12">
        <v>14</v>
      </c>
      <c r="B91" s="18" t="s">
        <v>1164</v>
      </c>
      <c r="C91" s="10" t="s">
        <v>1009</v>
      </c>
      <c r="D91" s="11" t="s">
        <v>1165</v>
      </c>
    </row>
    <row r="92" spans="1:4">
      <c r="A92" s="12">
        <v>15</v>
      </c>
      <c r="B92" s="18" t="s">
        <v>1166</v>
      </c>
      <c r="C92" s="10" t="s">
        <v>1009</v>
      </c>
      <c r="D92" s="11" t="s">
        <v>1165</v>
      </c>
    </row>
    <row r="93" spans="1:4">
      <c r="A93" s="12">
        <v>16</v>
      </c>
      <c r="B93" s="18" t="s">
        <v>1167</v>
      </c>
      <c r="C93" s="10" t="s">
        <v>1009</v>
      </c>
      <c r="D93" s="11" t="s">
        <v>1168</v>
      </c>
    </row>
    <row r="94" spans="1:4">
      <c r="A94" s="12">
        <v>17</v>
      </c>
      <c r="B94" s="18" t="s">
        <v>1169</v>
      </c>
      <c r="C94" s="10" t="s">
        <v>1009</v>
      </c>
      <c r="D94" s="11" t="s">
        <v>1170</v>
      </c>
    </row>
    <row r="95" spans="1:4" ht="41.4">
      <c r="A95" s="12">
        <v>18</v>
      </c>
      <c r="B95" s="18" t="s">
        <v>1171</v>
      </c>
      <c r="C95" s="45" t="s">
        <v>1140</v>
      </c>
      <c r="D95" s="11" t="s">
        <v>1168</v>
      </c>
    </row>
    <row r="96" spans="1:4" ht="30" customHeight="1">
      <c r="A96" s="12">
        <v>19</v>
      </c>
      <c r="B96" s="18" t="s">
        <v>1172</v>
      </c>
      <c r="C96" s="10" t="s">
        <v>1009</v>
      </c>
      <c r="D96" s="11" t="s">
        <v>1173</v>
      </c>
    </row>
    <row r="97" spans="1:4" ht="31.5" customHeight="1">
      <c r="A97" s="12">
        <v>20</v>
      </c>
      <c r="B97" s="18" t="s">
        <v>1174</v>
      </c>
      <c r="C97" s="10" t="s">
        <v>1009</v>
      </c>
      <c r="D97" s="11" t="s">
        <v>1175</v>
      </c>
    </row>
    <row r="98" spans="1:4">
      <c r="A98" s="12">
        <v>21</v>
      </c>
      <c r="B98" s="18" t="s">
        <v>1176</v>
      </c>
      <c r="C98" s="10" t="s">
        <v>1009</v>
      </c>
      <c r="D98" s="11" t="s">
        <v>1177</v>
      </c>
    </row>
    <row r="99" spans="1:4">
      <c r="A99" s="12"/>
      <c r="B99" s="18"/>
      <c r="C99" s="10"/>
      <c r="D99" s="11"/>
    </row>
    <row r="100" spans="1:4">
      <c r="A100" s="9"/>
      <c r="B100" s="9" t="s">
        <v>1178</v>
      </c>
      <c r="C100" s="10"/>
      <c r="D100" s="17"/>
    </row>
    <row r="101" spans="1:4" ht="27.6">
      <c r="A101" s="12">
        <v>1</v>
      </c>
      <c r="B101" s="18" t="s">
        <v>1179</v>
      </c>
      <c r="C101" s="48" t="s">
        <v>1099</v>
      </c>
      <c r="D101" s="11" t="s">
        <v>1180</v>
      </c>
    </row>
    <row r="102" spans="1:4" ht="27.6">
      <c r="A102" s="12">
        <v>2</v>
      </c>
      <c r="B102" s="18" t="s">
        <v>1181</v>
      </c>
      <c r="C102" s="48" t="s">
        <v>1099</v>
      </c>
      <c r="D102" s="11" t="s">
        <v>1180</v>
      </c>
    </row>
    <row r="103" spans="1:4">
      <c r="A103" s="12"/>
      <c r="B103" s="18"/>
      <c r="C103" s="10"/>
      <c r="D103" s="11"/>
    </row>
    <row r="104" spans="1:4">
      <c r="A104" s="12">
        <v>1</v>
      </c>
      <c r="B104" s="49" t="s">
        <v>1182</v>
      </c>
      <c r="C104" s="33" t="s">
        <v>1009</v>
      </c>
      <c r="D104" s="50" t="s">
        <v>1183</v>
      </c>
    </row>
    <row r="105" spans="1:4">
      <c r="A105" s="51">
        <v>2</v>
      </c>
      <c r="B105" s="49" t="s">
        <v>1184</v>
      </c>
      <c r="C105" s="33" t="s">
        <v>1009</v>
      </c>
      <c r="D105" s="50" t="s">
        <v>1185</v>
      </c>
    </row>
    <row r="106" spans="1:4" ht="27.6">
      <c r="A106" s="51">
        <v>3</v>
      </c>
      <c r="B106" s="49" t="s">
        <v>1186</v>
      </c>
      <c r="C106" s="33" t="s">
        <v>1009</v>
      </c>
      <c r="D106" s="50" t="s">
        <v>1187</v>
      </c>
    </row>
    <row r="107" spans="1:4">
      <c r="A107" s="51">
        <v>4</v>
      </c>
      <c r="B107" s="49" t="s">
        <v>1188</v>
      </c>
      <c r="C107" s="33" t="s">
        <v>1009</v>
      </c>
      <c r="D107" s="50" t="s">
        <v>1189</v>
      </c>
    </row>
    <row r="108" spans="1:4" ht="27.6">
      <c r="A108" s="51">
        <v>5</v>
      </c>
      <c r="B108" s="50" t="s">
        <v>1190</v>
      </c>
      <c r="C108" s="33" t="s">
        <v>1009</v>
      </c>
      <c r="D108" s="50" t="s">
        <v>1191</v>
      </c>
    </row>
    <row r="109" spans="1:4">
      <c r="A109" s="51">
        <v>6</v>
      </c>
      <c r="B109" s="49" t="s">
        <v>1192</v>
      </c>
      <c r="C109" s="33" t="s">
        <v>1009</v>
      </c>
      <c r="D109" s="50" t="s">
        <v>1193</v>
      </c>
    </row>
    <row r="110" spans="1:4">
      <c r="A110" s="51">
        <v>7</v>
      </c>
      <c r="B110" s="49" t="s">
        <v>1194</v>
      </c>
      <c r="C110" s="33" t="s">
        <v>1009</v>
      </c>
      <c r="D110" s="50" t="s">
        <v>1193</v>
      </c>
    </row>
    <row r="111" spans="1:4">
      <c r="A111" s="51">
        <v>8</v>
      </c>
      <c r="B111" s="49" t="s">
        <v>1195</v>
      </c>
      <c r="C111" s="33" t="s">
        <v>1009</v>
      </c>
      <c r="D111" s="50" t="s">
        <v>1196</v>
      </c>
    </row>
    <row r="112" spans="1:4">
      <c r="A112" s="51">
        <v>9</v>
      </c>
      <c r="B112" s="49" t="s">
        <v>1197</v>
      </c>
      <c r="C112" s="33" t="s">
        <v>1009</v>
      </c>
      <c r="D112" s="50" t="s">
        <v>1198</v>
      </c>
    </row>
    <row r="113" spans="1:4">
      <c r="A113" s="51">
        <v>10</v>
      </c>
      <c r="B113" s="49" t="s">
        <v>1199</v>
      </c>
      <c r="C113" s="33" t="s">
        <v>1009</v>
      </c>
      <c r="D113" s="50" t="s">
        <v>1200</v>
      </c>
    </row>
    <row r="114" spans="1:4">
      <c r="A114" s="51">
        <v>11</v>
      </c>
      <c r="B114" s="49" t="s">
        <v>1201</v>
      </c>
      <c r="C114" s="33" t="s">
        <v>1009</v>
      </c>
      <c r="D114" s="50" t="s">
        <v>1202</v>
      </c>
    </row>
    <row r="115" spans="1:4">
      <c r="A115" s="51">
        <v>12</v>
      </c>
      <c r="B115" s="49" t="s">
        <v>1203</v>
      </c>
      <c r="C115" s="33" t="s">
        <v>1009</v>
      </c>
      <c r="D115" s="50" t="s">
        <v>1202</v>
      </c>
    </row>
    <row r="116" spans="1:4">
      <c r="A116" s="51">
        <v>13</v>
      </c>
      <c r="B116" s="49" t="s">
        <v>1204</v>
      </c>
      <c r="C116" s="33" t="s">
        <v>1009</v>
      </c>
      <c r="D116" s="50" t="s">
        <v>1202</v>
      </c>
    </row>
    <row r="117" spans="1:4">
      <c r="A117" s="51">
        <v>14</v>
      </c>
      <c r="B117" s="49" t="s">
        <v>1205</v>
      </c>
      <c r="C117" s="33" t="s">
        <v>1009</v>
      </c>
      <c r="D117" s="50" t="s">
        <v>1202</v>
      </c>
    </row>
    <row r="118" spans="1:4">
      <c r="A118" s="51">
        <v>15</v>
      </c>
      <c r="B118" s="49" t="s">
        <v>1206</v>
      </c>
      <c r="C118" s="33" t="s">
        <v>1009</v>
      </c>
      <c r="D118" s="50" t="s">
        <v>1207</v>
      </c>
    </row>
    <row r="119" spans="1:4">
      <c r="A119" s="51">
        <v>16</v>
      </c>
      <c r="B119" s="49" t="s">
        <v>1208</v>
      </c>
      <c r="C119" s="33" t="s">
        <v>1009</v>
      </c>
      <c r="D119" s="50" t="s">
        <v>1207</v>
      </c>
    </row>
    <row r="120" spans="1:4">
      <c r="A120" s="51">
        <v>17</v>
      </c>
      <c r="B120" s="49" t="s">
        <v>1209</v>
      </c>
      <c r="C120" s="33" t="s">
        <v>1009</v>
      </c>
      <c r="D120" s="50" t="s">
        <v>1210</v>
      </c>
    </row>
    <row r="121" spans="1:4">
      <c r="A121" s="51">
        <v>18</v>
      </c>
      <c r="B121" s="49" t="s">
        <v>1211</v>
      </c>
      <c r="C121" s="33" t="s">
        <v>1009</v>
      </c>
      <c r="D121" s="50" t="s">
        <v>1212</v>
      </c>
    </row>
    <row r="122" spans="1:4">
      <c r="A122" s="51">
        <v>19</v>
      </c>
      <c r="B122" s="49" t="s">
        <v>1213</v>
      </c>
      <c r="C122" s="33" t="s">
        <v>1009</v>
      </c>
      <c r="D122" s="50" t="s">
        <v>1214</v>
      </c>
    </row>
    <row r="123" spans="1:4" ht="41.4">
      <c r="A123" s="51">
        <v>20</v>
      </c>
      <c r="B123" s="49" t="s">
        <v>1215</v>
      </c>
      <c r="C123" s="52" t="s">
        <v>1216</v>
      </c>
      <c r="D123" s="50" t="s">
        <v>1217</v>
      </c>
    </row>
    <row r="124" spans="1:4">
      <c r="A124" s="51">
        <v>21</v>
      </c>
      <c r="B124" s="49" t="s">
        <v>1218</v>
      </c>
      <c r="C124" s="52" t="s">
        <v>1219</v>
      </c>
      <c r="D124" s="50" t="s">
        <v>1220</v>
      </c>
    </row>
    <row r="125" spans="1:4">
      <c r="A125" s="51">
        <v>22</v>
      </c>
      <c r="B125" s="53" t="s">
        <v>1221</v>
      </c>
      <c r="C125" s="52" t="s">
        <v>1219</v>
      </c>
      <c r="D125" s="54" t="s">
        <v>1222</v>
      </c>
    </row>
    <row r="126" spans="1:4">
      <c r="A126" s="51">
        <v>23</v>
      </c>
      <c r="B126" s="53" t="s">
        <v>1223</v>
      </c>
      <c r="C126" s="52" t="s">
        <v>1219</v>
      </c>
      <c r="D126" s="54" t="s">
        <v>1224</v>
      </c>
    </row>
    <row r="127" spans="1:4" ht="41.4">
      <c r="A127" s="51">
        <v>24</v>
      </c>
      <c r="B127" s="53" t="s">
        <v>1225</v>
      </c>
      <c r="C127" s="52" t="s">
        <v>1219</v>
      </c>
      <c r="D127" s="50" t="s">
        <v>1217</v>
      </c>
    </row>
    <row r="128" spans="1:4" ht="55.2">
      <c r="A128" s="51">
        <v>25</v>
      </c>
      <c r="B128" s="55" t="s">
        <v>1226</v>
      </c>
      <c r="C128" s="33" t="s">
        <v>1009</v>
      </c>
      <c r="D128" s="56" t="s">
        <v>1227</v>
      </c>
    </row>
    <row r="129" spans="1:4" ht="27.6">
      <c r="A129" s="51">
        <v>26</v>
      </c>
      <c r="B129" s="55" t="s">
        <v>1228</v>
      </c>
      <c r="C129" s="33" t="s">
        <v>1009</v>
      </c>
      <c r="D129" s="56" t="s">
        <v>1229</v>
      </c>
    </row>
    <row r="130" spans="1:4" ht="41.4">
      <c r="A130" s="51">
        <v>27</v>
      </c>
      <c r="B130" s="55" t="s">
        <v>1230</v>
      </c>
      <c r="C130" s="33" t="s">
        <v>1009</v>
      </c>
      <c r="D130" s="56" t="s">
        <v>1231</v>
      </c>
    </row>
  </sheetData>
  <mergeCells count="1">
    <mergeCell ref="A1:D1"/>
  </mergeCells>
  <pageMargins left="0.31496062992126" right="0.31496062992126" top="0.31496062992126" bottom="0.31496062992126" header="0.31496062992126" footer="0.31496062992126"/>
  <pageSetup paperSize="9" scale="8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4" master="" otherUserPermission="visible"/>
  <rangeList sheetStid="18" master="" otherUserPermission="visible">
    <arrUserId title="Range1" rangeCreator="" othersAccessPermission="edit"/>
    <arrUserId title="Range1_1" rangeCreator="" othersAccessPermission="edit"/>
    <arrUserId title="Range1_2" rangeCreator="" othersAccessPermission="edit"/>
    <arrUserId title="Range1_3" rangeCreator="" othersAccessPermission="edit"/>
    <arrUserId title="Range1_4" rangeCreator="" othersAccessPermission="edit"/>
    <arrUserId title="Range1_5" rangeCreator="" othersAccessPermission="edit"/>
    <arrUserId title="Range1_7" rangeCreator="" othersAccessPermission="edit"/>
    <arrUserId title="Range1_8" rangeCreator="" othersAccessPermission="edit"/>
    <arrUserId title="Range1_9" rangeCreator="" othersAccessPermission="edit"/>
    <arrUserId title="Range1_1_1" rangeCreator="" othersAccessPermission="edit"/>
    <arrUserId title="Range1_2_1" rangeCreator="" othersAccessPermission="edit"/>
    <arrUserId title="Range1_2_2" rangeCreator="" othersAccessPermission="edit"/>
    <arrUserId title="Range1_1_2" rangeCreator="" othersAccessPermission="edit"/>
    <arrUserId title="Range1_13" rangeCreator="" othersAccessPermission="edit"/>
    <arrUserId title="Range1_3_2" rangeCreator="" othersAccessPermission="edit"/>
    <arrUserId title="Range1_17" rangeCreator="" othersAccessPermission="edit"/>
    <arrUserId title="Range1_18" rangeCreator="" othersAccessPermission="edit"/>
    <arrUserId title="Range1_19" rangeCreator="" othersAccessPermission="edit"/>
    <arrUserId title="Range1_13_1" rangeCreator="" othersAccessPermission="edit"/>
    <arrUserId title="Range1_20" rangeCreator="" othersAccessPermission="edit"/>
    <arrUserId title="Range1_21" rangeCreator="" othersAccessPermission="edit"/>
    <arrUserId title="Range1_21_6" rangeCreator="" othersAccessPermission="edit"/>
    <arrUserId title="Range1_2_3_6" rangeCreator="" othersAccessPermission="edit"/>
    <arrUserId title="Range1_30" rangeCreator="" othersAccessPermission="edit"/>
    <arrUserId title="Range1_3_6" rangeCreator="" othersAccessPermission="edit"/>
    <arrUserId title="Range1_3_1_4" rangeCreator="" othersAccessPermission="edit"/>
    <arrUserId title="Range1_22_1" rangeCreator="" othersAccessPermission="edit"/>
    <arrUserId title="Range1_19_1" rangeCreator="" othersAccessPermission="edit"/>
    <arrUserId title="Range1_22" rangeCreator="" othersAccessPermission="edit"/>
    <arrUserId title="Range1_24" rangeCreator="" othersAccessPermission="edit"/>
    <arrUserId title="Range1_12_1" rangeCreator="" othersAccessPermission="edit"/>
    <arrUserId title="Range1_7_1" rangeCreator="" othersAccessPermission="edit"/>
    <arrUserId title="Range1_3_1" rangeCreator="" othersAccessPermission="edit"/>
    <arrUserId title="Range1_22_1_1" rangeCreator="" othersAccessPermission="edit"/>
    <arrUserId title="Range1_10" rangeCreator="" othersAccessPermission="edit"/>
    <arrUserId title="Range1_11" rangeCreator="" othersAccessPermission="edit"/>
    <arrUserId title="Range1_12" rangeCreator="" othersAccessPermission="edit"/>
    <arrUserId title="Range1_8_1" rangeCreator="" othersAccessPermission="edit"/>
    <arrUserId title="Range1_11_1" rangeCreator="" othersAccessPermission="edit"/>
    <arrUserId title="Range1_14" rangeCreator="" othersAccessPermission="edit"/>
    <arrUserId title="Range1_18_1" rangeCreator="" othersAccessPermission="edit"/>
    <arrUserId title="Range1_15" rangeCreator="" othersAccessPermission="edit"/>
    <arrUserId title="Range1_19_2" rangeCreator="" othersAccessPermission="edit"/>
    <arrUserId title="Range1_13_1_1" rangeCreator="" othersAccessPermission="edit"/>
    <arrUserId title="Range1_20_1" rangeCreator="" othersAccessPermission="edit"/>
    <arrUserId title="Range1_16" rangeCreator="" othersAccessPermission="edit"/>
    <arrUserId title="Range1_21_1" rangeCreator="" othersAccessPermission="edit"/>
    <arrUserId title="Range1_23" rangeCreator="" othersAccessPermission="edit"/>
    <arrUserId title="Range1_7_2" rangeCreator="" othersAccessPermission="edit"/>
    <arrUserId title="Range1_9_1" rangeCreator="" othersAccessPermission="edit"/>
    <arrUserId title="Range1_7_1_1" rangeCreator="" othersAccessPermission="edit"/>
    <arrUserId title="Range1_25" rangeCreator="" othersAccessPermission="edit"/>
    <arrUserId title="Range1_5_1" rangeCreator="" othersAccessPermission="edit"/>
    <arrUserId title="Range1_26" rangeCreator="" othersAccessPermission="edit"/>
    <arrUserId title="Range1_27" rangeCreator="" othersAccessPermission="edit"/>
    <arrUserId title="Range1_28" rangeCreator="" othersAccessPermission="edit"/>
    <arrUserId title="Range1_29" rangeCreator="" othersAccessPermission="edit"/>
    <arrUserId title="Range1_31" rangeCreator="" othersAccessPermission="edit"/>
    <arrUserId title="Range1_1_2_1" rangeCreator="" othersAccessPermission="edit"/>
    <arrUserId title="Range1_6" rangeCreator="" othersAccessPermission="edit"/>
    <arrUserId title="Range1_22_2" rangeCreator="" othersAccessPermission="edit"/>
    <arrUserId title="Range1_17_1" rangeCreator="" othersAccessPermission="edit"/>
    <arrUserId title="Range1_20_2" rangeCreator="" othersAccessPermission="edit"/>
  </rangeList>
  <rangeList sheetStid="26" master="" otherUserPermission="visible">
    <arrUserId title="Range1_29" rangeCreator="" othersAccessPermission="edit"/>
    <arrUserId title="Range1_14" rangeCreator="" othersAccessPermission="edit"/>
    <arrUserId title="Range1_40" rangeCreator="" othersAccessPermission="edit"/>
    <arrUserId title="Range1_62" rangeCreator="" othersAccessPermission="edit"/>
    <arrUserId title="Range1_7_4" rangeCreator="" othersAccessPermission="edit"/>
    <arrUserId title="Range1_12" rangeCreator="" othersAccessPermission="edit"/>
    <arrUserId title="Range1_13" rangeCreator="" othersAccessPermission="edit"/>
    <arrUserId title="Range1_81" rangeCreator="" othersAccessPermission="edit"/>
    <arrUserId title="Range1_82" rangeCreator="" othersAccessPermission="edit"/>
    <arrUserId title="Range1_98" rangeCreator="" othersAccessPermission="edit"/>
    <arrUserId title="Range1_99" rangeCreator="" othersAccessPermission="edit"/>
    <arrUserId title="Range1_1_2" rangeCreator="" othersAccessPermission="edit"/>
    <arrUserId title="Range1_21_4" rangeCreator="" othersAccessPermission="edit"/>
    <arrUserId title="Range1_22_1" rangeCreator="" othersAccessPermission="edit"/>
    <arrUserId title="Range1" rangeCreator="" othersAccessPermission="edit"/>
    <arrUserId title="Range1_32" rangeCreator="" othersAccessPermission="edit"/>
    <arrUserId title="Range1_38" rangeCreator="" othersAccessPermission="edit"/>
    <arrUserId title="Range1_50" rangeCreator="" othersAccessPermission="edit"/>
    <arrUserId title="Range1_51" rangeCreator="" othersAccessPermission="edit"/>
    <arrUserId title="Range1_58" rangeCreator="" othersAccessPermission="edit"/>
    <arrUserId title="Range1_68" rangeCreator="" othersAccessPermission="edit"/>
    <arrUserId title="Range1_1_1" rangeCreator="" othersAccessPermission="edit"/>
    <arrUserId title="Range1_3_1" rangeCreator="" othersAccessPermission="edit"/>
    <arrUserId title="Range1_21_1" rangeCreator="" othersAccessPermission="edit"/>
    <arrUserId title="Range1_2_3" rangeCreator="" othersAccessPermission="edit"/>
    <arrUserId title="Range1_10" rangeCreator="" othersAccessPermission="edit"/>
    <arrUserId title="Range1_3_4" rangeCreator="" othersAccessPermission="edit"/>
    <arrUserId title="Range1_3_1_3" rangeCreator="" othersAccessPermission="edit"/>
    <arrUserId title="Range1_19_3" rangeCreator="" othersAccessPermission="edit"/>
    <arrUserId title="Range1_24" rangeCreator="" othersAccessPermission="edit"/>
    <arrUserId title="Range1_4_4" rangeCreator="" othersAccessPermission="edit"/>
    <arrUserId title="Range1_33" rangeCreator="" othersAccessPermission="edit"/>
    <arrUserId title="Range1_36" rangeCreator="" othersAccessPermission="edit"/>
    <arrUserId title="Range1_47" rangeCreator="" othersAccessPermission="edit"/>
    <arrUserId title="Range1_2_2" rangeCreator="" othersAccessPermission="edit"/>
    <arrUserId title="Range1_3_2" rangeCreator="" othersAccessPermission="edit"/>
    <arrUserId title="Range1_4_2" rangeCreator="" othersAccessPermission="edit"/>
    <arrUserId title="Range1_21_2" rangeCreator="" othersAccessPermission="edit"/>
    <arrUserId title="Range1_2_3_1" rangeCreator="" othersAccessPermission="edit"/>
    <arrUserId title="Range1_7" rangeCreator="" othersAccessPermission="edit"/>
    <arrUserId title="Range1_48_1" rangeCreator="" othersAccessPermission="edit"/>
    <arrUserId title="Range1_76_1" rangeCreator="" othersAccessPermission="edit"/>
    <arrUserId title="Range1_25" rangeCreator="" othersAccessPermission="edit"/>
    <arrUserId title="Range1_30" rangeCreator="" othersAccessPermission="edit"/>
    <arrUserId title="Range1_15_1" rangeCreator="" othersAccessPermission="edit"/>
    <arrUserId title="Range1_56" rangeCreator="" othersAccessPermission="edit"/>
    <arrUserId title="Range1_22_2" rangeCreator="" othersAccessPermission="edit"/>
    <arrUserId title="Range1_5_1_1" rangeCreator="" othersAccessPermission="edit"/>
    <arrUserId title="Range1_22_1_1" rangeCreator="" othersAccessPermission="edit"/>
    <arrUserId title="Range1_8_2" rangeCreator="" othersAccessPermission="edit"/>
    <arrUserId title="Range1_8_4" rangeCreator="" othersAccessPermission="edit"/>
    <arrUserId title="Range1_8_5" rangeCreator="" othersAccessPermission="edit"/>
    <arrUserId title="Range1_7_4_2" rangeCreator="" othersAccessPermission="edit"/>
    <arrUserId title="Range1_17_1" rangeCreator="" othersAccessPermission="edit"/>
    <arrUserId title="Range1_25_1" rangeCreator="" othersAccessPermission="edit"/>
    <arrUserId title="Range1_34" rangeCreator="" othersAccessPermission="edit"/>
    <arrUserId title="Range1_40_4" rangeCreator="" othersAccessPermission="edit"/>
    <arrUserId title="Range1_22_7" rangeCreator="" othersAccessPermission="edit"/>
    <arrUserId title="Range1_62_3" rangeCreator="" othersAccessPermission="edit"/>
    <arrUserId title="Range1_12_2" rangeCreator="" othersAccessPermission="edit"/>
    <arrUserId title="Range1_3" rangeCreator="" othersAccessPermission="edit"/>
    <arrUserId title="Range1_4" rangeCreator="" othersAccessPermission="edit"/>
    <arrUserId title="Range1_6" rangeCreator="" othersAccessPermission="edit"/>
    <arrUserId title="Range1_14_1" rangeCreator="" othersAccessPermission="edit"/>
    <arrUserId title="Range1_8" rangeCreator="" othersAccessPermission="edit"/>
    <arrUserId title="Range1_13_1" rangeCreator="" othersAccessPermission="edit"/>
    <arrUserId title="Range1_5" rangeCreator="" othersAccessPermission="edit"/>
    <arrUserId title="Range1_9" rangeCreator="" othersAccessPermission="edit"/>
    <arrUserId title="Range1_11" rangeCreator="" othersAccessPermission="edit"/>
    <arrUserId title="Range1_15" rangeCreator="" othersAccessPermission="edit"/>
    <arrUserId title="Range1_19" rangeCreator="" othersAccessPermission="edit"/>
    <arrUserId title="Range1_1" rangeCreator="" othersAccessPermission="edit"/>
    <arrUserId title="Range1_20" rangeCreator="" othersAccessPermission="edit"/>
    <arrUserId title="Range1_21" rangeCreator="" othersAccessPermission="edit"/>
    <arrUserId title="Range1_22" rangeCreator="" othersAccessPermission="edit"/>
    <arrUserId title="Range1_23" rangeCreator="" othersAccessPermission="edit"/>
    <arrUserId title="Range1_26" rangeCreator="" othersAccessPermission="edit"/>
    <arrUserId title="Range1_2_1" rangeCreator="" othersAccessPermission="edit"/>
    <arrUserId title="Range1_27" rangeCreator="" othersAccessPermission="edit"/>
    <arrUserId title="Range1_3_3" rangeCreator="" othersAccessPermission="edit"/>
    <arrUserId title="Range1_28" rangeCreator="" othersAccessPermission="edit"/>
    <arrUserId title="Range1_4_1" rangeCreator="" othersAccessPermission="edit"/>
    <arrUserId title="Range1_31" rangeCreator="" othersAccessPermission="edit"/>
    <arrUserId title="Range1_35" rangeCreator="" othersAccessPermission="edit"/>
    <arrUserId title="Range1_5_2" rangeCreator="" othersAccessPermission="edit"/>
    <arrUserId title="Range1_1_1_1" rangeCreator="" othersAccessPermission="edit"/>
    <arrUserId title="Range1_1_1_2" rangeCreator="" othersAccessPermission="edit"/>
    <arrUserId title="Range1_1_1_3" rangeCreator="" othersAccessPermission="edit"/>
    <arrUserId title="Range1_16" rangeCreator="" othersAccessPermission="edit"/>
    <arrUserId title="Range1_37" rangeCreator="" othersAccessPermission="edit"/>
    <arrUserId title="Range1_41" rangeCreator="" othersAccessPermission="edit"/>
    <arrUserId title="Range1_42" rangeCreator="" othersAccessPermission="edit"/>
    <arrUserId title="Range1_43" rangeCreator="" othersAccessPermission="edit"/>
    <arrUserId title="Range1_44" rangeCreator="" othersAccessPermission="edit"/>
    <arrUserId title="Range1_45" rangeCreator="" othersAccessPermission="edit"/>
    <arrUserId title="Range1_8_1" rangeCreator="" othersAccessPermission="edit"/>
    <arrUserId title="Range1_18" rangeCreator="" othersAccessPermission="edit"/>
  </rangeList>
  <rangeList sheetStid="1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www.w3.org/2000/xmlns/"/>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CWI Summary</vt:lpstr>
      <vt:lpstr>Extracted Data</vt:lpstr>
      <vt:lpstr>Summary Sheet</vt:lpstr>
      <vt:lpstr>BOQ</vt:lpstr>
      <vt:lpstr>Measurement sheet</vt:lpstr>
      <vt:lpstr>Debit</vt:lpstr>
      <vt:lpstr>Documnets</vt:lpstr>
      <vt:lpstr>Make and Models</vt:lpstr>
      <vt:lpstr>BOQ!Print_Area</vt:lpstr>
      <vt:lpstr>'Make and Models'!Print_Area</vt:lpstr>
      <vt:lpstr>'Measurement sheet'!Print_Area</vt:lpstr>
      <vt:lpstr>'Measurement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More</dc:creator>
  <cp:lastModifiedBy>Tanush Bidkar/IND</cp:lastModifiedBy>
  <cp:lastPrinted>2026-03-05T12:35:57Z</cp:lastPrinted>
  <dcterms:created xsi:type="dcterms:W3CDTF">2017-09-08T12:48:00Z</dcterms:created>
  <dcterms:modified xsi:type="dcterms:W3CDTF">2026-03-07T10:41:58Z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55B1EF2B0F5046F59A853F4E3C90FD2D_12</vt:lpwstr>
  </property>
  <property fmtid="{D5CDD505-2E9C-101B-9397-08002B2CF9AE}" pid="3" name="KSOProductBuildVer">
    <vt:lpwstr>1033-12.2.0.23196</vt:lpwstr>
  </property>
</Properties>
</file>