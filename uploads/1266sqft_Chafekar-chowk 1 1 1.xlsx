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600" firstSheet="0" activeTab="3" autoFilterDateGrouping="1"/>
  </bookViews>
  <sheets>
    <sheet xmlns:r="http://schemas.openxmlformats.org/officeDocument/2006/relationships" name="CWI Summary" sheetId="1" state="visible" r:id="rId1"/>
    <sheet xmlns:r="http://schemas.openxmlformats.org/officeDocument/2006/relationships" name="Extracted Data" sheetId="2" state="visible" r:id="rId2"/>
    <sheet xmlns:r="http://schemas.openxmlformats.org/officeDocument/2006/relationships" name="BOQ" sheetId="3" state="visible" r:id="rId3"/>
    <sheet xmlns:r="http://schemas.openxmlformats.org/officeDocument/2006/relationships" name="Measurement Sheet" sheetId="4" state="visible" r:id="rId4"/>
    <sheet xmlns:r="http://schemas.openxmlformats.org/officeDocument/2006/relationships" name="PM Approval" sheetId="5" state="visible" r:id="rId5"/>
    <sheet xmlns:r="http://schemas.openxmlformats.org/officeDocument/2006/relationships" name="SUMMARY" sheetId="6" state="visible" r:id="rId6"/>
    <sheet xmlns:r="http://schemas.openxmlformats.org/officeDocument/2006/relationships" name="Summary Sheet" sheetId="7" state="visible" r:id="rId7"/>
  </sheets>
  <definedNames>
    <definedName name="_xlnm._FilterDatabase" localSheetId="2" hidden="1">'BOQ'!$A$3:$W$114</definedName>
    <definedName name="_xlnm.Print_Area" localSheetId="2">'BOQ'!$A$1:$O$115</definedName>
    <definedName name="_xlnm._FilterDatabase" localSheetId="3" hidden="1">'Measurement Sheet'!$A$3:$P$1257</definedName>
    <definedName name="_xlnm.Print_Titles" localSheetId="3">'Measurement Sheet'!$1:$2</definedName>
    <definedName name="_xlnm.Print_Area" localSheetId="5">'SUMMARY'!$A$1:$D$18</definedName>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0.00_);_(* \(#,##0.00\);_(* \-??_);_(@_)"/>
    <numFmt numFmtId="166" formatCode="_-* #,##0.00_-;\-* #,##0.00_-;_-* &quot;-&quot;??_-;_-@_-"/>
    <numFmt numFmtId="167" formatCode="#,##0.00_);\-#,##0.00"/>
  </numFmts>
  <fonts count="33">
    <font>
      <name val="Times New Roman"/>
      <charset val="204"/>
      <color rgb="FF000000"/>
      <sz val="10"/>
    </font>
    <font>
      <name val="Trebuchet MS"/>
      <family val="2"/>
      <b val="1"/>
      <sz val="12"/>
    </font>
    <font>
      <name val="Arial"/>
      <family val="2"/>
      <sz val="10"/>
    </font>
    <font>
      <name val="Arill"/>
      <b val="1"/>
      <sz val="10"/>
    </font>
    <font>
      <name val="Trebuchet MS"/>
      <family val="2"/>
      <b val="1"/>
      <sz val="11"/>
    </font>
    <font>
      <name val="Cambria"/>
      <family val="1"/>
      <b val="1"/>
      <sz val="10"/>
    </font>
    <font>
      <name val="Arial"/>
      <family val="2"/>
      <b val="1"/>
      <sz val="10"/>
    </font>
    <font>
      <name val="Arill"/>
      <sz val="10"/>
    </font>
    <font>
      <name val="Arial"/>
      <family val="2"/>
      <b val="1"/>
      <sz val="9"/>
    </font>
    <font>
      <name val="Tahoma"/>
      <family val="2"/>
      <color indexed="81"/>
      <sz val="9"/>
    </font>
    <font>
      <name val="Times New Roman"/>
      <family val="1"/>
      <color rgb="FF000000"/>
      <sz val="10"/>
    </font>
    <font>
      <name val="Calibri"/>
      <family val="2"/>
      <color theme="1"/>
      <sz val="11"/>
      <scheme val="minor"/>
    </font>
    <font>
      <name val="Times New Roman"/>
      <family val="1"/>
      <color rgb="FF000000"/>
      <sz val="10"/>
    </font>
    <font>
      <name val="Cambria"/>
      <family val="1"/>
      <b val="1"/>
      <sz val="11"/>
      <scheme val="major"/>
    </font>
    <font>
      <name val="Cambria"/>
      <family val="1"/>
      <color rgb="FF000000"/>
      <sz val="11"/>
      <scheme val="major"/>
    </font>
    <font>
      <name val="Cambria"/>
      <family val="1"/>
      <sz val="11"/>
      <scheme val="major"/>
    </font>
    <font>
      <name val="Arill"/>
      <color rgb="FF000000"/>
      <sz val="10"/>
    </font>
    <font>
      <name val="Cambria"/>
      <family val="1"/>
      <b val="1"/>
      <sz val="12"/>
      <scheme val="major"/>
    </font>
    <font>
      <name val="Cambria"/>
      <family val="1"/>
      <b val="1"/>
      <color theme="1"/>
      <sz val="11"/>
      <scheme val="major"/>
    </font>
    <font>
      <name val="Cambria"/>
      <family val="1"/>
      <color rgb="FF000000"/>
      <sz val="10"/>
      <scheme val="major"/>
    </font>
    <font>
      <name val="Cambria"/>
      <family val="1"/>
      <b val="1"/>
      <color rgb="FF000000"/>
      <sz val="10"/>
      <scheme val="major"/>
    </font>
    <font>
      <name val="Cambria"/>
      <family val="1"/>
      <b val="1"/>
      <color rgb="FF000000"/>
      <sz val="12"/>
      <scheme val="major"/>
    </font>
    <font>
      <name val="Arial"/>
      <family val="2"/>
      <b val="1"/>
      <color rgb="FF000000"/>
      <sz val="10"/>
    </font>
    <font>
      <name val="Arial"/>
      <family val="2"/>
      <color theme="1"/>
      <sz val="10"/>
    </font>
    <font>
      <name val="Arial"/>
      <family val="2"/>
      <color rgb="FF000000"/>
      <sz val="10"/>
    </font>
    <font>
      <name val="Arial"/>
      <family val="2"/>
      <color theme="1"/>
      <sz val="11"/>
    </font>
    <font>
      <name val="Cambria"/>
      <family val="1"/>
      <b val="1"/>
      <color rgb="FFFFFFFF"/>
      <sz val="11"/>
      <scheme val="major"/>
    </font>
    <font>
      <name val="Cambria"/>
      <family val="1"/>
      <b val="1"/>
      <color rgb="FF000000"/>
      <sz val="11"/>
      <scheme val="major"/>
    </font>
    <font>
      <name val="Cambria"/>
      <family val="1"/>
      <color rgb="FF000000"/>
      <sz val="12"/>
      <scheme val="major"/>
    </font>
    <font>
      <name val="Times New Roman"/>
      <family val="1"/>
      <b val="1"/>
      <color rgb="FF000000"/>
      <sz val="10"/>
    </font>
    <font>
      <name val="Cambria"/>
      <family val="1"/>
      <b val="1"/>
      <color theme="1"/>
      <sz val="10"/>
    </font>
    <font>
      <name val="Arial"/>
      <family val="2"/>
      <b val="1"/>
      <color rgb="FFFFFFFF"/>
      <sz val="8"/>
    </font>
    <font>
      <name val="Cambria"/>
      <family val="1"/>
      <b val="1"/>
      <color rgb="FFFF0000"/>
      <sz val="11"/>
      <scheme val="major"/>
    </font>
  </fonts>
  <fills count="20">
    <fill>
      <patternFill/>
    </fill>
    <fill>
      <patternFill patternType="gray125"/>
    </fill>
    <fill>
      <patternFill patternType="solid">
        <fgColor indexed="9"/>
        <bgColor indexed="64"/>
      </patternFill>
    </fill>
    <fill>
      <patternFill patternType="solid">
        <fgColor indexed="65"/>
        <bgColor indexed="64"/>
      </patternFill>
    </fill>
    <fill>
      <patternFill patternType="solid">
        <fgColor indexed="55"/>
        <bgColor indexed="64"/>
      </patternFill>
    </fill>
    <fill>
      <patternFill patternType="solid">
        <fgColor indexed="44"/>
        <bgColor indexed="64"/>
      </patternFill>
    </fill>
    <fill>
      <patternFill patternType="solid">
        <fgColor indexed="49"/>
        <bgColor indexed="64"/>
      </patternFill>
    </fill>
    <fill>
      <patternFill patternType="solid">
        <fgColor indexed="29"/>
        <bgColor indexed="64"/>
      </patternFill>
    </fill>
    <fill>
      <patternFill patternType="solid">
        <fgColor theme="2" tint="-0.09997863704336681"/>
        <bgColor rgb="FF333399"/>
      </patternFill>
    </fill>
    <fill>
      <patternFill patternType="solid">
        <fgColor theme="0"/>
        <bgColor indexed="64"/>
      </patternFill>
    </fill>
    <fill>
      <patternFill patternType="solid">
        <fgColor rgb="FFFFFF00"/>
        <bgColor indexed="64"/>
      </patternFill>
    </fill>
    <fill>
      <patternFill patternType="solid">
        <fgColor rgb="FFFFFF99"/>
        <bgColor indexed="64"/>
      </patternFill>
    </fill>
    <fill>
      <patternFill patternType="solid">
        <fgColor theme="0" tint="-0.499984740745262"/>
        <bgColor indexed="64"/>
      </patternFill>
    </fill>
    <fill>
      <patternFill patternType="solid">
        <fgColor rgb="FF5D7B9C"/>
      </patternFill>
    </fill>
    <fill>
      <patternFill patternType="solid">
        <fgColor rgb="FF00FF00"/>
        <bgColor indexed="64"/>
      </patternFill>
    </fill>
    <fill>
      <patternFill patternType="solid">
        <fgColor rgb="FF87CEFA"/>
        <bgColor indexed="64"/>
      </patternFill>
    </fill>
    <fill>
      <patternFill patternType="solid">
        <fgColor rgb="FF00B0F0"/>
        <bgColor indexed="64"/>
      </patternFill>
    </fill>
    <fill>
      <patternFill patternType="solid">
        <fgColor theme="7" tint="0.5999938962981048"/>
        <bgColor indexed="64"/>
      </patternFill>
    </fill>
    <fill>
      <patternFill patternType="solid">
        <fgColor theme="2" tint="-0.09997863704336681"/>
        <bgColor indexed="64"/>
      </patternFill>
    </fill>
    <fill>
      <patternFill patternType="solid">
        <fgColor rgb="FF92D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medium">
        <color indexed="8"/>
      </top>
      <bottom style="medium">
        <color indexed="8"/>
      </bottom>
      <diagonal/>
    </border>
    <border>
      <left style="thin">
        <color indexed="8"/>
      </left>
      <right style="medium">
        <color indexed="64"/>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style="medium">
        <color indexed="64"/>
      </right>
      <top/>
      <bottom style="thin">
        <color indexed="8"/>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8"/>
      </top>
      <bottom style="medium">
        <color indexed="8"/>
      </bottom>
      <diagonal/>
    </border>
    <border>
      <left/>
      <right style="thin">
        <color indexed="8"/>
      </right>
      <top style="medium">
        <color indexed="8"/>
      </top>
      <bottom style="medium">
        <color indexed="8"/>
      </bottom>
      <diagonal/>
    </border>
    <border>
      <left style="medium">
        <color indexed="64"/>
      </left>
      <right style="thin">
        <color indexed="8"/>
      </right>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164" fontId="12" fillId="0" borderId="0"/>
    <xf numFmtId="167" fontId="2" fillId="0" borderId="0"/>
    <xf numFmtId="0" fontId="2" fillId="0" borderId="0"/>
    <xf numFmtId="0" fontId="2" fillId="0" borderId="0"/>
    <xf numFmtId="0" fontId="11" fillId="0" borderId="0"/>
    <xf numFmtId="0" fontId="11" fillId="0" borderId="0"/>
  </cellStyleXfs>
  <cellXfs count="173">
    <xf numFmtId="0" fontId="0" fillId="0" borderId="0" applyAlignment="1" pivotButton="0" quotePrefix="0" xfId="0">
      <alignment horizontal="left" vertical="top"/>
    </xf>
    <xf numFmtId="0" fontId="13" fillId="0" borderId="0" applyAlignment="1" pivotButton="0" quotePrefix="0" xfId="0">
      <alignment horizontal="left" vertical="top"/>
    </xf>
    <xf numFmtId="0" fontId="14" fillId="0" borderId="0" applyAlignment="1" pivotButton="0" quotePrefix="0" xfId="0">
      <alignment horizontal="left" vertical="top"/>
    </xf>
    <xf numFmtId="164" fontId="14" fillId="0" borderId="0" applyAlignment="1" pivotButton="0" quotePrefix="0" xfId="1">
      <alignment horizontal="center" vertical="top"/>
    </xf>
    <xf numFmtId="0" fontId="15" fillId="0" borderId="1" applyAlignment="1" pivotButton="0" quotePrefix="0" xfId="0">
      <alignment horizontal="left" vertical="top" wrapText="1"/>
    </xf>
    <xf numFmtId="164" fontId="15" fillId="0" borderId="1" applyAlignment="1" pivotButton="0" quotePrefix="0" xfId="1">
      <alignment horizontal="center" vertical="top" wrapText="1"/>
    </xf>
    <xf numFmtId="0" fontId="15" fillId="0" borderId="1" applyAlignment="1" pivotButton="0" quotePrefix="0" xfId="0">
      <alignment horizontal="center" vertical="top" wrapText="1"/>
    </xf>
    <xf numFmtId="164" fontId="15" fillId="0" borderId="1" applyAlignment="1" pivotButton="0" quotePrefix="0" xfId="1">
      <alignment horizontal="center" vertical="center" wrapText="1"/>
    </xf>
    <xf numFmtId="164" fontId="3" fillId="0" borderId="2" applyAlignment="1" pivotButton="0" quotePrefix="0" xfId="1">
      <alignment horizontal="center" vertical="center" wrapText="1"/>
    </xf>
    <xf numFmtId="164" fontId="3" fillId="0" borderId="3" applyAlignment="1" pivotButton="0" quotePrefix="0" xfId="1">
      <alignment horizontal="center" vertical="center" wrapText="1"/>
    </xf>
    <xf numFmtId="164" fontId="16" fillId="0" borderId="4" applyAlignment="1" pivotButton="0" quotePrefix="0" xfId="1">
      <alignment horizontal="right" vertical="center" wrapText="1"/>
    </xf>
    <xf numFmtId="164" fontId="16" fillId="0" borderId="5" applyAlignment="1" pivotButton="0" quotePrefix="0" xfId="1">
      <alignment horizontal="right" vertical="center" wrapText="1"/>
    </xf>
    <xf numFmtId="164" fontId="3" fillId="0" borderId="6" applyAlignment="1" pivotButton="0" quotePrefix="0" xfId="1">
      <alignment horizontal="center" vertical="center"/>
    </xf>
    <xf numFmtId="164" fontId="3" fillId="0" borderId="7" applyAlignment="1" pivotButton="0" quotePrefix="0" xfId="1">
      <alignment horizontal="center" vertical="center"/>
    </xf>
    <xf numFmtId="0" fontId="13" fillId="0" borderId="1" applyAlignment="1" pivotButton="0" quotePrefix="0" xfId="0">
      <alignment horizontal="left" vertical="top" wrapText="1"/>
    </xf>
    <xf numFmtId="165" fontId="1" fillId="8" borderId="1" applyAlignment="1" pivotButton="0" quotePrefix="0" xfId="1">
      <alignment horizontal="center" vertical="center" wrapText="1"/>
    </xf>
    <xf numFmtId="165" fontId="15" fillId="0" borderId="1" applyAlignment="1" pivotButton="0" quotePrefix="0" xfId="1">
      <alignment horizontal="center" vertical="top" wrapText="1"/>
    </xf>
    <xf numFmtId="165" fontId="15" fillId="0" borderId="1" applyAlignment="1" pivotButton="0" quotePrefix="0" xfId="1">
      <alignment horizontal="center" vertical="center" wrapText="1"/>
    </xf>
    <xf numFmtId="165" fontId="17" fillId="0" borderId="1" applyAlignment="1" pivotButton="0" quotePrefix="0" xfId="1">
      <alignment horizontal="center" vertical="top"/>
    </xf>
    <xf numFmtId="165" fontId="17" fillId="0" borderId="1" applyAlignment="1" pivotButton="0" quotePrefix="0" xfId="1">
      <alignment horizontal="center" vertical="top"/>
    </xf>
    <xf numFmtId="165" fontId="15" fillId="0" borderId="1" applyAlignment="1" pivotButton="0" quotePrefix="0" xfId="1">
      <alignment horizontal="center" vertical="top"/>
    </xf>
    <xf numFmtId="165" fontId="15" fillId="0" borderId="1" applyAlignment="1" pivotButton="0" quotePrefix="0" xfId="1">
      <alignment horizontal="left" vertical="top"/>
    </xf>
    <xf numFmtId="165" fontId="0" fillId="0" borderId="0" applyAlignment="1" pivotButton="0" quotePrefix="0" xfId="0">
      <alignment horizontal="center" vertical="top"/>
    </xf>
    <xf numFmtId="165" fontId="10" fillId="0" borderId="0" applyAlignment="1" pivotButton="0" quotePrefix="0" xfId="1">
      <alignment horizontal="left" vertical="top"/>
    </xf>
    <xf numFmtId="0" fontId="18" fillId="0" borderId="1" pivotButton="0" quotePrefix="0" xfId="0"/>
    <xf numFmtId="0" fontId="19" fillId="0" borderId="1" pivotButton="0" quotePrefix="0" xfId="0"/>
    <xf numFmtId="165" fontId="13" fillId="0" borderId="1" applyAlignment="1" pivotButton="0" quotePrefix="0" xfId="1">
      <alignment horizontal="center" vertical="top" wrapText="1"/>
    </xf>
    <xf numFmtId="2" fontId="19" fillId="0" borderId="1" applyAlignment="1" pivotButton="0" quotePrefix="0" xfId="0">
      <alignment horizontal="center"/>
    </xf>
    <xf numFmtId="2" fontId="19" fillId="0" borderId="1" pivotButton="0" quotePrefix="0" xfId="0"/>
    <xf numFmtId="2" fontId="19" fillId="9" borderId="1" pivotButton="0" quotePrefix="0" xfId="0"/>
    <xf numFmtId="2" fontId="18" fillId="0" borderId="1" pivotButton="0" quotePrefix="0" xfId="0"/>
    <xf numFmtId="165" fontId="19" fillId="0" borderId="1" pivotButton="0" quotePrefix="0" xfId="0"/>
    <xf numFmtId="165" fontId="19" fillId="9" borderId="1" pivotButton="0" quotePrefix="0" xfId="0"/>
    <xf numFmtId="165" fontId="15" fillId="10" borderId="1" applyAlignment="1" pivotButton="0" quotePrefix="0" xfId="1">
      <alignment horizontal="center" vertical="top" wrapText="1"/>
    </xf>
    <xf numFmtId="165" fontId="15" fillId="10" borderId="1" applyAlignment="1" pivotButton="0" quotePrefix="0" xfId="1">
      <alignment horizontal="left" vertical="top"/>
    </xf>
    <xf numFmtId="165" fontId="15" fillId="10" borderId="1" applyAlignment="1" pivotButton="0" quotePrefix="0" xfId="1">
      <alignment horizontal="center" vertical="top"/>
    </xf>
    <xf numFmtId="0" fontId="14" fillId="0" borderId="0" applyAlignment="1" pivotButton="0" quotePrefix="0" xfId="0">
      <alignment horizontal="center" vertical="top"/>
    </xf>
    <xf numFmtId="164" fontId="14" fillId="0" borderId="0" applyAlignment="1" pivotButton="0" quotePrefix="0" xfId="1">
      <alignment horizontal="left" vertical="top"/>
    </xf>
    <xf numFmtId="0" fontId="16" fillId="0" borderId="0" applyAlignment="1" pivotButton="0" quotePrefix="0" xfId="0">
      <alignment horizontal="left" vertical="top"/>
    </xf>
    <xf numFmtId="0" fontId="3" fillId="0" borderId="8" applyAlignment="1" pivotButton="0" quotePrefix="0" xfId="0">
      <alignment horizontal="center" vertical="center"/>
    </xf>
    <xf numFmtId="0" fontId="3" fillId="0" borderId="9" applyAlignment="1" pivotButton="0" quotePrefix="0" xfId="0">
      <alignment horizontal="center"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12" applyAlignment="1" pivotButton="0" quotePrefix="0" xfId="0">
      <alignment horizontal="center" vertical="center"/>
    </xf>
    <xf numFmtId="164" fontId="16" fillId="0" borderId="0" applyAlignment="1" pivotButton="0" quotePrefix="0" xfId="0">
      <alignment horizontal="left" vertical="top"/>
    </xf>
    <xf numFmtId="0" fontId="21" fillId="0" borderId="1" applyAlignment="1" pivotButton="0" quotePrefix="0" xfId="0">
      <alignment horizontal="center" vertical="top"/>
    </xf>
    <xf numFmtId="164" fontId="14" fillId="0" borderId="0" applyAlignment="1" pivotButton="0" quotePrefix="0" xfId="1">
      <alignment horizontal="center" vertical="top"/>
    </xf>
    <xf numFmtId="165" fontId="15" fillId="0" borderId="1" applyAlignment="1" pivotButton="0" quotePrefix="0" xfId="1">
      <alignment horizontal="left" vertical="top"/>
    </xf>
    <xf numFmtId="0" fontId="4" fillId="3" borderId="0" pivotButton="0" quotePrefix="0" xfId="0"/>
    <xf numFmtId="0" fontId="16" fillId="3" borderId="0" pivotButton="0" quotePrefix="0" xfId="0"/>
    <xf numFmtId="0" fontId="5" fillId="11" borderId="13" applyAlignment="1" applyProtection="1" pivotButton="0" quotePrefix="0" xfId="6">
      <alignment horizontal="center" vertical="center" wrapText="1" shrinkToFit="1"/>
      <protection locked="0" hidden="0"/>
    </xf>
    <xf numFmtId="3" fontId="5" fillId="11" borderId="14" applyAlignment="1" applyProtection="1" pivotButton="0" quotePrefix="0" xfId="6">
      <alignment horizontal="left" vertical="center" wrapText="1" shrinkToFit="1"/>
      <protection locked="0" hidden="0"/>
    </xf>
    <xf numFmtId="0" fontId="5" fillId="11" borderId="13" applyAlignment="1" applyProtection="1" pivotButton="0" quotePrefix="0" xfId="6">
      <alignment horizontal="left" vertical="center" wrapText="1" shrinkToFit="1"/>
      <protection locked="0" hidden="0"/>
    </xf>
    <xf numFmtId="0" fontId="5" fillId="11" borderId="15" applyAlignment="1" applyProtection="1" pivotButton="0" quotePrefix="0" xfId="6">
      <alignment horizontal="left" vertical="center" wrapText="1" shrinkToFit="1"/>
      <protection locked="0" hidden="0"/>
    </xf>
    <xf numFmtId="0" fontId="6" fillId="4" borderId="1" applyAlignment="1" pivotButton="0" quotePrefix="0" xfId="4">
      <alignment horizontal="center" vertical="center"/>
    </xf>
    <xf numFmtId="0" fontId="22" fillId="12" borderId="1" applyAlignment="1" pivotButton="0" quotePrefix="0" xfId="6">
      <alignment horizontal="center" vertical="center" wrapText="1"/>
    </xf>
    <xf numFmtId="0" fontId="2" fillId="0" borderId="1" applyAlignment="1" pivotButton="0" quotePrefix="0" xfId="4">
      <alignment horizontal="center" vertical="center"/>
    </xf>
    <xf numFmtId="0" fontId="7" fillId="0" borderId="10" applyAlignment="1" pivotButton="0" quotePrefix="0" xfId="0">
      <alignment horizontal="left" vertical="center" wrapText="1"/>
    </xf>
    <xf numFmtId="166" fontId="2" fillId="0" borderId="1" applyAlignment="1" pivotButton="0" quotePrefix="0" xfId="2">
      <alignment vertical="center"/>
    </xf>
    <xf numFmtId="4" fontId="23" fillId="0" borderId="1" pivotButton="0" quotePrefix="0" xfId="6"/>
    <xf numFmtId="0" fontId="7" fillId="0" borderId="11" applyAlignment="1" pivotButton="0" quotePrefix="0" xfId="0">
      <alignment horizontal="left" vertical="center" wrapText="1"/>
    </xf>
    <xf numFmtId="0" fontId="2" fillId="0" borderId="1" applyAlignment="1" pivotButton="0" quotePrefix="0" xfId="4">
      <alignment vertical="center"/>
    </xf>
    <xf numFmtId="4" fontId="24" fillId="0" borderId="1" applyAlignment="1" pivotButton="0" quotePrefix="0" xfId="6">
      <alignment horizontal="right" vertical="center" wrapText="1"/>
    </xf>
    <xf numFmtId="0" fontId="6" fillId="5" borderId="1" applyAlignment="1" pivotButton="0" quotePrefix="0" xfId="4">
      <alignment horizontal="center" vertical="center"/>
    </xf>
    <xf numFmtId="0" fontId="6" fillId="5" borderId="1" applyAlignment="1" pivotButton="0" quotePrefix="0" xfId="4">
      <alignment vertical="center"/>
    </xf>
    <xf numFmtId="166" fontId="6" fillId="5" borderId="1" applyAlignment="1" pivotButton="0" quotePrefix="0" xfId="2">
      <alignment vertical="center"/>
    </xf>
    <xf numFmtId="0" fontId="6" fillId="0" borderId="1" applyAlignment="1" pivotButton="0" quotePrefix="0" xfId="4">
      <alignment horizontal="center"/>
    </xf>
    <xf numFmtId="0" fontId="25" fillId="0" borderId="1" pivotButton="0" quotePrefix="0" xfId="6"/>
    <xf numFmtId="0" fontId="25" fillId="0" borderId="1" applyAlignment="1" pivotButton="0" quotePrefix="0" xfId="6">
      <alignment horizontal="right"/>
    </xf>
    <xf numFmtId="0" fontId="2" fillId="0" borderId="1" pivotButton="0" quotePrefix="0" xfId="4"/>
    <xf numFmtId="166" fontId="2" fillId="0" borderId="1" pivotButton="0" quotePrefix="0" xfId="2"/>
    <xf numFmtId="0" fontId="8" fillId="0" borderId="1" applyAlignment="1" applyProtection="1" pivotButton="0" quotePrefix="0" xfId="4">
      <alignment horizontal="center"/>
      <protection locked="0" hidden="0"/>
    </xf>
    <xf numFmtId="0" fontId="2" fillId="0" borderId="1" applyProtection="1" pivotButton="0" quotePrefix="0" xfId="4">
      <protection locked="0" hidden="0"/>
    </xf>
    <xf numFmtId="166" fontId="2" fillId="0" borderId="1" applyProtection="1" pivotButton="0" quotePrefix="0" xfId="2">
      <protection locked="0" hidden="0"/>
    </xf>
    <xf numFmtId="166" fontId="2" fillId="0" borderId="1" applyAlignment="1" applyProtection="1" pivotButton="0" quotePrefix="0" xfId="2">
      <alignment horizontal="right"/>
      <protection locked="0" hidden="0"/>
    </xf>
    <xf numFmtId="0" fontId="8" fillId="0" borderId="1" applyAlignment="1" applyProtection="1" pivotButton="0" quotePrefix="0" xfId="4">
      <alignment horizontal="right"/>
      <protection locked="0" hidden="0"/>
    </xf>
    <xf numFmtId="166" fontId="6" fillId="5" borderId="1" applyAlignment="1" pivotButton="0" quotePrefix="0" xfId="2">
      <alignment horizontal="right" vertical="center"/>
    </xf>
    <xf numFmtId="0" fontId="2" fillId="2" borderId="1" applyAlignment="1" pivotButton="0" quotePrefix="0" xfId="4">
      <alignment horizontal="left"/>
    </xf>
    <xf numFmtId="0" fontId="2" fillId="2" borderId="1" pivotButton="0" quotePrefix="0" xfId="4"/>
    <xf numFmtId="0" fontId="2" fillId="2" borderId="1" applyAlignment="1" pivotButton="0" quotePrefix="0" xfId="4">
      <alignment horizontal="right"/>
    </xf>
    <xf numFmtId="0" fontId="6" fillId="6" borderId="1" applyAlignment="1" pivotButton="0" quotePrefix="0" xfId="4">
      <alignment horizontal="center" vertical="center"/>
    </xf>
    <xf numFmtId="0" fontId="6" fillId="6" borderId="1" applyAlignment="1" pivotButton="0" quotePrefix="0" xfId="4">
      <alignment vertical="center"/>
    </xf>
    <xf numFmtId="166" fontId="6" fillId="6" borderId="1" applyAlignment="1" pivotButton="0" quotePrefix="0" xfId="2">
      <alignment vertical="center"/>
    </xf>
    <xf numFmtId="166" fontId="6" fillId="6" borderId="1" applyAlignment="1" pivotButton="0" quotePrefix="0" xfId="2">
      <alignment horizontal="right" vertical="center"/>
    </xf>
    <xf numFmtId="164" fontId="0" fillId="0" borderId="0" applyAlignment="1" pivotButton="0" quotePrefix="0" xfId="0">
      <alignment horizontal="left" vertical="top"/>
    </xf>
    <xf numFmtId="0" fontId="26" fillId="13" borderId="1" applyAlignment="1" pivotButton="0" quotePrefix="0" xfId="0">
      <alignment horizontal="center" vertical="top" wrapText="1"/>
    </xf>
    <xf numFmtId="164" fontId="26" fillId="13" borderId="1" applyAlignment="1" pivotButton="0" quotePrefix="0" xfId="1">
      <alignment horizontal="center" vertical="top" wrapText="1"/>
    </xf>
    <xf numFmtId="0" fontId="27" fillId="10" borderId="1" applyAlignment="1" pivotButton="0" quotePrefix="0" xfId="0">
      <alignment horizontal="center" vertical="center"/>
    </xf>
    <xf numFmtId="0" fontId="14" fillId="0" borderId="1" applyAlignment="1" pivotButton="0" quotePrefix="0" xfId="0">
      <alignment horizontal="left" vertical="top"/>
    </xf>
    <xf numFmtId="164" fontId="21" fillId="0" borderId="1" applyAlignment="1" pivotButton="0" quotePrefix="0" xfId="1">
      <alignment horizontal="center" vertical="top"/>
    </xf>
    <xf numFmtId="164" fontId="14" fillId="0" borderId="1" applyAlignment="1" pivotButton="0" quotePrefix="0" xfId="0">
      <alignment horizontal="left" vertical="top"/>
    </xf>
    <xf numFmtId="164" fontId="15" fillId="14" borderId="1" applyAlignment="1" pivotButton="0" quotePrefix="0" xfId="1">
      <alignment horizontal="center" vertical="top" wrapText="1"/>
    </xf>
    <xf numFmtId="164" fontId="15" fillId="15" borderId="1" applyAlignment="1" pivotButton="0" quotePrefix="0" xfId="1">
      <alignment horizontal="center" vertical="top" wrapText="1"/>
    </xf>
    <xf numFmtId="0" fontId="28" fillId="15" borderId="1" applyAlignment="1" pivotButton="0" quotePrefix="0" xfId="0">
      <alignment horizontal="center" vertical="top"/>
    </xf>
    <xf numFmtId="0" fontId="29" fillId="0" borderId="0" applyAlignment="1" pivotButton="0" quotePrefix="0" xfId="0">
      <alignment horizontal="left" vertical="top"/>
    </xf>
    <xf numFmtId="166" fontId="0" fillId="0" borderId="0" applyAlignment="1" pivotButton="0" quotePrefix="0" xfId="0">
      <alignment horizontal="left" vertical="top"/>
    </xf>
    <xf numFmtId="4" fontId="0" fillId="0" borderId="0" applyAlignment="1" pivotButton="0" quotePrefix="0" xfId="0">
      <alignment horizontal="left" vertical="top"/>
    </xf>
    <xf numFmtId="0" fontId="0" fillId="0" borderId="0" applyAlignment="1" pivotButton="0" quotePrefix="0" xfId="0">
      <alignment horizontal="left" vertical="top" wrapText="1"/>
    </xf>
    <xf numFmtId="0" fontId="26" fillId="10" borderId="1" applyAlignment="1" pivotButton="0" quotePrefix="0" xfId="0">
      <alignment vertical="top" wrapText="1"/>
    </xf>
    <xf numFmtId="164" fontId="26" fillId="10" borderId="1" applyAlignment="1" pivotButton="0" quotePrefix="0" xfId="1">
      <alignment vertical="top" wrapText="1"/>
    </xf>
    <xf numFmtId="0" fontId="0" fillId="10" borderId="1" applyAlignment="1" pivotButton="0" quotePrefix="0" xfId="0">
      <alignment horizontal="center" vertical="top" wrapText="1"/>
    </xf>
    <xf numFmtId="0" fontId="27" fillId="10" borderId="1" applyAlignment="1" pivotButton="0" quotePrefix="0" xfId="0">
      <alignment horizontal="center" vertical="top"/>
    </xf>
    <xf numFmtId="164" fontId="14" fillId="0" borderId="1" applyAlignment="1" pivotButton="0" quotePrefix="0" xfId="0">
      <alignment horizontal="center" vertical="top"/>
    </xf>
    <xf numFmtId="164" fontId="14" fillId="0" borderId="1" applyAlignment="1" pivotButton="0" quotePrefix="0" xfId="0">
      <alignment horizontal="center" vertical="top" wrapText="1"/>
    </xf>
    <xf numFmtId="0" fontId="0" fillId="0" borderId="0" applyAlignment="1" pivotButton="0" quotePrefix="0" xfId="0">
      <alignment horizontal="center" vertical="top"/>
    </xf>
    <xf numFmtId="0" fontId="0" fillId="16" borderId="1" applyAlignment="1" pivotButton="0" quotePrefix="0" xfId="0">
      <alignment horizontal="center" vertical="top" wrapText="1"/>
    </xf>
    <xf numFmtId="0" fontId="1" fillId="8" borderId="1" applyAlignment="1" pivotButton="0" quotePrefix="0" xfId="3">
      <alignment horizontal="center" vertical="center" wrapText="1"/>
    </xf>
    <xf numFmtId="164" fontId="1" fillId="8" borderId="1" applyAlignment="1" pivotButton="0" quotePrefix="1" xfId="1">
      <alignment horizontal="center" vertical="center" wrapText="1"/>
    </xf>
    <xf numFmtId="0" fontId="31" fillId="13" borderId="1" applyAlignment="1" pivotButton="0" quotePrefix="0" xfId="0">
      <alignment horizontal="center" vertical="center" wrapText="1"/>
    </xf>
    <xf numFmtId="0" fontId="32" fillId="0" borderId="1" applyAlignment="1" pivotButton="0" quotePrefix="0" xfId="0">
      <alignment horizontal="left" vertical="top" wrapText="1"/>
    </xf>
    <xf numFmtId="0" fontId="14" fillId="0" borderId="1" applyAlignment="1" pivotButton="0" quotePrefix="0" xfId="0">
      <alignment horizontal="left" vertical="top" wrapText="1"/>
    </xf>
    <xf numFmtId="0" fontId="13" fillId="0" borderId="1" applyAlignment="1" pivotButton="0" quotePrefix="0" xfId="0">
      <alignment vertical="top" wrapText="1"/>
    </xf>
    <xf numFmtId="0" fontId="13" fillId="0" borderId="1" applyAlignment="1" pivotButton="0" quotePrefix="0" xfId="0">
      <alignment horizontal="center" vertical="top" wrapText="1"/>
    </xf>
    <xf numFmtId="164" fontId="13" fillId="0" borderId="1" applyAlignment="1" pivotButton="0" quotePrefix="0" xfId="1">
      <alignment vertical="top" wrapText="1"/>
    </xf>
    <xf numFmtId="165" fontId="13" fillId="0" borderId="1" applyAlignment="1" pivotButton="0" quotePrefix="0" xfId="1">
      <alignment vertical="top" wrapText="1"/>
    </xf>
    <xf numFmtId="165" fontId="13" fillId="0" borderId="1" applyAlignment="1" pivotButton="0" quotePrefix="0" xfId="1">
      <alignment vertical="center" wrapText="1"/>
    </xf>
    <xf numFmtId="164" fontId="13" fillId="0" borderId="1" applyAlignment="1" pivotButton="0" quotePrefix="0" xfId="1">
      <alignment vertical="center" wrapText="1"/>
    </xf>
    <xf numFmtId="0" fontId="0" fillId="0" borderId="1" applyAlignment="1" pivotButton="0" quotePrefix="0" xfId="0">
      <alignment horizontal="left" vertical="top"/>
    </xf>
    <xf numFmtId="165" fontId="0" fillId="0" borderId="1" applyAlignment="1" pivotButton="0" quotePrefix="0" xfId="0">
      <alignment horizontal="center" vertical="top"/>
    </xf>
    <xf numFmtId="165" fontId="10" fillId="0" borderId="1" applyAlignment="1" pivotButton="0" quotePrefix="0" xfId="1">
      <alignment horizontal="left" vertical="top"/>
    </xf>
    <xf numFmtId="164" fontId="13" fillId="0" borderId="1" applyAlignment="1" pivotButton="0" quotePrefix="0" xfId="1">
      <alignment horizontal="center" vertical="center" wrapText="1"/>
    </xf>
    <xf numFmtId="165" fontId="13" fillId="0" borderId="1" applyAlignment="1" pivotButton="0" quotePrefix="0" xfId="1">
      <alignment horizontal="center" vertical="center" wrapText="1"/>
    </xf>
    <xf numFmtId="165" fontId="13" fillId="0" borderId="1" applyAlignment="1" pivotButton="0" quotePrefix="0" xfId="1">
      <alignment horizontal="center" vertical="top"/>
    </xf>
    <xf numFmtId="165" fontId="13" fillId="0" borderId="1" applyAlignment="1" pivotButton="0" quotePrefix="0" xfId="1">
      <alignment horizontal="center" vertical="top"/>
    </xf>
    <xf numFmtId="0" fontId="20" fillId="0" borderId="1" pivotButton="0" quotePrefix="0" xfId="0"/>
    <xf numFmtId="164" fontId="13" fillId="0" borderId="1" applyAlignment="1" pivotButton="0" quotePrefix="0" xfId="1">
      <alignment horizontal="center" vertical="top" wrapText="1"/>
    </xf>
    <xf numFmtId="0" fontId="15" fillId="19" borderId="1" applyAlignment="1" pivotButton="0" quotePrefix="0" xfId="0">
      <alignment horizontal="left" vertical="top" wrapText="1"/>
    </xf>
    <xf numFmtId="0" fontId="2" fillId="2" borderId="14" applyAlignment="1" pivotButton="0" quotePrefix="0" xfId="4">
      <alignment horizontal="center"/>
    </xf>
    <xf numFmtId="0" fontId="2" fillId="2" borderId="13" applyAlignment="1" pivotButton="0" quotePrefix="0" xfId="4">
      <alignment horizontal="center"/>
    </xf>
    <xf numFmtId="0" fontId="2" fillId="2" borderId="15" applyAlignment="1" pivotButton="0" quotePrefix="0" xfId="4">
      <alignment horizontal="center"/>
    </xf>
    <xf numFmtId="0" fontId="6" fillId="0" borderId="1" applyAlignment="1" pivotButton="0" quotePrefix="0" xfId="4">
      <alignment horizontal="center"/>
    </xf>
    <xf numFmtId="0" fontId="30" fillId="17" borderId="14" applyAlignment="1" pivotButton="0" quotePrefix="0" xfId="6">
      <alignment horizontal="center"/>
    </xf>
    <xf numFmtId="0" fontId="30" fillId="17" borderId="13" applyAlignment="1" pivotButton="0" quotePrefix="0" xfId="6">
      <alignment horizontal="center"/>
    </xf>
    <xf numFmtId="0" fontId="30" fillId="17" borderId="15" applyAlignment="1" pivotButton="0" quotePrefix="0" xfId="6">
      <alignment horizontal="center"/>
    </xf>
    <xf numFmtId="0" fontId="5" fillId="11" borderId="14" applyAlignment="1" applyProtection="1" pivotButton="0" quotePrefix="0" xfId="6">
      <alignment horizontal="center" shrinkToFit="1"/>
      <protection locked="0" hidden="0"/>
    </xf>
    <xf numFmtId="0" fontId="5" fillId="11" borderId="13" applyAlignment="1" applyProtection="1" pivotButton="0" quotePrefix="0" xfId="6">
      <alignment horizontal="center" shrinkToFit="1"/>
      <protection locked="0" hidden="0"/>
    </xf>
    <xf numFmtId="0" fontId="5" fillId="11" borderId="15" applyAlignment="1" applyProtection="1" pivotButton="0" quotePrefix="0" xfId="6">
      <alignment horizontal="center" shrinkToFit="1"/>
      <protection locked="0" hidden="0"/>
    </xf>
    <xf numFmtId="0" fontId="5" fillId="11" borderId="14" applyAlignment="1" applyProtection="1" pivotButton="0" quotePrefix="0" xfId="6">
      <alignment horizontal="left" vertical="center" wrapText="1" shrinkToFit="1"/>
      <protection locked="0" hidden="0"/>
    </xf>
    <xf numFmtId="0" fontId="5" fillId="11" borderId="13" applyAlignment="1" applyProtection="1" pivotButton="0" quotePrefix="0" xfId="6">
      <alignment horizontal="left" vertical="center" wrapText="1" shrinkToFit="1"/>
      <protection locked="0" hidden="0"/>
    </xf>
    <xf numFmtId="0" fontId="5" fillId="11" borderId="15" applyAlignment="1" applyProtection="1" pivotButton="0" quotePrefix="0" xfId="6">
      <alignment horizontal="left" vertical="center" wrapText="1" shrinkToFit="1"/>
      <protection locked="0" hidden="0"/>
    </xf>
    <xf numFmtId="0" fontId="5" fillId="11" borderId="14" applyAlignment="1" applyProtection="1" pivotButton="0" quotePrefix="0" xfId="6">
      <alignment horizontal="left" vertical="center" shrinkToFit="1"/>
      <protection locked="0" hidden="0"/>
    </xf>
    <xf numFmtId="0" fontId="5" fillId="11" borderId="13" applyAlignment="1" applyProtection="1" pivotButton="0" quotePrefix="0" xfId="6">
      <alignment horizontal="left" vertical="center" shrinkToFit="1"/>
      <protection locked="0" hidden="0"/>
    </xf>
    <xf numFmtId="0" fontId="5" fillId="11" borderId="15" applyAlignment="1" applyProtection="1" pivotButton="0" quotePrefix="0" xfId="6">
      <alignment horizontal="left" vertical="center" shrinkToFit="1"/>
      <protection locked="0" hidden="0"/>
    </xf>
    <xf numFmtId="0" fontId="5" fillId="7" borderId="14" applyAlignment="1" pivotButton="0" quotePrefix="0" xfId="5">
      <alignment horizontal="center" vertical="center"/>
    </xf>
    <xf numFmtId="0" fontId="5" fillId="7" borderId="13" applyAlignment="1" pivotButton="0" quotePrefix="0" xfId="5">
      <alignment horizontal="center" vertical="center"/>
    </xf>
    <xf numFmtId="0" fontId="27" fillId="10" borderId="1" applyAlignment="1" pivotButton="0" quotePrefix="0" xfId="0">
      <alignment horizontal="center" vertical="center"/>
    </xf>
    <xf numFmtId="164" fontId="13" fillId="10" borderId="1" applyAlignment="1" pivotButton="0" quotePrefix="0" xfId="1">
      <alignment horizontal="center" vertical="top"/>
    </xf>
    <xf numFmtId="0" fontId="27" fillId="10" borderId="1" applyAlignment="1" pivotButton="0" quotePrefix="0" xfId="0">
      <alignment horizontal="center" vertical="top"/>
    </xf>
    <xf numFmtId="165" fontId="1" fillId="8" borderId="1" applyAlignment="1" pivotButton="0" quotePrefix="0" xfId="1">
      <alignment horizontal="center" vertical="center" wrapText="1"/>
    </xf>
    <xf numFmtId="0" fontId="1" fillId="8" borderId="1" applyAlignment="1" pivotButton="0" quotePrefix="0" xfId="3">
      <alignment horizontal="center" vertical="center" wrapText="1"/>
    </xf>
    <xf numFmtId="164" fontId="1" fillId="8" borderId="1" applyAlignment="1" pivotButton="0" quotePrefix="1" xfId="1">
      <alignment horizontal="center" vertical="center" wrapText="1"/>
    </xf>
    <xf numFmtId="165" fontId="1" fillId="18" borderId="1" applyAlignment="1" pivotButton="0" quotePrefix="0" xfId="1">
      <alignment horizontal="center" vertical="center"/>
    </xf>
    <xf numFmtId="0" fontId="3" fillId="3" borderId="0" applyAlignment="1" pivotButton="0" quotePrefix="0" xfId="0">
      <alignment horizontal="center"/>
    </xf>
    <xf numFmtId="0" fontId="0" fillId="0" borderId="0" pivotButton="0" quotePrefix="0" xfId="0"/>
    <xf numFmtId="0" fontId="30" fillId="17" borderId="1" applyAlignment="1" pivotButton="0" quotePrefix="0" xfId="6">
      <alignment horizontal="center"/>
    </xf>
    <xf numFmtId="0" fontId="0" fillId="0" borderId="13" pivotButton="0" quotePrefix="0" xfId="0"/>
    <xf numFmtId="0" fontId="0" fillId="0" borderId="15" pivotButton="0" quotePrefix="0" xfId="0"/>
    <xf numFmtId="0" fontId="5" fillId="11" borderId="1" applyAlignment="1" applyProtection="1" pivotButton="0" quotePrefix="0" xfId="6">
      <alignment horizontal="center" shrinkToFit="1"/>
      <protection locked="0" hidden="0"/>
    </xf>
    <xf numFmtId="0" fontId="0" fillId="0" borderId="13" applyProtection="1" pivotButton="0" quotePrefix="0" xfId="0">
      <protection locked="0" hidden="0"/>
    </xf>
    <xf numFmtId="0" fontId="0" fillId="0" borderId="15" applyProtection="1" pivotButton="0" quotePrefix="0" xfId="0">
      <protection locked="0" hidden="0"/>
    </xf>
    <xf numFmtId="0" fontId="5" fillId="11" borderId="1" applyAlignment="1" applyProtection="1" pivotButton="0" quotePrefix="0" xfId="6">
      <alignment horizontal="left" vertical="center" wrapText="1" shrinkToFit="1"/>
      <protection locked="0" hidden="0"/>
    </xf>
    <xf numFmtId="0" fontId="5" fillId="11" borderId="1" applyAlignment="1" applyProtection="1" pivotButton="0" quotePrefix="0" xfId="6">
      <alignment horizontal="left" vertical="center" shrinkToFit="1"/>
      <protection locked="0" hidden="0"/>
    </xf>
    <xf numFmtId="0" fontId="2" fillId="2" borderId="1" applyAlignment="1" pivotButton="0" quotePrefix="0" xfId="4">
      <alignment horizontal="center"/>
    </xf>
    <xf numFmtId="166" fontId="2" fillId="0" borderId="1" applyAlignment="1" pivotButton="0" quotePrefix="0" xfId="2">
      <alignment vertical="center"/>
    </xf>
    <xf numFmtId="166" fontId="6" fillId="5" borderId="1" applyAlignment="1" pivotButton="0" quotePrefix="0" xfId="2">
      <alignment vertical="center"/>
    </xf>
    <xf numFmtId="166" fontId="2" fillId="0" borderId="1" pivotButton="0" quotePrefix="0" xfId="2"/>
    <xf numFmtId="166" fontId="2" fillId="0" borderId="1" applyProtection="1" pivotButton="0" quotePrefix="0" xfId="2">
      <protection locked="0" hidden="0"/>
    </xf>
    <xf numFmtId="166" fontId="2" fillId="0" borderId="1" applyAlignment="1" applyProtection="1" pivotButton="0" quotePrefix="0" xfId="2">
      <alignment horizontal="right"/>
      <protection locked="0" hidden="0"/>
    </xf>
    <xf numFmtId="166" fontId="6" fillId="5" borderId="1" applyAlignment="1" pivotButton="0" quotePrefix="0" xfId="2">
      <alignment horizontal="right" vertical="center"/>
    </xf>
    <xf numFmtId="166" fontId="6" fillId="6" borderId="1" applyAlignment="1" pivotButton="0" quotePrefix="0" xfId="2">
      <alignment vertical="center"/>
    </xf>
    <xf numFmtId="166" fontId="6" fillId="6" borderId="1" applyAlignment="1" pivotButton="0" quotePrefix="0" xfId="2">
      <alignment horizontal="right" vertical="center"/>
    </xf>
    <xf numFmtId="0" fontId="0" fillId="0" borderId="20" pivotButton="0" quotePrefix="0" xfId="0"/>
    <xf numFmtId="166" fontId="0" fillId="0" borderId="0" applyAlignment="1" pivotButton="0" quotePrefix="0" xfId="0">
      <alignment horizontal="left" vertical="top"/>
    </xf>
  </cellXfs>
  <cellStyles count="7">
    <cellStyle name="Normal" xfId="0" builtinId="0"/>
    <cellStyle name="Comma" xfId="1" builtinId="3"/>
    <cellStyle name="Comma 8 2" xfId="2"/>
    <cellStyle name="Normal 2 2 2" xfId="3"/>
    <cellStyle name="Normal 2 2 2 2 2" xfId="4"/>
    <cellStyle name="Normal 2 4 5" xfId="5"/>
    <cellStyle name="Normal 49" xf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Tejas Kombade/IND</author>
  </authors>
  <commentList>
    <comment ref="L4" authorId="0" shapeId="0">
      <text>
        <t>? CORRECTLY LINKED: BOQ Qty matches a value in the Sr. No. block.</t>
      </text>
    </comment>
    <comment ref="L5" authorId="0" shapeId="0">
      <text>
        <t>? CORRECTLY LINKED: BOQ Qty matches a value in the Sr. No. block.</t>
      </text>
    </comment>
    <comment ref="L6" authorId="0" shapeId="0">
      <text>
        <t>? CORRECTLY LINKED: BOQ Qty matches a value in the Sr. No. block.</t>
      </text>
    </comment>
    <comment ref="L7" authorId="0" shapeId="0">
      <text>
        <t>? CORRECTLY LINKED: BOQ Qty matches a value in the Sr. No. block.</t>
      </text>
    </comment>
    <comment ref="L8" authorId="0" shapeId="0">
      <text>
        <t>? CORRECTLY LINKED: BOQ Qty matches a value in the Sr. No. block.</t>
      </text>
    </comment>
    <comment ref="L9" authorId="0" shapeId="0">
      <text>
        <t>? CORRECTLY LINKED: BOQ Qty matches a value in the Sr. No. block.</t>
      </text>
    </comment>
    <comment ref="L10" authorId="0" shapeId="0">
      <text>
        <t>? CORRECTLY LINKED: BOQ Qty matches a value in the Sr. No. block.</t>
      </text>
    </comment>
    <comment ref="L11" authorId="0" shapeId="0">
      <text>
        <t>? CORRECTLY LINKED: BOQ Qty matches a value in the Sr. No. block.</t>
      </text>
    </comment>
    <comment ref="L12" authorId="0" shapeId="0">
      <text>
        <t>? CORRECTLY LINKED: BOQ Qty matches a value in the Sr. No. block.</t>
      </text>
    </comment>
    <comment ref="L13" authorId="0" shapeId="0">
      <text>
        <t>? CORRECTLY LINKED: BOQ Qty matches a value in the Sr. No. block.</t>
      </text>
    </comment>
    <comment ref="L14" authorId="0" shapeId="0">
      <text>
        <t>? CORRECTLY LINKED: BOQ Qty matches a value in the Sr. No. block.</t>
      </text>
    </comment>
    <comment ref="L15" authorId="0" shapeId="0">
      <text>
        <t>? CORRECTLY LINKED: BOQ Qty matches a value in the Sr. No. block.</t>
      </text>
    </comment>
    <comment ref="L16" authorId="0" shapeId="0">
      <text>
        <t>? CORRECTLY LINKED: BOQ Qty matches a value in the Sr. No. block.</t>
      </text>
    </comment>
    <comment ref="L17" authorId="0" shapeId="0">
      <text>
        <t>? CORRECTLY LINKED: BOQ Qty matches a value in the Sr. No. block.</t>
      </text>
    </comment>
    <comment ref="L18" authorId="0" shapeId="0">
      <text>
        <t>? CORRECTLY LINKED: BOQ Qty matches a value in the Sr. No. block.</t>
      </text>
    </comment>
    <comment ref="L19" authorId="0" shapeId="0">
      <text>
        <t>? CORRECTLY LINKED: BOQ Qty matches a value in the Sr. No. block.</t>
      </text>
    </comment>
    <comment ref="L20" authorId="0" shapeId="0">
      <text>
        <t>? CORRECTLY LINKED: BOQ Qty matches a value in the Sr. No. block.</t>
      </text>
    </comment>
    <comment ref="L21" authorId="0" shapeId="0">
      <text>
        <t>? CORRECTLY LINKED: BOQ Qty matches a value in the Sr. No. block.</t>
      </text>
    </comment>
    <comment ref="L22" authorId="0" shapeId="0">
      <text>
        <t>? CORRECTLY LINKED: BOQ Qty matches a value in the Sr. No. block.</t>
      </text>
    </comment>
    <comment ref="L23" authorId="0" shapeId="0">
      <text>
        <t>? CORRECTLY LINKED: BOQ Qty matches a value in the Sr. No. block.</t>
      </text>
    </comment>
    <comment ref="L24" authorId="0" shapeId="0">
      <text>
        <t>? CORRECTLY LINKED: BOQ Qty matches a value in the Sr. No. block.</t>
      </text>
    </comment>
    <comment ref="L25" authorId="0" shapeId="0">
      <text>
        <t>? CORRECTLY LINKED: BOQ Qty matches a value in the Sr. No. block.</t>
      </text>
    </comment>
    <comment ref="L26" authorId="0" shapeId="0">
      <text>
        <t>? CORRECTLY LINKED: BOQ Qty matches a value in the Sr. No. block.</t>
      </text>
    </comment>
    <comment ref="L27" authorId="0" shapeId="0">
      <text>
        <t>? CORRECTLY LINKED: BOQ Qty matches a value in the Sr. No. block.</t>
      </text>
    </comment>
    <comment ref="L28" authorId="0" shapeId="0">
      <text>
        <t>? CORRECTLY LINKED: BOQ Qty matches a value in the Sr. No. block.</t>
      </text>
    </comment>
    <comment ref="L29" authorId="0" shapeId="0">
      <text>
        <t>? CORRECTLY LINKED: BOQ Qty matches a value in the Sr. No. block.</t>
      </text>
    </comment>
    <comment ref="L30" authorId="0" shapeId="0">
      <text>
        <t>? CORRECTLY LINKED: BOQ Qty matches a value in the Sr. No. block.</t>
      </text>
    </comment>
    <comment ref="L31" authorId="0" shapeId="0">
      <text>
        <t>? CORRECTLY LINKED: BOQ Qty matches a value in the Sr. No. block.</t>
      </text>
    </comment>
    <comment ref="L32" authorId="0" shapeId="0">
      <text>
        <t>? CORRECTLY LINKED: BOQ Qty matches a value in the Sr. No. block.</t>
      </text>
    </comment>
    <comment ref="L33" authorId="0" shapeId="0">
      <text>
        <t>?? NOT LINKED, values differ. BOQ: 0, Found: 1</t>
      </text>
    </comment>
    <comment ref="L34" authorId="0" shapeId="0">
      <text>
        <t>? CORRECTLY LINKED: BOQ Qty matches a value in the Sr. No. block.</t>
      </text>
    </comment>
    <comment ref="L35" authorId="0" shapeId="0">
      <text>
        <t>? CORRECTLY LINKED: BOQ Qty matches a value in the Sr. No. block.</t>
      </text>
    </comment>
    <comment ref="L36" authorId="0" shapeId="0">
      <text>
        <t>?? NOT LINKED, values differ. BOQ: 0, Found: 1</t>
      </text>
    </comment>
    <comment ref="L37" authorId="0" shapeId="0">
      <text>
        <t>? CORRECTLY LINKED: BOQ Qty matches a value in the Sr. No. block.</t>
      </text>
    </comment>
    <comment ref="L38" authorId="0" shapeId="0">
      <text>
        <t>? CORRECTLY LINKED: BOQ Qty matches a value in the Sr. No. block.</t>
      </text>
    </comment>
    <comment ref="L39" authorId="0" shapeId="0">
      <text>
        <t>? CORRECTLY LINKED: BOQ Qty matches a value in the Sr. No. block.</t>
      </text>
    </comment>
    <comment ref="L40" authorId="0" shapeId="0">
      <text>
        <t>? CORRECTLY LINKED: BOQ Qty matches a value in the Sr. No. block.</t>
      </text>
    </comment>
    <comment ref="L41" authorId="0" shapeId="0">
      <text>
        <t>? CORRECTLY LINKED: BOQ Qty matches a value in the Sr. No. block.</t>
      </text>
    </comment>
    <comment ref="L42" authorId="0" shapeId="0">
      <text>
        <t>? CORRECTLY LINKED: BOQ Qty matches a value in the Sr. No. block.</t>
      </text>
    </comment>
    <comment ref="L43" authorId="0" shapeId="0">
      <text>
        <t>?? NOT LINKED, values differ. BOQ: 0, Found: 1</t>
      </text>
    </comment>
    <comment ref="L44" authorId="0" shapeId="0">
      <text>
        <t>? CORRECTLY LINKED: BOQ Qty matches a value in the Sr. No. block.</t>
      </text>
    </comment>
    <comment ref="L45" authorId="0" shapeId="0">
      <text>
        <t>? CORRECTLY LINKED: BOQ Qty matches a value in the Sr. No. block.</t>
      </text>
    </comment>
    <comment ref="L46" authorId="0" shapeId="0">
      <text>
        <t>? CORRECTLY LINKED: BOQ Qty matches a value in the Sr. No. block.</t>
      </text>
    </comment>
    <comment ref="L47" authorId="0" shapeId="0">
      <text>
        <t>? CORRECTLY LINKED: BOQ Qty matches a value in the Sr. No. block.</t>
      </text>
    </comment>
    <comment ref="L48" authorId="0" shapeId="0">
      <text>
        <t>? CORRECTLY LINKED: BOQ Qty matches a value in the Sr. No. block.</t>
      </text>
    </comment>
    <comment ref="L49" authorId="0" shapeId="0">
      <text>
        <t>? CORRECTLY LINKED: BOQ Qty matches a value in the Sr. No. block.</t>
      </text>
    </comment>
    <comment ref="L50" authorId="0" shapeId="0">
      <text>
        <t>? CORRECTLY LINKED: BOQ Qty matches a value in the Sr. No. block.</t>
      </text>
    </comment>
    <comment ref="L51" authorId="0" shapeId="0">
      <text>
        <t>? CORRECTLY LINKED: BOQ Qty matches a value in the Sr. No. block.</t>
      </text>
    </comment>
    <comment ref="L52" authorId="0" shapeId="0">
      <text>
        <t>? CORRECTLY LINKED: BOQ Qty matches a value in the Sr. No. block.</t>
      </text>
    </comment>
    <comment ref="L53" authorId="0" shapeId="0">
      <text>
        <t>? CORRECTLY LINKED: BOQ Qty matches a value in the Sr. No. block.</t>
      </text>
    </comment>
    <comment ref="L54" authorId="0" shapeId="0">
      <text>
        <t>? CORRECTLY LINKED: BOQ Qty matches a value in the Sr. No. block.</t>
      </text>
    </comment>
    <comment ref="L55" authorId="0" shapeId="0">
      <text>
        <t>? CORRECTLY LINKED: BOQ Qty matches a value in the Sr. No. block.</t>
      </text>
    </comment>
    <comment ref="L56" authorId="0" shapeId="0">
      <text>
        <t>? CORRECTLY LINKED: BOQ Qty matches a value in the Sr. No. block.</t>
      </text>
    </comment>
    <comment ref="L57" authorId="0" shapeId="0">
      <text>
        <t>? CORRECTLY LINKED: BOQ Qty matches a value in the Sr. No. block.</t>
      </text>
    </comment>
    <comment ref="L58" authorId="0" shapeId="0">
      <text>
        <t>? CORRECTLY LINKED: BOQ Qty matches a value in the Sr. No. block.</t>
      </text>
    </comment>
    <comment ref="L59" authorId="0" shapeId="0">
      <text>
        <t>? CORRECTLY LINKED: BOQ Qty matches a value in the Sr. No. block.</t>
      </text>
    </comment>
    <comment ref="L60" authorId="0" shapeId="0">
      <text>
        <t>? CORRECTLY LINKED: BOQ Qty matches a value in the Sr. No. block.</t>
      </text>
    </comment>
    <comment ref="L61" authorId="0" shapeId="0">
      <text>
        <t>? CORRECTLY LINKED: BOQ Qty matches a value in the Sr. No. block.</t>
      </text>
    </comment>
    <comment ref="L62" authorId="0" shapeId="0">
      <text>
        <t>?? NOT LINKED, values differ. BOQ: 0, Found: 1</t>
      </text>
    </comment>
    <comment ref="L63" authorId="0" shapeId="0">
      <text>
        <t>? CORRECTLY LINKED: BOQ Qty matches a value in the Sr. No. block.</t>
      </text>
    </comment>
    <comment ref="L64" authorId="0" shapeId="0">
      <text>
        <t>? CORRECTLY LINKED: BOQ Qty matches a value in the Sr. No. block.</t>
      </text>
    </comment>
    <comment ref="L65" authorId="0" shapeId="0">
      <text>
        <t>? CORRECTLY LINKED: BOQ Qty matches a value in the Sr. No. block.</t>
      </text>
    </comment>
    <comment ref="L66" authorId="0" shapeId="0">
      <text>
        <t>? CORRECTLY LINKED: BOQ Qty matches a value in the Sr. No. block.</t>
      </text>
    </comment>
    <comment ref="L67" authorId="0" shapeId="0">
      <text>
        <t>? CORRECTLY LINKED: BOQ Qty matches a value in the Sr. No. block.</t>
      </text>
    </comment>
    <comment ref="L68" authorId="0" shapeId="0">
      <text>
        <t>? CORRECTLY LINKED: BOQ Qty matches a value in the Sr. No. block.</t>
      </text>
    </comment>
    <comment ref="L69" authorId="0" shapeId="0">
      <text>
        <t>? CORRECTLY LINKED: BOQ Qty matches a value in the Sr. No. block.</t>
      </text>
    </comment>
    <comment ref="L70" authorId="0" shapeId="0">
      <text>
        <t>? CORRECTLY LINKED: BOQ Qty matches a value in the Sr. No. block.</t>
      </text>
    </comment>
    <comment ref="L71" authorId="0" shapeId="0">
      <text>
        <t>? CORRECTLY LINKED: BOQ Qty matches a value in the Sr. No. block.</t>
      </text>
    </comment>
    <comment ref="L72" authorId="0" shapeId="0">
      <text>
        <t>? CORRECTLY LINKED: BOQ Qty matches a value in the Sr. No. block.</t>
      </text>
    </comment>
    <comment ref="L73" authorId="0" shapeId="0">
      <text>
        <t>? CORRECTLY LINKED: BOQ Qty matches a value in the Sr. No. block.</t>
      </text>
    </comment>
    <comment ref="L74" authorId="0" shapeId="0">
      <text>
        <t>?? NOT LINKED, values differ. BOQ: 0, Found: 1</t>
      </text>
    </comment>
    <comment ref="L75" authorId="0" shapeId="0">
      <text>
        <t>? CORRECTLY LINKED: BOQ Qty matches a value in the Sr. No. block.</t>
      </text>
    </comment>
    <comment ref="L76" authorId="0" shapeId="0">
      <text>
        <t>? CORRECTLY LINKED: BOQ Qty matches a value in the Sr. No. block.</t>
      </text>
    </comment>
    <comment ref="L77" authorId="0" shapeId="0">
      <text>
        <t>? CORRECTLY LINKED: BOQ Qty matches a value in the Sr. No. block.</t>
      </text>
    </comment>
    <comment ref="L78" authorId="0" shapeId="0">
      <text>
        <t>? CORRECTLY LINKED: BOQ Qty matches a value in the Sr. No. block.</t>
      </text>
    </comment>
    <comment ref="L79" authorId="0" shapeId="0">
      <text>
        <t>? CORRECTLY LINKED: BOQ Qty matches a value in the Sr. No. block.</t>
      </text>
    </comment>
    <comment ref="L80" authorId="0" shapeId="0">
      <text>
        <t>? CORRECTLY LINKED: BOQ Qty matches a value in the Sr. No. block.</t>
      </text>
    </comment>
    <comment ref="L81" authorId="0" shapeId="0">
      <text>
        <t>? CORRECTLY LINKED: BOQ Qty matches a value in the Sr. No. block.</t>
      </text>
    </comment>
    <comment ref="L82" authorId="0" shapeId="0">
      <text>
        <t>? CORRECTLY LINKED: BOQ Qty matches a value in the Sr. No. block.</t>
      </text>
    </comment>
    <comment ref="L83" authorId="0" shapeId="0">
      <text>
        <t>? CORRECTLY LINKED: BOQ Qty matches a value in the Sr. No. block.</t>
      </text>
    </comment>
    <comment ref="L84" authorId="0" shapeId="0">
      <text>
        <t>? CORRECTLY LINKED: BOQ Qty matches a value in the Sr. No. block.</t>
      </text>
    </comment>
    <comment ref="L85" authorId="0" shapeId="0">
      <text>
        <t>? CORRECTLY LINKED: BOQ Qty matches a value in the Sr. No. block.</t>
      </text>
    </comment>
    <comment ref="L86" authorId="0" shapeId="0">
      <text>
        <t>?? NOT LINKED, values differ. BOQ: 0, Found: 1</t>
      </text>
    </comment>
    <comment ref="L87" authorId="0" shapeId="0">
      <text>
        <t>? CORRECTLY LINKED: BOQ Qty matches a value in the Sr. No. block.</t>
      </text>
    </comment>
    <comment ref="L88" authorId="0" shapeId="0">
      <text>
        <t>? CORRECTLY LINKED: BOQ Qty matches a value in the Sr. No. block.</t>
      </text>
    </comment>
    <comment ref="L89" authorId="0" shapeId="0">
      <text>
        <t>?? NOT LINKED, values differ. BOQ: 0, Found: 1</t>
      </text>
    </comment>
    <comment ref="L90" authorId="0" shapeId="0">
      <text>
        <t>? CORRECTLY LINKED: BOQ Qty matches a value in the Sr. No. block.</t>
      </text>
    </comment>
    <comment ref="L91" authorId="0" shapeId="0">
      <text>
        <t>? CORRECTLY LINKED: BOQ Qty matches a value in the Sr. No. block.</t>
      </text>
    </comment>
    <comment ref="L92" authorId="0" shapeId="0">
      <text>
        <t>? CORRECTLY LINKED: BOQ Qty matches a value in the Sr. No. block.</t>
      </text>
    </comment>
    <comment ref="L93" authorId="0" shapeId="0">
      <text>
        <t>? CORRECTLY LINKED: BOQ Qty matches a value in the Sr. No. block.</t>
      </text>
    </comment>
    <comment ref="L94" authorId="0" shapeId="0">
      <text>
        <t>? CORRECTLY LINKED: BOQ Qty matches a value in the Sr. No. block.</t>
      </text>
    </comment>
    <comment ref="L95" authorId="0" shapeId="0">
      <text>
        <t>? CORRECTLY LINKED: BOQ Qty matches a value in the Sr. No. block.</t>
      </text>
    </comment>
    <comment ref="L96" authorId="0" shapeId="0">
      <text>
        <t>? CORRECTLY LINKED: BOQ Qty matches a value in the Sr. No. block.</t>
      </text>
    </comment>
    <comment ref="L97" authorId="0" shapeId="0">
      <text>
        <t>? CORRECTLY LINKED: BOQ Qty matches a value in the Sr. No. block.</t>
      </text>
    </comment>
    <comment ref="L98" authorId="0" shapeId="0">
      <text>
        <t>? CORRECTLY LINKED: BOQ Qty matches a value in the Sr. No. block.</t>
      </text>
    </comment>
    <comment ref="L99" authorId="0" shapeId="0">
      <text>
        <t>? CORRECTLY LINKED: BOQ Qty matches a value in the Sr. No. block.</t>
      </text>
    </comment>
    <comment ref="L100" authorId="0" shapeId="0">
      <text>
        <t>? CORRECTLY LINKED: BOQ Qty matches a value in the Sr. No. block.</t>
      </text>
    </comment>
    <comment ref="L101" authorId="0" shapeId="0">
      <text>
        <t>? CORRECTLY LINKED: BOQ Qty matches a value in the Sr. No. block.</t>
      </text>
    </comment>
    <comment ref="L102" authorId="0" shapeId="0">
      <text>
        <t>? CORRECTLY LINKED: BOQ Qty matches a value in the Sr. No. block.</t>
      </text>
    </comment>
    <comment ref="L103" authorId="0" shapeId="0">
      <text>
        <t>? CORRECTLY LINKED: BOQ Qty matches a value in the Sr. No. block.</t>
      </text>
    </comment>
    <comment ref="L104" authorId="0" shapeId="0">
      <text>
        <t>? CORRECTLY LINKED: BOQ Qty matches a value in the Sr. No. block.</t>
      </text>
    </comment>
    <comment ref="L105" authorId="0" shapeId="0">
      <text>
        <t>? CORRECTLY LINKED: BOQ Qty matches a value in the Sr. No. block.</t>
      </text>
    </comment>
    <comment ref="L106" authorId="0" shapeId="0">
      <text>
        <t>? CORRECTLY LINKED: BOQ Qty matches a value in the Sr. No. block.</t>
      </text>
    </comment>
    <comment ref="L107" authorId="0" shapeId="0">
      <text>
        <t>? CORRECTLY LINKED: BOQ Qty matches a value in the Sr. No. block.</t>
      </text>
    </comment>
    <comment ref="L108" authorId="0" shapeId="0">
      <text>
        <t>? CORRECTLY LINKED: BOQ Qty matches a value in the Sr. No. block.</t>
      </text>
    </comment>
    <comment ref="L109" authorId="0" shapeId="0">
      <text>
        <t>? CORRECTLY LINKED: BOQ Qty matches a value in the Sr. No. block.</t>
      </text>
    </comment>
    <comment ref="L110" authorId="0" shapeId="0">
      <text>
        <t>? CORRECTLY LINKED: BOQ Qty matches a value in the Sr. No. block.</t>
      </text>
    </comment>
    <comment ref="L111" authorId="0" shapeId="0">
      <text>
        <t>? CORRECTLY LINKED: BOQ Qty matches a value in the Sr. No. block.</t>
      </text>
    </comment>
    <comment ref="L112" authorId="0" shapeId="0">
      <text>
        <t>? CORRECTLY LINKED: BOQ Qty matches a value in the Sr. No. block.</t>
      </text>
    </comment>
    <comment ref="L113" authorId="0" shapeId="0">
      <text>
        <t>?? NOT LINKED, values differ. BOQ: 2, Found: 1</t>
      </text>
    </comment>
    <comment ref="L115" authorId="0" shapeId="0">
      <text>
        <t>?? NOT LINKED, values differ. BOQ: 0, Found: 1</t>
      </text>
    </comment>
  </commentList>
</comments>
</file>

<file path=xl/comments/comment2.xml><?xml version="1.0" encoding="utf-8"?>
<comments xmlns="http://schemas.openxmlformats.org/spreadsheetml/2006/main">
  <authors>
    <author>Tejas Kombade/IND</author>
  </authors>
  <commentList>
    <comment ref="K3" authorId="0" shapeId="0">
      <text>
        <t>? CORRECTLY LINKED: BOQ Qty matches a value in the Sr. No. block.</t>
      </text>
    </comment>
    <comment ref="K4" authorId="0" shapeId="0">
      <text>
        <t>? CORRECTLY LINKED: BOQ Qty matches a value in the Sr. No. block.</t>
      </text>
    </comment>
    <comment ref="K5" authorId="0" shapeId="0">
      <text>
        <t>? CORRECTLY LINKED: BOQ Qty matches a value in the Sr. No. block.</t>
      </text>
    </comment>
    <comment ref="K6" authorId="0" shapeId="0">
      <text>
        <t>? CORRECTLY LINKED: BOQ Qty matches a value in the Sr. No. block.</t>
      </text>
    </comment>
    <comment ref="K7" authorId="0" shapeId="0">
      <text>
        <t>? CORRECTLY LINKED: BOQ Qty matches a value in the Sr. No. block.</t>
      </text>
    </comment>
    <comment ref="K8" authorId="0" shapeId="0">
      <text>
        <t>? CORRECTLY LINKED: BOQ Qty matches a value in the Sr. No. block.</t>
      </text>
    </comment>
    <comment ref="K9" authorId="0" shapeId="0">
      <text>
        <t>? CORRECTLY LINKED: BOQ Qty matches a value in the Sr. No. block.</t>
      </text>
    </comment>
    <comment ref="K10" authorId="0" shapeId="0">
      <text>
        <t>? CORRECTLY LINKED: BOQ Qty matches a value in the Sr. No. block.</t>
      </text>
    </comment>
    <comment ref="K11" authorId="0" shapeId="0">
      <text>
        <t>? CORRECTLY LINKED: BOQ Qty matches a value in the Sr. No. block.</t>
      </text>
    </comment>
    <comment ref="K12" authorId="0" shapeId="0">
      <text>
        <t>? CORRECTLY LINKED: BOQ Qty matches a value in the Sr. No. block.</t>
      </text>
    </comment>
    <comment ref="K13" authorId="0" shapeId="0">
      <text>
        <t>? CORRECTLY LINKED: BOQ Qty matches a value in the Sr. No. block.</t>
      </text>
    </comment>
    <comment ref="K14" authorId="0" shapeId="0">
      <text>
        <t>? CORRECTLY LINKED: BOQ Qty matches a value in the Sr. No. block.</t>
      </text>
    </comment>
    <comment ref="K15" authorId="0" shapeId="0">
      <text>
        <t>? CORRECTLY LINKED: BOQ Qty matches a value in the Sr. No. block.</t>
      </text>
    </comment>
    <comment ref="K16" authorId="0" shapeId="0">
      <text>
        <t>? CORRECTLY LINKED: BOQ Qty matches a value in the Sr. No. block.</t>
      </text>
    </comment>
    <comment ref="K17" authorId="0" shapeId="0">
      <text>
        <t>? CORRECTLY LINKED: BOQ Qty matches a value in the Sr. No. block.</t>
      </text>
    </comment>
    <comment ref="K18" authorId="0" shapeId="0">
      <text>
        <t>? CORRECTLY LINKED: BOQ Qty matches a value in the Sr. No. block.</t>
      </text>
    </comment>
    <comment ref="K19" authorId="0" shapeId="0">
      <text>
        <t>? CORRECTLY LINKED: BOQ Qty matches a value in the Sr. No. block.</t>
      </text>
    </comment>
    <comment ref="K20" authorId="0" shapeId="0">
      <text>
        <t>? CORRECTLY LINKED: BOQ Qty matches a value in the Sr. No. block.</t>
      </text>
    </comment>
    <comment ref="K21" authorId="0" shapeId="0">
      <text>
        <t>? CORRECTLY LINKED: BOQ Qty matches a value in the Sr. No. block.</t>
      </text>
    </comment>
    <comment ref="K22" authorId="0" shapeId="0">
      <text>
        <t>? CORRECTLY LINKED: BOQ Qty matches a value in the Sr. No. block.</t>
      </text>
    </comment>
    <comment ref="K23" authorId="0" shapeId="0">
      <text>
        <t>? CORRECTLY LINKED: BOQ Qty matches a value in the Sr. No. block.</t>
      </text>
    </comment>
    <comment ref="K24" authorId="0" shapeId="0">
      <text>
        <t>? CORRECTLY LINKED: BOQ Qty matches a value in the Sr. No. block.</t>
      </text>
    </comment>
    <comment ref="K25" authorId="0" shapeId="0">
      <text>
        <t>? CORRECTLY LINKED: BOQ Qty matches a value in the Sr. No. block.</t>
      </text>
    </comment>
    <comment ref="K26" authorId="0" shapeId="0">
      <text>
        <t>? CORRECTLY LINKED: BOQ Qty matches a value in the Sr. No. block.</t>
      </text>
    </comment>
    <comment ref="K27" authorId="0" shapeId="0">
      <text>
        <t>? CORRECTLY LINKED: BOQ Qty matches a value in the Sr. No. block.</t>
      </text>
    </comment>
    <comment ref="K28" authorId="0" shapeId="0">
      <text>
        <t>? CORRECTLY LINKED: BOQ Qty matches a value in the Sr. No. block.</t>
      </text>
    </comment>
    <comment ref="K29" authorId="0" shapeId="0">
      <text>
        <t>? CORRECTLY LINKED: BOQ Qty matches a value in the Sr. No. block.</t>
      </text>
    </comment>
    <comment ref="K30" authorId="0" shapeId="0">
      <text>
        <t>? CORRECTLY LINKED: BOQ Qty matches a value in the Sr. No. block.</t>
      </text>
    </comment>
    <comment ref="K31" authorId="0" shapeId="0">
      <text>
        <t>? CORRECTLY LINKED: BOQ Qty matches a value in the Sr. No. block.</t>
      </text>
    </comment>
    <comment ref="K32" authorId="0" shapeId="0">
      <text>
        <t>? CORRECTLY LINKED: BOQ Qty matches a value in the Sr. No. block.</t>
      </text>
    </comment>
    <comment ref="K33" authorId="0" shapeId="0">
      <text>
        <t>? CORRECTLY LINKED: BOQ Qty matches a value in the Sr. No. block.</t>
      </text>
    </comment>
    <comment ref="K34" authorId="0" shapeId="0">
      <text>
        <t>? CORRECTLY LINKED: BOQ Qty matches a value in the Sr. No. block.</t>
      </text>
    </comment>
    <comment ref="K35" authorId="0" shapeId="0">
      <text>
        <t>? CORRECTLY LINKED: BOQ Qty matches a value in the Sr. No. block.</t>
      </text>
    </comment>
    <comment ref="K36" authorId="0" shapeId="0">
      <text>
        <t>? CORRECTLY LINKED: BOQ Qty matches a value in the Sr. No. block.</t>
      </text>
    </comment>
    <comment ref="K37" authorId="0" shapeId="0">
      <text>
        <t>? CORRECTLY LINKED: BOQ Qty matches a value in the Sr. No. block.</t>
      </text>
    </comment>
    <comment ref="K38" authorId="0" shapeId="0">
      <text>
        <t>? CORRECTLY LINKED: BOQ Qty matches a value in the Sr. No. block.</t>
      </text>
    </comment>
    <comment ref="K39" authorId="0" shapeId="0">
      <text>
        <t>? CORRECTLY LINKED: BOQ Qty matches a value in the Sr. No. block.</t>
      </text>
    </comment>
    <comment ref="K40" authorId="0" shapeId="0">
      <text>
        <t>?? NOT LINKED, values differ. BOQ: 2, Found: 1</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746760</colOff>
      <row>1</row>
      <rowOff>45720</rowOff>
    </from>
    <to>
      <col>3</col>
      <colOff>967740</colOff>
      <row>5</row>
      <rowOff>99060</rowOff>
    </to>
    <pic>
      <nvPicPr>
        <cNvPr id="1050" name="Picture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5638800" y="228600"/>
          <a:ext cx="1318260" cy="78486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2">
    <outlinePr summaryBelow="1" summaryRight="1"/>
    <pageSetUpPr/>
  </sheetPr>
  <dimension ref="A1:K27"/>
  <sheetViews>
    <sheetView workbookViewId="0">
      <selection activeCell="H3" sqref="H3"/>
    </sheetView>
  </sheetViews>
  <sheetFormatPr baseColWidth="8" defaultRowHeight="13.2"/>
  <cols>
    <col width="10.88671875" customWidth="1" style="153" min="1" max="1"/>
    <col width="42.88671875" bestFit="1" customWidth="1" style="153" min="2" max="2"/>
    <col width="20.44140625" bestFit="1" customWidth="1" style="153" min="3" max="3"/>
    <col width="14.33203125" bestFit="1" customWidth="1" style="153" min="4" max="4"/>
    <col width="13.109375" bestFit="1" customWidth="1" style="153" min="5" max="5"/>
    <col width="12" bestFit="1" customWidth="1" style="153" min="6" max="7"/>
    <col width="11.21875" bestFit="1" customWidth="1" style="153" min="9" max="11"/>
  </cols>
  <sheetData>
    <row r="1">
      <c r="A1" s="154" t="inlineStr">
        <is>
          <t>Summary For ICICI Bank, Chaphekar Chowk, Pune</t>
        </is>
      </c>
      <c r="B1" s="155" t="n"/>
      <c r="C1" s="155" t="n"/>
      <c r="D1" s="155" t="n"/>
      <c r="E1" s="155" t="n"/>
      <c r="F1" s="155" t="n"/>
      <c r="G1" s="156" t="n"/>
    </row>
    <row r="2">
      <c r="A2" s="157" t="n"/>
      <c r="B2" s="158" t="n"/>
      <c r="C2" s="158" t="n"/>
      <c r="D2" s="158" t="n"/>
      <c r="E2" s="158" t="n"/>
      <c r="F2" s="158" t="n"/>
      <c r="G2" s="159" t="n"/>
    </row>
    <row r="3">
      <c r="A3" s="50" t="inlineStr">
        <is>
          <t>Address</t>
        </is>
      </c>
      <c r="B3" s="160" t="inlineStr">
        <is>
          <t xml:space="preserve"> ICICI Bank LTD, Chaphekar Chowk, chinchwad, Pune</t>
        </is>
      </c>
      <c r="C3" s="158" t="n"/>
      <c r="D3" s="158" t="n"/>
      <c r="E3" s="158" t="n"/>
      <c r="F3" s="158" t="n"/>
      <c r="G3" s="159" t="n"/>
    </row>
    <row r="4">
      <c r="A4" s="50" t="inlineStr">
        <is>
          <t>Contractor</t>
        </is>
      </c>
      <c r="B4" s="160" t="inlineStr">
        <is>
          <t>Bella Inter Décor</t>
        </is>
      </c>
      <c r="C4" s="158" t="n"/>
      <c r="D4" s="158" t="n"/>
      <c r="E4" s="158" t="n"/>
      <c r="F4" s="158" t="n"/>
      <c r="G4" s="159" t="n"/>
    </row>
    <row r="5">
      <c r="A5" s="50" t="inlineStr">
        <is>
          <t>Area</t>
        </is>
      </c>
      <c r="B5" s="51" t="inlineStr">
        <is>
          <t>1266 Sqft</t>
        </is>
      </c>
      <c r="C5" s="138" t="n"/>
      <c r="D5" s="138" t="n"/>
      <c r="E5" s="138" t="n"/>
      <c r="F5" s="138" t="n"/>
      <c r="G5" s="139" t="n"/>
    </row>
    <row r="6">
      <c r="A6" s="50" t="inlineStr">
        <is>
          <t>SOL ID</t>
        </is>
      </c>
      <c r="B6" s="161" t="n">
        <v>5871</v>
      </c>
      <c r="C6" s="158" t="n"/>
      <c r="D6" s="158" t="n"/>
      <c r="E6" s="158" t="n"/>
      <c r="F6" s="158" t="n"/>
      <c r="G6" s="159" t="n"/>
    </row>
    <row r="7">
      <c r="A7" s="143" t="inlineStr">
        <is>
          <t>FINAL SUMMARY</t>
        </is>
      </c>
      <c r="B7" s="155" t="n"/>
      <c r="C7" s="155" t="n"/>
      <c r="D7" s="155" t="n"/>
      <c r="E7" s="155" t="n"/>
      <c r="F7" s="155" t="n"/>
      <c r="G7" s="155" t="n"/>
    </row>
    <row r="8">
      <c r="A8" s="162" t="n"/>
      <c r="B8" s="155" t="n"/>
      <c r="C8" s="155" t="n"/>
      <c r="D8" s="155" t="n"/>
      <c r="E8" s="155" t="n"/>
      <c r="F8" s="155" t="n"/>
      <c r="G8" s="156" t="n"/>
    </row>
    <row r="9">
      <c r="A9" s="54" t="inlineStr">
        <is>
          <t>Sr.No.</t>
        </is>
      </c>
      <c r="B9" s="54" t="inlineStr">
        <is>
          <t>Item</t>
        </is>
      </c>
      <c r="C9" s="54" t="inlineStr">
        <is>
          <t>Amount of work order</t>
        </is>
      </c>
      <c r="D9" s="54" t="inlineStr">
        <is>
          <t>Amount of CWI</t>
        </is>
      </c>
      <c r="E9" s="54" t="inlineStr">
        <is>
          <t>Excess</t>
        </is>
      </c>
      <c r="F9" s="54" t="inlineStr">
        <is>
          <t>Saving</t>
        </is>
      </c>
      <c r="G9" s="55" t="inlineStr">
        <is>
          <t>Total</t>
        </is>
      </c>
    </row>
    <row r="10">
      <c r="A10" s="56" t="inlineStr">
        <is>
          <t>I</t>
        </is>
      </c>
      <c r="B10" s="57" t="inlineStr">
        <is>
          <t>CIVIL WORKS</t>
        </is>
      </c>
      <c r="C10" s="163">
        <f>SUMIF(BOQ!$B$4:$B$113,'CWI Summary'!$B10,BOQ!$J$4:$J$113)</f>
        <v/>
      </c>
      <c r="D10" s="163">
        <f>SUMIF(BOQ!$B$4:$B$113,'CWI Summary'!$B10,BOQ!$N$4:$N$113)</f>
        <v/>
      </c>
      <c r="E10" s="163">
        <f>SUMIF(BOQ!$B$4:$B$113,'CWI Summary'!$B10,BOQ!$R$4:$R$113)</f>
        <v/>
      </c>
      <c r="F10" s="163">
        <f>SUMIF(BOQ!$B$4:$B$113,'CWI Summary'!$B10,BOQ!$S$4:$S$113)</f>
        <v/>
      </c>
      <c r="G10" s="163">
        <f>SUMIF(BOQ!$B$4:$B$113,'CWI Summary'!$B10,BOQ!$T$4:$T$113)</f>
        <v/>
      </c>
      <c r="I10" s="84" t="n"/>
    </row>
    <row r="11">
      <c r="A11" s="56" t="inlineStr">
        <is>
          <t>II</t>
        </is>
      </c>
      <c r="B11" s="60" t="inlineStr">
        <is>
          <t>Carpentry Work</t>
        </is>
      </c>
      <c r="C11" s="163">
        <f>SUMIF(BOQ!$B$4:$B$113,'CWI Summary'!$B11,BOQ!$J$4:$J$113)</f>
        <v/>
      </c>
      <c r="D11" s="163">
        <f>SUMIF(BOQ!$B$4:$B$113,'CWI Summary'!$B11,BOQ!$N$4:$N$113)</f>
        <v/>
      </c>
      <c r="E11" s="163">
        <f>SUMIF(BOQ!$B$4:$B$113,'CWI Summary'!$B11,BOQ!$R$4:$R$113)</f>
        <v/>
      </c>
      <c r="F11" s="163">
        <f>SUMIF(BOQ!$B$4:$B$113,'CWI Summary'!$B11,BOQ!$S$4:$S$113)</f>
        <v/>
      </c>
      <c r="G11" s="163">
        <f>SUMIF(BOQ!$B$4:$B$113,'CWI Summary'!$B11,BOQ!$T$4:$T$113)</f>
        <v/>
      </c>
      <c r="I11" s="84" t="n"/>
    </row>
    <row r="12">
      <c r="A12" s="56" t="inlineStr">
        <is>
          <t>III</t>
        </is>
      </c>
      <c r="B12" s="60" t="inlineStr">
        <is>
          <t>Electrical Works</t>
        </is>
      </c>
      <c r="C12" s="163">
        <f>SUMIF(BOQ!$B$4:$B$113,'CWI Summary'!$B12,BOQ!$J$4:$J$113)</f>
        <v/>
      </c>
      <c r="D12" s="163">
        <f>SUMIF(BOQ!$B$4:$B$113,'CWI Summary'!$B12,BOQ!$N$4:$N$113)</f>
        <v/>
      </c>
      <c r="E12" s="163">
        <f>SUMIF(BOQ!$B$4:$B$113,'CWI Summary'!$B12,BOQ!$R$4:$R$113)</f>
        <v/>
      </c>
      <c r="F12" s="163">
        <f>SUMIF(BOQ!$B$4:$B$113,'CWI Summary'!$B12,BOQ!$S$4:$S$113)</f>
        <v/>
      </c>
      <c r="G12" s="163">
        <f>SUMIF(BOQ!$B$4:$B$113,'CWI Summary'!$B12,BOQ!$T$4:$T$113)</f>
        <v/>
      </c>
      <c r="I12" s="84" t="n"/>
    </row>
    <row r="13">
      <c r="A13" s="56" t="inlineStr">
        <is>
          <t>IV</t>
        </is>
      </c>
      <c r="B13" s="60" t="inlineStr">
        <is>
          <t>Non-Interior Works</t>
        </is>
      </c>
      <c r="C13" s="163">
        <f>SUMIF(BOQ!$B$4:$B$113,'CWI Summary'!$B13,BOQ!$J$4:$J$113)</f>
        <v/>
      </c>
      <c r="D13" s="163">
        <f>SUMIF(BOQ!$B$4:$B$113,'CWI Summary'!$B13,BOQ!$N$4:$N$113)</f>
        <v/>
      </c>
      <c r="E13" s="163">
        <f>SUMIF(BOQ!$B$4:$B$113,'CWI Summary'!$B13,BOQ!$R$4:$R$113)</f>
        <v/>
      </c>
      <c r="F13" s="163">
        <f>SUMIF(BOQ!$B$4:$B$113,'CWI Summary'!$B13,BOQ!$S$4:$S$113)</f>
        <v/>
      </c>
      <c r="G13" s="163">
        <f>SUMIF(BOQ!$B$4:$B$113,'CWI Summary'!$B13,BOQ!$T$4:$T$113)</f>
        <v/>
      </c>
      <c r="I13" s="84" t="n"/>
    </row>
    <row r="14">
      <c r="A14" s="56" t="inlineStr">
        <is>
          <t>V</t>
        </is>
      </c>
      <c r="B14" s="60" t="inlineStr">
        <is>
          <t>Electricity &amp;Diesel Expenses to TKO</t>
        </is>
      </c>
      <c r="C14" s="163">
        <f>SUMIF(BOQ!$B$4:$B$113,'CWI Summary'!$B14,BOQ!$J$4:$J$113)</f>
        <v/>
      </c>
      <c r="D14" s="163">
        <f>SUMIF(BOQ!$B$4:$B$113,'CWI Summary'!$B14,BOQ!$N$4:$N$113)</f>
        <v/>
      </c>
      <c r="E14" s="163">
        <f>SUMIF(BOQ!$B$4:$B$113,'CWI Summary'!$B14,BOQ!$R$4:$R$113)</f>
        <v/>
      </c>
      <c r="F14" s="163">
        <f>SUMIF(BOQ!$B$4:$B$113,'CWI Summary'!$B14,BOQ!$S$4:$S$113)</f>
        <v/>
      </c>
      <c r="G14" s="163">
        <f>SUMIF(BOQ!$B$4:$B$113,'CWI Summary'!$B14,BOQ!$T$4:$T$113)</f>
        <v/>
      </c>
      <c r="I14" s="84" t="n"/>
    </row>
    <row r="15">
      <c r="A15" s="56" t="inlineStr">
        <is>
          <t>VI</t>
        </is>
      </c>
      <c r="B15" s="60" t="inlineStr">
        <is>
          <t>Reimbursement of Vendor Elements</t>
        </is>
      </c>
      <c r="C15" s="163">
        <f>SUMIF(BOQ!$B$4:$B$113,'CWI Summary'!$B15,BOQ!$J$4:$J$113)</f>
        <v/>
      </c>
      <c r="D15" s="163">
        <f>SUMIF(BOQ!$B$4:$B$113,'CWI Summary'!$B15,BOQ!$N$4:$N$113)</f>
        <v/>
      </c>
      <c r="E15" s="163">
        <f>SUMIF(BOQ!$B$4:$B$113,'CWI Summary'!$B15,BOQ!$R$4:$R$113)</f>
        <v/>
      </c>
      <c r="F15" s="163">
        <f>SUMIF(BOQ!$B$4:$B$113,'CWI Summary'!$B15,BOQ!$S$4:$S$113)</f>
        <v/>
      </c>
      <c r="G15" s="163">
        <f>SUMIF(BOQ!$B$4:$B$113,'CWI Summary'!$B15,BOQ!$T$4:$T$113)</f>
        <v/>
      </c>
      <c r="I15" s="84" t="n"/>
    </row>
    <row r="16">
      <c r="A16" s="56" t="inlineStr">
        <is>
          <t>VII</t>
        </is>
      </c>
      <c r="B16" s="61" t="n"/>
      <c r="C16" s="163" t="n"/>
      <c r="D16" s="59" t="n"/>
      <c r="E16" s="59" t="n"/>
      <c r="F16" s="59" t="n"/>
      <c r="G16" s="59" t="n"/>
      <c r="I16" s="84" t="n"/>
    </row>
    <row r="17">
      <c r="A17" s="56" t="inlineStr">
        <is>
          <t>VIII</t>
        </is>
      </c>
      <c r="B17" s="61" t="n"/>
      <c r="C17" s="163" t="n"/>
      <c r="D17" s="59" t="n"/>
      <c r="E17" s="59" t="n"/>
      <c r="F17" s="59" t="n"/>
      <c r="G17" s="62" t="n"/>
      <c r="I17" s="84" t="n"/>
    </row>
    <row r="18">
      <c r="A18" s="63" t="inlineStr">
        <is>
          <t>A</t>
        </is>
      </c>
      <c r="B18" s="64" t="inlineStr">
        <is>
          <t>TOTAL</t>
        </is>
      </c>
      <c r="C18" s="164">
        <f>SUM(C10:C17)</f>
        <v/>
      </c>
      <c r="D18" s="164">
        <f>SUM(D10:D17)</f>
        <v/>
      </c>
      <c r="E18" s="164">
        <f>SUM(E10:E17)</f>
        <v/>
      </c>
      <c r="F18" s="164">
        <f>SUM(F10:F17)</f>
        <v/>
      </c>
      <c r="G18" s="164">
        <f>SUM(G10:G17)</f>
        <v/>
      </c>
      <c r="I18" s="84" t="n"/>
      <c r="J18" s="84" t="n"/>
      <c r="K18" s="84" t="n"/>
    </row>
    <row r="19" ht="13.8" customHeight="1" s="153">
      <c r="A19" s="130" t="inlineStr">
        <is>
          <t>TAXES</t>
        </is>
      </c>
      <c r="B19" s="155" t="n"/>
      <c r="C19" s="156" t="n"/>
      <c r="D19" s="67" t="n"/>
      <c r="E19" s="67" t="n"/>
      <c r="F19" s="67" t="n"/>
      <c r="G19" s="68" t="n"/>
    </row>
    <row r="20" ht="13.8" customHeight="1" s="153">
      <c r="A20" s="130" t="n"/>
      <c r="B20" s="69" t="inlineStr">
        <is>
          <t>Taxes as applicable (pl indicate applicable taxes)</t>
        </is>
      </c>
      <c r="C20" s="165" t="n"/>
      <c r="D20" s="67" t="n"/>
      <c r="E20" s="67" t="n"/>
      <c r="F20" s="67" t="n"/>
      <c r="G20" s="68" t="n"/>
    </row>
    <row r="21" ht="13.8" customHeight="1" s="153">
      <c r="A21" s="71" t="inlineStr">
        <is>
          <t>a)</t>
        </is>
      </c>
      <c r="B21" s="72" t="n"/>
      <c r="C21" s="166" t="n"/>
      <c r="D21" s="67" t="n"/>
      <c r="E21" s="67" t="n"/>
      <c r="F21" s="67" t="n"/>
      <c r="G21" s="68" t="n"/>
    </row>
    <row r="22">
      <c r="A22" s="71" t="inlineStr">
        <is>
          <t>b)</t>
        </is>
      </c>
      <c r="B22" s="72" t="n"/>
      <c r="C22" s="166">
        <f>C18*9%</f>
        <v/>
      </c>
      <c r="D22" s="166">
        <f>D18*9%</f>
        <v/>
      </c>
      <c r="E22" s="166">
        <f>E18*9%</f>
        <v/>
      </c>
      <c r="F22" s="166">
        <f>F18*9%</f>
        <v/>
      </c>
      <c r="G22" s="167">
        <f>G18*9%</f>
        <v/>
      </c>
    </row>
    <row r="23">
      <c r="A23" s="71" t="inlineStr">
        <is>
          <t>c)</t>
        </is>
      </c>
      <c r="B23" s="72" t="n"/>
      <c r="C23" s="166">
        <f>C18*9%</f>
        <v/>
      </c>
      <c r="D23" s="166">
        <f>D18*9%</f>
        <v/>
      </c>
      <c r="E23" s="166">
        <f>E18*9%</f>
        <v/>
      </c>
      <c r="F23" s="166">
        <f>F18*9%</f>
        <v/>
      </c>
      <c r="G23" s="167">
        <f>G18*9%</f>
        <v/>
      </c>
    </row>
    <row r="24">
      <c r="A24" s="75" t="n"/>
      <c r="B24" s="72" t="n"/>
      <c r="C24" s="166" t="n"/>
      <c r="D24" s="166" t="n"/>
      <c r="E24" s="166" t="n"/>
      <c r="F24" s="166" t="n"/>
      <c r="G24" s="167" t="n"/>
    </row>
    <row r="25">
      <c r="A25" s="63" t="inlineStr">
        <is>
          <t>B</t>
        </is>
      </c>
      <c r="B25" s="64" t="inlineStr">
        <is>
          <t>Total</t>
        </is>
      </c>
      <c r="C25" s="164">
        <f>SUM(C20:C24)</f>
        <v/>
      </c>
      <c r="D25" s="164">
        <f>SUM(D20:D24)</f>
        <v/>
      </c>
      <c r="E25" s="164">
        <f>SUM(E20:E24)</f>
        <v/>
      </c>
      <c r="F25" s="164">
        <f>SUM(F20:F24)</f>
        <v/>
      </c>
      <c r="G25" s="168">
        <f>SUM(G20:G24)</f>
        <v/>
      </c>
    </row>
    <row r="26">
      <c r="A26" s="77" t="n"/>
      <c r="B26" s="78" t="n"/>
      <c r="C26" s="78" t="n"/>
      <c r="D26" s="78" t="n"/>
      <c r="E26" s="78" t="n"/>
      <c r="F26" s="78" t="n"/>
      <c r="G26" s="79" t="n"/>
    </row>
    <row r="27">
      <c r="A27" s="80" t="inlineStr">
        <is>
          <t>(A + B)</t>
        </is>
      </c>
      <c r="B27" s="81" t="inlineStr">
        <is>
          <t>Grand Total (incl. taxes)</t>
        </is>
      </c>
      <c r="C27" s="169">
        <f>C18+C25</f>
        <v/>
      </c>
      <c r="D27" s="169">
        <f>D18+D25</f>
        <v/>
      </c>
      <c r="E27" s="169">
        <f>E18+E25</f>
        <v/>
      </c>
      <c r="F27" s="169">
        <f>F18+F25</f>
        <v/>
      </c>
      <c r="G27" s="170">
        <f>G18+G25</f>
        <v/>
      </c>
    </row>
  </sheetData>
  <mergeCells count="8">
    <mergeCell ref="B3:G3"/>
    <mergeCell ref="A19:C19"/>
    <mergeCell ref="A1:G1"/>
    <mergeCell ref="A8:G8"/>
    <mergeCell ref="B4:G4"/>
    <mergeCell ref="A2:G2"/>
    <mergeCell ref="A7:G7"/>
    <mergeCell ref="B6:G6"/>
  </mergeCells>
  <dataValidations count="1">
    <dataValidation sqref="A1" showDropDown="1" showInputMessage="0" showErrorMessage="0" allowBlank="0" promptTitle="HDFC Bank Ltd." operator="equal"/>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3.2"/>
  <cols>
    <col width="5.6640625" bestFit="1" customWidth="1" style="153" min="1" max="1"/>
    <col width="255.77734375" bestFit="1" customWidth="1" style="153" min="2" max="2"/>
    <col width="15.33203125" bestFit="1" customWidth="1" style="153" min="3" max="3"/>
  </cols>
  <sheetData>
    <row r="1" customFormat="1" s="94">
      <c r="A1" s="94" t="inlineStr">
        <is>
          <t>Sr.No</t>
        </is>
      </c>
      <c r="B1" s="94" t="inlineStr">
        <is>
          <t>Particulars</t>
        </is>
      </c>
      <c r="C1" s="94" t="inlineStr">
        <is>
          <t>As per CWI (Qty)</t>
        </is>
      </c>
    </row>
    <row r="2">
      <c r="A2" s="0" t="n">
        <v>0</v>
      </c>
      <c r="B2" s="0" t="inlineStr">
        <is>
          <t>Reimbursement of Diesel for DG</t>
        </is>
      </c>
      <c r="C2" s="0" t="n">
        <v>1</v>
      </c>
    </row>
    <row r="3">
      <c r="A3" s="0" t="n">
        <v>0</v>
      </c>
      <c r="B3" s="0" t="inlineStr">
        <is>
          <t>Providing and fixing soft board incl of 6mm ply base backing and 12mm thk. crock sheet which is wrapped all around with fabric [Burgandy for regular office areas and royal blue for Private banking].The edge trims to be finished in 19mmx 6mm lipping p</t>
        </is>
      </c>
      <c r="C3" s="0" t="n">
        <v>50</v>
      </c>
    </row>
    <row r="4">
      <c r="A4" s="0" t="n">
        <v>0</v>
      </c>
      <c r="B4" s="0" t="inlineStr">
        <is>
          <t>Rubber Mat in UPS room, 20mm thickness.</t>
        </is>
      </c>
      <c r="C4" s="0" t="n">
        <v>29</v>
      </c>
    </row>
    <row r="5">
      <c r="A5" s="0" t="n">
        <v>0</v>
      </c>
      <c r="B5" s="0" t="inlineStr">
        <is>
          <t>Provision and installation of master switch nearest to the entrance of the premises, as per the specifications.</t>
        </is>
      </c>
      <c r="C5" s="0" t="n">
        <v>1</v>
      </c>
    </row>
    <row r="6">
      <c r="A6" s="0" t="n">
        <v>0</v>
      </c>
      <c r="B6" s="0" t="inlineStr">
        <is>
          <t>ATM wall design in Grey and white with 40mm commercial ply and laminate in high gloss finish and Rehau make edge banding as per approve design. Rs.7000 for one ATM and Rs.5000 for every additional machines. Quantity not to exceed 1 no. per site.</t>
        </is>
      </c>
      <c r="C6" s="0" t="n">
        <v>1</v>
      </c>
    </row>
    <row r="7">
      <c r="A7" s="0" t="n">
        <v>0</v>
      </c>
      <c r="B7" s="0" t="inlineStr">
        <is>
          <t>ATM wall design in Grey and white with 40mm commercial ply and laminate in high gloss finish and Rehau make edge banding as per approve design, for every additional machines</t>
        </is>
      </c>
      <c r="C7" s="0" t="n">
        <v>1</v>
      </c>
    </row>
    <row r="8">
      <c r="A8" s="0" t="n">
        <v>0</v>
      </c>
      <c r="B8" s="0" t="inlineStr">
        <is>
          <t>Providing and fixing wall mounted metal FAN 18 inch make orient, havells and almourd.orient, havells and almounard</t>
        </is>
      </c>
      <c r="C8" s="0" t="n">
        <v>2</v>
      </c>
    </row>
    <row r="9">
      <c r="A9" s="0" t="n">
        <v>0</v>
      </c>
      <c r="B9" s="0" t="inlineStr">
        <is>
          <t>8 feet aluminium foladable Ladder As per sample approved . As per approved make</t>
        </is>
      </c>
      <c r="C9" s="0" t="n">
        <v>1</v>
      </c>
    </row>
    <row r="10">
      <c r="A10" s="0" t="n">
        <v>0</v>
      </c>
      <c r="B10" s="0" t="inlineStr">
        <is>
          <t>Providing and fixing of Clay Flower pot 12 to 20 for branch lobby area with neceessary accessories, including IGBC approved indoor plant.</t>
        </is>
      </c>
      <c r="C10" s="0" t="n">
        <v>5</v>
      </c>
    </row>
    <row r="11">
      <c r="A11" s="0" t="n">
        <v>0</v>
      </c>
      <c r="B11" s="0" t="inlineStr">
        <is>
          <t>Providing and fixing Lacqured glass in Fusion Orange colour for Theme wall. Make - Saint Gobain, Asahi</t>
        </is>
      </c>
      <c r="C11" s="0" t="n">
        <v>84</v>
      </c>
    </row>
    <row r="12">
      <c r="A12" s="0" t="n">
        <v>0</v>
      </c>
      <c r="B12" s="0" t="inlineStr">
        <is>
          <t>Plant as per IGBC list, 2 feet height of plant, 10 inch height plastic pot with plastic tray</t>
        </is>
      </c>
      <c r="C12" s="0" t="n">
        <v>13</v>
      </c>
    </row>
    <row r="13" ht="26.4" customHeight="1" s="153">
      <c r="A13" s="0" t="n">
        <v>0</v>
      </c>
      <c r="B13" s="97" t="inlineStr">
        <is>
          <t>Electrical work inclusive of power points, light points,
A.C. cabling and distribution boards, fire detection and provision of conduits for networking, LED, raceway. BEE rated items for green certification</t>
        </is>
      </c>
      <c r="C13" s="0" t="n">
        <v>1266</v>
      </c>
    </row>
    <row r="14">
      <c r="A14" s="0" t="n">
        <v>0</v>
      </c>
      <c r="B14" s="0"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C14" s="0" t="n">
        <v>3</v>
      </c>
    </row>
    <row r="15" ht="52.8" customHeight="1" s="153">
      <c r="A15" s="0" t="n">
        <v>0</v>
      </c>
      <c r="B15" s="97" t="inlineStr">
        <is>
          <t>WATER PROOFING IN TOILETS FLOOR &amp;WALLS UPTO 2ft Ht : PROVIDING OF WATER PROOFING
-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C15" s="0" t="n">
        <v>250</v>
      </c>
    </row>
    <row r="16">
      <c r="A16" s="0" t="n">
        <v>0</v>
      </c>
      <c r="B16" s="0"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C16" s="0" t="n">
        <v>90</v>
      </c>
    </row>
    <row r="17">
      <c r="A17" s="0" t="n">
        <v>0</v>
      </c>
      <c r="B17" s="0" t="inlineStr">
        <is>
          <t>Providing and fixing door frames made out of 18mm double Ply finished with laminate of approved shade. frame section of size Approx upto 150mm x 36mm including providing necessary anchor hold fasts, cutouts as per engineer - in charge.</t>
        </is>
      </c>
      <c r="C17" s="0" t="n">
        <v>17</v>
      </c>
    </row>
    <row r="18">
      <c r="A18" s="0" t="n">
        <v>0</v>
      </c>
      <c r="B18" s="0"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C18" s="0" t="n">
        <v>502</v>
      </c>
    </row>
    <row r="19">
      <c r="A19" s="0" t="n">
        <v>0</v>
      </c>
      <c r="B19" s="0"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C19" s="0" t="n">
        <v>3</v>
      </c>
    </row>
    <row r="20">
      <c r="A20" s="0" t="n">
        <v>0</v>
      </c>
      <c r="B20" s="0"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C20" s="0" t="n">
        <v>2</v>
      </c>
    </row>
    <row r="21">
      <c r="A21" s="0" t="n">
        <v>0</v>
      </c>
      <c r="B21" s="0"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C21" s="0" t="n">
        <v>1151</v>
      </c>
    </row>
    <row r="22">
      <c r="A22" s="0" t="n">
        <v>0</v>
      </c>
      <c r="B22" s="0" t="inlineStr">
        <is>
          <t>Dismantling of any existing 6inch &amp;9inch walls with removal of lintels , chajjas, slabs if any , etc with necessary tools and tackels and carrying the debris away from site as per engineer- incharge instruction.</t>
        </is>
      </c>
      <c r="C22" s="0" t="n">
        <v>2</v>
      </c>
    </row>
    <row r="23">
      <c r="A23" s="0" t="n">
        <v>0</v>
      </c>
      <c r="B23" s="0"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C23" s="0" t="n">
        <v>5</v>
      </c>
    </row>
    <row r="24">
      <c r="A24" s="0" t="n">
        <v>0</v>
      </c>
      <c r="B24" s="0" t="inlineStr">
        <is>
          <t>Providing &amp;fixing door as per design &amp;size and including Godrej tribolt latch lock. Size of door to match the height of side partition. [approx 5ft x 2ft-6 ]</t>
        </is>
      </c>
      <c r="C24" s="0" t="n">
        <v>2</v>
      </c>
    </row>
    <row r="25" ht="39.6" customHeight="1" s="153">
      <c r="A25" s="0" t="n">
        <v>0</v>
      </c>
      <c r="B25" s="97"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C25" s="0" t="n">
        <v>140</v>
      </c>
    </row>
    <row r="26" ht="39.6" customHeight="1" s="153">
      <c r="A26" s="0" t="n">
        <v>0</v>
      </c>
      <c r="B26" s="97"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C26" s="0" t="n">
        <v>891</v>
      </c>
    </row>
    <row r="27">
      <c r="A27" s="0" t="n">
        <v>0</v>
      </c>
      <c r="B27" s="0"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C27" s="0" t="n">
        <v>1</v>
      </c>
    </row>
    <row r="28" ht="39.6" customHeight="1" s="153">
      <c r="A28" s="0" t="n">
        <v>0</v>
      </c>
      <c r="B28" s="97"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C28" s="0" t="n">
        <v>2</v>
      </c>
    </row>
    <row r="29">
      <c r="A29" s="0" t="n">
        <v>0</v>
      </c>
      <c r="B29" s="0"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C29" s="0" t="n">
        <v>4</v>
      </c>
    </row>
    <row r="30">
      <c r="A30" s="0" t="n">
        <v>0</v>
      </c>
      <c r="B30" s="0" t="inlineStr">
        <is>
          <t>Providing and fixing skirting in vitrified tiles as per approved sample In skirting 4 inches height over 12 mm thick CM 1:4 backing as directed by Engineer- In charge. Basic Rate - Rs 65 per Sft. Make - RAK,Johnson,Kajaria.</t>
        </is>
      </c>
      <c r="C30" s="0" t="n">
        <v>16</v>
      </c>
    </row>
    <row r="31">
      <c r="A31" s="0" t="n">
        <v>0</v>
      </c>
      <c r="B31" s="0" t="inlineStr">
        <is>
          <t>Dismantling of any existing Plaster from walls wherever required with necessary tools and tackels and carrying the debris away from site as per engineer- incharge instruction.</t>
        </is>
      </c>
      <c r="C31" s="0" t="n">
        <v>0</v>
      </c>
    </row>
    <row r="32">
      <c r="A32" s="0" t="n">
        <v>0</v>
      </c>
      <c r="B32" s="0" t="inlineStr">
        <is>
          <t>Providing and applying covering on flooring for floor protection with polypropylene plastic bubble sheet. The rate should include the cleaning of floor covering on completion before handing over completed site as directed by Engineer - in charge.</t>
        </is>
      </c>
      <c r="C32" s="0" t="n">
        <v>1151</v>
      </c>
    </row>
    <row r="33" ht="92.40000000000001" customHeight="1" s="153">
      <c r="A33" s="0" t="n">
        <v>0</v>
      </c>
      <c r="B33" s="97"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C33" s="0" t="n">
        <v>971</v>
      </c>
    </row>
    <row r="34">
      <c r="A34" s="0" t="n">
        <v>0</v>
      </c>
      <c r="B34" s="0"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C34" s="0" t="n">
        <v>0</v>
      </c>
    </row>
    <row r="35" ht="26.4" customHeight="1" s="153">
      <c r="A35" s="0" t="n">
        <v>0</v>
      </c>
      <c r="B35" s="97"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C35" s="0" t="n">
        <v>1</v>
      </c>
    </row>
    <row r="36" ht="39.6" customHeight="1" s="153">
      <c r="A36" s="0" t="n">
        <v>0</v>
      </c>
      <c r="B36" s="97"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C36" s="0" t="n">
        <v>403</v>
      </c>
    </row>
    <row r="37">
      <c r="A37" s="0" t="n">
        <v>0</v>
      </c>
      <c r="B37" s="0" t="inlineStr">
        <is>
          <t>Chasing in existing brick or siporex up to 200mm wide and 75mm deep, for installation of A.C. copper pipes and drain pipes as required and making good of chases with cement plaster or POP ready for application of paint.</t>
        </is>
      </c>
      <c r="C37" s="0" t="n">
        <v>200</v>
      </c>
    </row>
    <row r="38">
      <c r="A38" s="0" t="n">
        <v>0</v>
      </c>
      <c r="B38" s="0"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C38" s="0" t="n">
        <v>58</v>
      </c>
    </row>
    <row r="39">
      <c r="A39" s="0" t="n">
        <v>0</v>
      </c>
      <c r="B39" s="0"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C39" s="0" t="n">
        <v>2</v>
      </c>
    </row>
    <row r="40" ht="39.6" customHeight="1" s="153">
      <c r="A40" s="0" t="n">
        <v>0</v>
      </c>
      <c r="B40" s="97"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C40" s="0" t="n">
        <v>3</v>
      </c>
    </row>
    <row r="41">
      <c r="A41" s="0" t="n">
        <v>0</v>
      </c>
      <c r="B41" s="0" t="inlineStr">
        <is>
          <t>Supplying and Fixing of Jaquar Florentine, 15mm CP Brass Bib Tap with necessary CP Brass wall flanges etc., complete. [Fixing in Janitor] with auto closing. Model code- FLR-CHR-5047N</t>
        </is>
      </c>
      <c r="C41" s="0" t="n">
        <v>0</v>
      </c>
    </row>
    <row r="42">
      <c r="A42" s="0" t="n">
        <v>0</v>
      </c>
      <c r="B42" s="0" t="inlineStr">
        <is>
          <t>Supply fixing and installation of Angular stop cocks with wall flange [ Make Jaguar Florentine, model - FLR-CHR-5053N] to be provided only at the entry point of plumbing lines within the toilets and pantry</t>
        </is>
      </c>
      <c r="C42" s="0" t="n">
        <v>1</v>
      </c>
    </row>
    <row r="43">
      <c r="A43" s="0" t="n">
        <v>0</v>
      </c>
      <c r="B43" s="0"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C43" s="0" t="n">
        <v>11</v>
      </c>
    </row>
    <row r="44">
      <c r="A44" s="0" t="n">
        <v>0</v>
      </c>
      <c r="B44" s="0" t="inlineStr">
        <is>
          <t>Supply and fixing of S.S. Nahani Trap Insect-Proof type as per approved sample in toilets and pantry.</t>
        </is>
      </c>
      <c r="C44" s="0" t="n">
        <v>3</v>
      </c>
    </row>
    <row r="45">
      <c r="A45" s="0" t="n">
        <v>0</v>
      </c>
      <c r="B45" s="0" t="inlineStr">
        <is>
          <t>Supply &amp;fixing of SS finish Double Coat Hooks manufactured by Jaquar or as approved by bank or CPC team</t>
        </is>
      </c>
      <c r="C45" s="0" t="n">
        <v>2</v>
      </c>
    </row>
    <row r="46">
      <c r="A46" s="0" t="n">
        <v>0</v>
      </c>
      <c r="B46" s="0"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C46" s="0" t="n">
        <v>47</v>
      </c>
    </row>
    <row r="47">
      <c r="A47" s="0" t="n">
        <v>0</v>
      </c>
      <c r="B47" s="0" t="inlineStr">
        <is>
          <t>Supply and fixing Mirrors of Saint Gobain or Asahi make 5.0mm thick with plastic film backing, backing to have 12 mm shuttering plywood [marine grade], with 25 x 10mm wooden beading of all four sides with french polish.</t>
        </is>
      </c>
      <c r="C47" s="0" t="n">
        <v>19</v>
      </c>
    </row>
    <row r="48" ht="26.4" customHeight="1" s="153">
      <c r="A48" s="0" t="n">
        <v>0</v>
      </c>
      <c r="B48" s="97" t="inlineStr">
        <is>
          <t>Supply &amp;fixing of Jaguar make [model no. ALD- CHR-565] Health Faucet in all WC cubicles complete with all accessories such as flexible hose, wall hook, Jaguar make etc. All of CP finish.
Separate rate for angle cock.</t>
        </is>
      </c>
      <c r="C48" s="0" t="n">
        <v>2</v>
      </c>
    </row>
    <row r="49">
      <c r="A49" s="0" t="n">
        <v>0</v>
      </c>
      <c r="B49" s="0" t="inlineStr">
        <is>
          <t>Supply and Fixing in position Long body Sink Cock, heavy duty brass chromium-plated, of Jaguar Florentine Make FLR-CHR-5347N [wall mount] OR FLR-CHR-5357N [Floor Mount].</t>
        </is>
      </c>
      <c r="C49" s="0" t="n">
        <v>1</v>
      </c>
    </row>
    <row r="50">
      <c r="A50" s="0" t="n">
        <v>0</v>
      </c>
      <c r="B50" s="0"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C50" s="0" t="n">
        <v>176</v>
      </c>
    </row>
    <row r="51">
      <c r="A51" s="0" t="n">
        <v>0</v>
      </c>
      <c r="B51" s="0" t="inlineStr">
        <is>
          <t>Supply &amp;fixing of Toilet paper holder manufactured by Jaquar or as approved by bank or CPC team Make : Jaquar ACN-1151N</t>
        </is>
      </c>
      <c r="C51" s="0" t="n">
        <v>2</v>
      </c>
    </row>
    <row r="52">
      <c r="A52" s="0" t="n">
        <v>0</v>
      </c>
      <c r="B52" s="0"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C52" s="0" t="n">
        <v>3</v>
      </c>
    </row>
    <row r="53">
      <c r="A53" s="0" t="n">
        <v>0</v>
      </c>
      <c r="B53" s="0"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C53" s="0" t="n">
        <v>1</v>
      </c>
    </row>
    <row r="54" ht="26.4" customHeight="1" s="153">
      <c r="A54" s="0" t="n">
        <v>0</v>
      </c>
      <c r="B54" s="97"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C54" s="0" t="n">
        <v>2</v>
      </c>
    </row>
    <row r="55">
      <c r="A55" s="0" t="n">
        <v>0</v>
      </c>
      <c r="B55" s="0"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C55" s="0" t="n">
        <v>1269</v>
      </c>
    </row>
    <row r="56">
      <c r="A56" s="0" t="n">
        <v>0</v>
      </c>
      <c r="B56" s="0" t="inlineStr">
        <is>
          <t>providing and fixing PVC Coated Fabric curtain in Grey colour for Locker Room</t>
        </is>
      </c>
      <c r="C56" s="0" t="n">
        <v>1</v>
      </c>
    </row>
    <row r="57" ht="39.6" customHeight="1" s="153">
      <c r="A57" s="0" t="n">
        <v>0</v>
      </c>
      <c r="B57" s="97"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C57" s="0" t="n">
        <v>1</v>
      </c>
    </row>
    <row r="58">
      <c r="A58" s="0" t="n">
        <v>0</v>
      </c>
      <c r="B58" s="0"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C58" s="0" t="n">
        <v>143</v>
      </c>
    </row>
    <row r="59">
      <c r="A59" s="0" t="n">
        <v>0</v>
      </c>
      <c r="B59" s="0" t="inlineStr">
        <is>
          <t>Providing and fixing heavy duty circular locks for rolling shutters with multiple keys, Godrej Navtal make.</t>
        </is>
      </c>
      <c r="C59" s="0" t="n">
        <v>6</v>
      </c>
    </row>
    <row r="60">
      <c r="A60" s="0" t="n">
        <v>0</v>
      </c>
      <c r="B60" s="0"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C60" s="0" t="n">
        <v>0</v>
      </c>
    </row>
    <row r="61">
      <c r="A61" s="0" t="n">
        <v>0</v>
      </c>
      <c r="B61" s="0"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C61" s="0" t="n">
        <v>37</v>
      </c>
    </row>
    <row r="62">
      <c r="A62" s="0" t="n">
        <v>0</v>
      </c>
      <c r="B62" s="0"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C62" s="0" t="n">
        <v>971</v>
      </c>
    </row>
    <row r="63">
      <c r="A63" s="0" t="n">
        <v>0</v>
      </c>
      <c r="B63" s="0" t="inlineStr">
        <is>
          <t>Supply of Polycab Alluminium armoured cable 3.5 core 50 sqmm from meter room of the building to electrical main panel of the Bank inside the premises.</t>
        </is>
      </c>
      <c r="C63" s="0" t="n">
        <v>50</v>
      </c>
    </row>
    <row r="64">
      <c r="A64" s="0" t="n">
        <v>0</v>
      </c>
      <c r="B64" s="0"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C64" s="0" t="n">
        <v>24</v>
      </c>
    </row>
    <row r="65">
      <c r="A65" s="0" t="n">
        <v>0</v>
      </c>
      <c r="B65" s="0" t="inlineStr">
        <is>
          <t>Providing of Plastic chair without armrest Grey color, Neelkamal make.</t>
        </is>
      </c>
      <c r="C65" s="0" t="n">
        <v>1</v>
      </c>
    </row>
    <row r="66">
      <c r="A66" s="0" t="n">
        <v>0</v>
      </c>
      <c r="B66" s="0" t="inlineStr">
        <is>
          <t>Fixing of all the signages provided by ICICI Bank, Hanging or on the wall and partitions as instructed by project incharge.</t>
        </is>
      </c>
      <c r="C66" s="0" t="n">
        <v>1</v>
      </c>
    </row>
    <row r="67">
      <c r="A67" s="0" t="n">
        <v>0</v>
      </c>
      <c r="B67" s="0"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C67" s="0" t="n">
        <v>1</v>
      </c>
    </row>
    <row r="68">
      <c r="A68" s="0" t="n">
        <v>0</v>
      </c>
      <c r="B68" s="0"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C68" s="0" t="n">
        <v>2</v>
      </c>
    </row>
    <row r="69">
      <c r="A69" s="0" t="n">
        <v>0</v>
      </c>
      <c r="B69" s="0"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C69" s="0" t="n">
        <v>1362</v>
      </c>
    </row>
    <row r="70">
      <c r="A70" s="0" t="n">
        <v>0</v>
      </c>
      <c r="B70" s="0" t="inlineStr">
        <is>
          <t>Providing and applying Crimson Red matt enamel paint for rolling shutter with Red oxide to be applied before enamel paint. Make - Asian paints.</t>
        </is>
      </c>
      <c r="C70" s="0" t="n">
        <v>833</v>
      </c>
    </row>
    <row r="71" ht="26.4" customHeight="1" s="153">
      <c r="A71" s="0" t="n">
        <v>0</v>
      </c>
      <c r="B71" s="97"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C71" s="0" t="n">
        <v>74</v>
      </c>
    </row>
    <row r="72">
      <c r="A72" s="0" t="n">
        <v>0</v>
      </c>
      <c r="B72" s="0"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C72" s="0" t="n">
        <v>0</v>
      </c>
    </row>
    <row r="73" ht="39.6" customHeight="1" s="153">
      <c r="A73" s="0" t="n">
        <v>0</v>
      </c>
      <c r="B73" s="97"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C73" s="0" t="n">
        <v>1477</v>
      </c>
    </row>
    <row r="74" ht="26.4" customHeight="1" s="153">
      <c r="A74" s="0" t="n">
        <v>0</v>
      </c>
      <c r="B74" s="97" t="inlineStr">
        <is>
          <t>Providing &amp;fixing of Exterior grade 3mm Thick Aluminum Composite Panel [ACP] in silver grey as per approved shade with Aluminium framing of 2 x 1
, Weather sealant including all necessary hardware etc. complete as directed</t>
        </is>
      </c>
      <c r="C74" s="0" t="n">
        <v>792</v>
      </c>
    </row>
    <row r="75">
      <c r="A75" s="0" t="n">
        <v>0</v>
      </c>
      <c r="B75" s="0"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C75" s="0" t="n">
        <v>229</v>
      </c>
    </row>
    <row r="76">
      <c r="A76" s="0" t="n">
        <v>0</v>
      </c>
      <c r="B76" s="0"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C76" s="0" t="n">
        <v>225</v>
      </c>
    </row>
    <row r="77">
      <c r="A77" s="0" t="n">
        <v>0</v>
      </c>
      <c r="B77" s="0" t="inlineStr">
        <is>
          <t>Providing &amp;Fixing 18mm Thick Granite Urinal partition embedded in wall. All Exposed edges to be polished. Size: 450 x 900mm. Granite - Ruby Red or Bruno Red or RBI Red - Basic Rate Rs 150 per Sft</t>
        </is>
      </c>
      <c r="C77" s="0" t="n">
        <v>1</v>
      </c>
    </row>
    <row r="78">
      <c r="A78" s="0" t="n">
        <v>0</v>
      </c>
      <c r="B78" s="0"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C78" s="0" t="n">
        <v>5</v>
      </c>
    </row>
    <row r="79">
      <c r="A79" s="0" t="n">
        <v>0</v>
      </c>
      <c r="B79" s="0"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C79" s="0" t="n">
        <v>119</v>
      </c>
    </row>
    <row r="80">
      <c r="A80" s="0" t="n">
        <v>0</v>
      </c>
      <c r="B80" s="0"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C80" s="0" t="n">
        <v>1</v>
      </c>
    </row>
    <row r="81">
      <c r="A81" s="0" t="n">
        <v>0</v>
      </c>
      <c r="B81" s="0"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C81" s="0" t="n">
        <v>1</v>
      </c>
    </row>
    <row r="82">
      <c r="A82" s="0" t="n">
        <v>0</v>
      </c>
      <c r="B82" s="0"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C82" s="0" t="n">
        <v>6</v>
      </c>
    </row>
    <row r="83">
      <c r="A83" s="0" t="n">
        <v>0</v>
      </c>
      <c r="B83" s="0"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C83" s="0" t="n">
        <v>1</v>
      </c>
    </row>
    <row r="84">
      <c r="A84" s="0" t="n">
        <v>0</v>
      </c>
      <c r="B84" s="0"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C84" s="0" t="n">
        <v>0</v>
      </c>
    </row>
    <row r="85">
      <c r="A85" s="0" t="n">
        <v>0</v>
      </c>
      <c r="B85" s="0"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C85" s="0" t="n">
        <v>4</v>
      </c>
    </row>
    <row r="86">
      <c r="A86" s="0" t="n">
        <v>0</v>
      </c>
      <c r="B86" s="0"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C86" s="0" t="n">
        <v>1</v>
      </c>
    </row>
    <row r="87">
      <c r="A87" s="0" t="n">
        <v>0</v>
      </c>
      <c r="B87" s="0" t="inlineStr">
        <is>
          <t>S and I of slotted angle rack of size 2 feet 6 inch Length x 1 feet 6 inch breadth x 6 feet 0 inch height in 18 guage MS material of Godrej- Methodex make</t>
        </is>
      </c>
      <c r="C87" s="0" t="n">
        <v>0</v>
      </c>
    </row>
    <row r="88">
      <c r="A88" s="0" t="n">
        <v>0</v>
      </c>
      <c r="B88" s="0" t="inlineStr">
        <is>
          <t>Electricity bill for WIP period</t>
        </is>
      </c>
      <c r="C88" s="0" t="n">
        <v>1</v>
      </c>
    </row>
    <row r="89">
      <c r="A89" s="0" t="n">
        <v>0</v>
      </c>
      <c r="B89" s="0" t="inlineStr">
        <is>
          <t>Provision and installation of networking components, networking rack, service component. Cost includes labor, installation and transportation. Make Commscope</t>
        </is>
      </c>
      <c r="C89" s="0" t="n">
        <v>1266</v>
      </c>
    </row>
    <row r="90">
      <c r="A90" s="0" t="n">
        <v>0</v>
      </c>
      <c r="B90" s="0"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C90" s="0" t="n">
        <v>96</v>
      </c>
    </row>
    <row r="91">
      <c r="A91" s="0" t="n">
        <v>0</v>
      </c>
      <c r="B91" s="0" t="inlineStr">
        <is>
          <t>Providing and fixing of SS Soap Dish. Make: Jaquar,Hindware and Parryware</t>
        </is>
      </c>
      <c r="C91" s="0" t="n">
        <v>2</v>
      </c>
    </row>
    <row r="92" ht="26.4" customHeight="1" s="153">
      <c r="A92" s="0" t="n">
        <v>0</v>
      </c>
      <c r="B92" s="97" t="inlineStr">
        <is>
          <t>Providing and FixinG 2 way BIB Cock. Approved make: Jaguar Model code:FLR-CHR-5041N, Range
: Florentine</t>
        </is>
      </c>
      <c r="C92" s="0" t="n">
        <v>2</v>
      </c>
    </row>
    <row r="93">
      <c r="A93" s="0" t="n">
        <v>0</v>
      </c>
      <c r="B93" s="0" t="inlineStr">
        <is>
          <t>Providing and fixing Bottomline _ Cubik _ Ebco make Alluminium skirting of 90mm height</t>
        </is>
      </c>
      <c r="C93" s="0" t="n">
        <v>224</v>
      </c>
    </row>
    <row r="94" ht="79.2" customHeight="1" s="153">
      <c r="A94" s="0" t="n">
        <v>0</v>
      </c>
      <c r="B94" s="97"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C94" s="0" t="n">
        <v>1</v>
      </c>
    </row>
    <row r="95">
      <c r="A95" s="0" t="n">
        <v>0</v>
      </c>
      <c r="B95" s="0"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C95" s="0" t="n">
        <v>176</v>
      </c>
    </row>
    <row r="96" ht="39.6" customHeight="1" s="153">
      <c r="A96" s="0" t="n">
        <v>0</v>
      </c>
      <c r="B96" s="97"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C96" s="0" t="n">
        <v>542</v>
      </c>
    </row>
    <row r="97">
      <c r="A97" s="0" t="n">
        <v>0</v>
      </c>
      <c r="B97" s="0"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C97" s="0" t="n">
        <v>1</v>
      </c>
    </row>
    <row r="98">
      <c r="A98" s="0" t="n">
        <v>0</v>
      </c>
      <c r="B98" s="0" t="inlineStr">
        <is>
          <t>Corner Guard</t>
        </is>
      </c>
      <c r="C98" s="0" t="n">
        <v>123</v>
      </c>
    </row>
    <row r="99">
      <c r="A99" s="0" t="n">
        <v>0</v>
      </c>
      <c r="B99" s="0" t="inlineStr">
        <is>
          <t>Providing &amp; fixing the Pantry Table with MS Base, used in 25mm thick ply with both side laminet with top edge 2mm thik banding, MS Base with powder coated as per details given. ( Size - 4' x 3' )</t>
        </is>
      </c>
      <c r="C99" s="0" t="n">
        <v>1</v>
      </c>
    </row>
    <row r="100">
      <c r="A100" s="0" t="n">
        <v>0</v>
      </c>
      <c r="B100" s="0" t="inlineStr">
        <is>
          <t>ATM back room door - Providing and fixing ATM back room door, made of 25mm commercial ply or HDHMR boards finished in 1mm high gloss laminate, with lock, magnet and all fittings, as per approved design.  Ply make- Century, Greenply, Kitply. Laminate</t>
        </is>
      </c>
      <c r="C100" s="0" t="n">
        <v>14</v>
      </c>
    </row>
    <row r="101">
      <c r="A101" s="0" t="n">
        <v>0</v>
      </c>
      <c r="B101" s="0"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C101" s="0" t="n">
        <v>43</v>
      </c>
    </row>
    <row r="102">
      <c r="A102" s="0" t="n">
        <v>0</v>
      </c>
      <c r="B102" s="0"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C102" s="0" t="n">
        <v>1</v>
      </c>
    </row>
    <row r="103">
      <c r="A103" s="0" t="n">
        <v>0</v>
      </c>
      <c r="B103" s="0" t="inlineStr">
        <is>
          <t>Providing, Fabricating and erecting of MS grills exposed on internal wall surface and ceiling consisting in 20 sq. mm MS Bars spaced 75 mm centre to centre in angle iron frame tightly bolted on ceiling and floor and finished in Black colored enamel paint.</t>
        </is>
      </c>
      <c r="C103" s="0" t="n">
        <v>90</v>
      </c>
    </row>
    <row r="104">
      <c r="A104" s="0" t="n">
        <v>0</v>
      </c>
      <c r="B104" s="0" t="inlineStr">
        <is>
          <t>MS Sataircase</t>
        </is>
      </c>
      <c r="C104" s="0" t="n">
        <v>1</v>
      </c>
    </row>
    <row r="105">
      <c r="A105" s="0" t="n">
        <v>0</v>
      </c>
      <c r="B105" s="0"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C105" s="0" t="n">
        <v>6</v>
      </c>
    </row>
    <row r="106">
      <c r="A106" s="0" t="n">
        <v>0</v>
      </c>
      <c r="B106" s="0"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C106" s="0" t="n">
        <v>32</v>
      </c>
    </row>
    <row r="107">
      <c r="A107" s="0" t="n">
        <v>0</v>
      </c>
      <c r="B107" s="0"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C107" s="0" t="n">
        <v>484</v>
      </c>
    </row>
    <row r="108">
      <c r="A108" s="0" t="n">
        <v>0</v>
      </c>
      <c r="B108" s="0" t="inlineStr">
        <is>
          <t>Providing &amp; fixing Ply Panelling for Staircase &amp; ATM Ceiling</t>
        </is>
      </c>
      <c r="C108" s="0" t="n">
        <v>181</v>
      </c>
    </row>
    <row r="109">
      <c r="A109" s="0" t="n">
        <v>0</v>
      </c>
      <c r="B109" s="0" t="inlineStr">
        <is>
          <t>ADDITIONAL LABOUR CHARGES FOR MATHADI</t>
        </is>
      </c>
      <c r="C109" s="0" t="n">
        <v>1</v>
      </c>
    </row>
    <row r="110">
      <c r="A110" s="0" t="n">
        <v>0</v>
      </c>
      <c r="B110" s="0"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C110" s="0" t="n">
        <v>158</v>
      </c>
    </row>
    <row r="111">
      <c r="A111" s="0" t="n">
        <v>0</v>
      </c>
      <c r="B111" s="0" t="inlineStr">
        <is>
          <t>Aluminium Door Frame 50mmx 38mm ( Door Size - 1050 x 2400mm )</t>
        </is>
      </c>
      <c r="C111" s="0" t="n">
        <v>2</v>
      </c>
    </row>
  </sheetData>
  <pageMargins left="0.7" right="0.7" top="0.75" bottom="0.75" header="0.3" footer="0.3"/>
</worksheet>
</file>

<file path=xl/worksheets/sheet3.xml><?xml version="1.0" encoding="utf-8"?>
<worksheet xmlns="http://schemas.openxmlformats.org/spreadsheetml/2006/main">
  <sheetPr codeName="Sheet3" filterMode="1">
    <outlinePr summaryBelow="1" summaryRight="1"/>
    <pageSetUpPr/>
  </sheetPr>
  <dimension ref="A1:W115"/>
  <sheetViews>
    <sheetView topLeftCell="D1" zoomScale="80" zoomScaleNormal="80" zoomScaleSheetLayoutView="67" workbookViewId="0">
      <pane ySplit="3" topLeftCell="A5" activePane="bottomLeft" state="frozen"/>
      <selection pane="bottomLeft" activeCell="M5" sqref="M5"/>
    </sheetView>
  </sheetViews>
  <sheetFormatPr baseColWidth="8" defaultColWidth="9.33203125" defaultRowHeight="13.8"/>
  <cols>
    <col width="13.109375" bestFit="1" customWidth="1" style="2" min="1" max="1"/>
    <col width="18.44140625" bestFit="1" customWidth="1" style="2" min="2" max="2"/>
    <col hidden="1" width="20.5546875" customWidth="1" style="2" min="3" max="3"/>
    <col width="24.88671875" customWidth="1" style="2" min="4" max="4"/>
    <col width="63.21875" bestFit="1" customWidth="1" style="2" min="5" max="5"/>
    <col width="17.88671875" customWidth="1" style="2" min="6" max="6"/>
    <col width="7.33203125" customWidth="1" style="46" min="7" max="7"/>
    <col width="11.44140625" customWidth="1" style="46" min="8" max="8"/>
    <col width="9.44140625" customWidth="1" style="46" min="9" max="9"/>
    <col width="15.6640625" customWidth="1" style="46" min="10" max="10"/>
    <col width="12.6640625" customWidth="1" style="2" min="11" max="11"/>
    <col width="12" bestFit="1" customWidth="1" style="2" min="12" max="12"/>
    <col width="17.109375" bestFit="1" customWidth="1" style="2" min="13" max="13"/>
    <col width="16.109375" bestFit="1" customWidth="1" style="2" min="14" max="14"/>
    <col hidden="1" width="14.33203125" customWidth="1" style="2" min="15" max="15"/>
    <col width="9.33203125" customWidth="1" style="2" min="16" max="16"/>
    <col width="12.33203125" bestFit="1" customWidth="1" style="2" min="17" max="17"/>
    <col width="9.33203125" customWidth="1" style="2" min="18" max="20"/>
    <col width="13.33203125" bestFit="1" customWidth="1" style="2" min="21" max="21"/>
    <col width="16.44140625" customWidth="1" style="2" min="22" max="22"/>
    <col width="13.88671875" bestFit="1" customWidth="1" style="2" min="23" max="23"/>
    <col width="9.33203125" customWidth="1" style="2" min="24" max="16384"/>
  </cols>
  <sheetData>
    <row r="1">
      <c r="A1" s="1" t="inlineStr">
        <is>
          <t>FINAL BILL FOR ICICI BANK LTD, CHAPHEKAR CHOWK_PUNE</t>
        </is>
      </c>
      <c r="G1" s="46" t="n"/>
      <c r="H1" s="46" t="n"/>
      <c r="I1" s="46" t="n"/>
      <c r="J1" s="46" t="n"/>
    </row>
    <row r="2">
      <c r="A2" s="98" t="n"/>
      <c r="B2" s="98" t="n"/>
      <c r="C2" s="98" t="n"/>
      <c r="D2" s="98" t="n"/>
      <c r="E2" s="98" t="n"/>
      <c r="F2" s="98" t="n"/>
      <c r="G2" s="99" t="n"/>
      <c r="H2" s="146" t="inlineStr">
        <is>
          <t>As per WO</t>
        </is>
      </c>
      <c r="I2" s="155" t="n"/>
      <c r="J2" s="156" t="n"/>
      <c r="K2" s="147" t="inlineStr">
        <is>
          <t>As per CWI</t>
        </is>
      </c>
      <c r="L2" s="155" t="n"/>
      <c r="M2" s="155" t="n"/>
      <c r="N2" s="156" t="n"/>
      <c r="O2" s="99" t="n"/>
      <c r="P2" s="145" t="inlineStr">
        <is>
          <t>Variance : CWI vs WO</t>
        </is>
      </c>
      <c r="Q2" s="156" t="n"/>
      <c r="R2" s="145" t="inlineStr">
        <is>
          <t>Excess</t>
        </is>
      </c>
      <c r="S2" s="145" t="inlineStr">
        <is>
          <t>Saving</t>
        </is>
      </c>
      <c r="T2" s="145" t="inlineStr">
        <is>
          <t>Total</t>
        </is>
      </c>
      <c r="U2" s="145" t="inlineStr">
        <is>
          <t>CWI Remark</t>
        </is>
      </c>
      <c r="V2" s="147" t="inlineStr">
        <is>
          <t>Remark</t>
        </is>
      </c>
      <c r="W2" s="145" t="inlineStr">
        <is>
          <t>PM Approval</t>
        </is>
      </c>
    </row>
    <row r="3" ht="41.4" customFormat="1" customHeight="1" s="36">
      <c r="A3" s="85" t="inlineStr">
        <is>
          <t>TYPE</t>
        </is>
      </c>
      <c r="B3" s="85" t="inlineStr">
        <is>
          <t>NATURE OF WORK</t>
        </is>
      </c>
      <c r="C3" s="85" t="inlineStr">
        <is>
          <t>CATEGORY</t>
        </is>
      </c>
      <c r="D3" s="85" t="inlineStr">
        <is>
          <t>SUB CATEGORY</t>
        </is>
      </c>
      <c r="E3" s="85" t="inlineStr">
        <is>
          <t>Particulars</t>
        </is>
      </c>
      <c r="F3" s="108" t="inlineStr">
        <is>
          <t xml:space="preserve"> Brand/ Make used/ installed at site </t>
        </is>
      </c>
      <c r="G3" s="86" t="inlineStr">
        <is>
          <t>UNIT</t>
        </is>
      </c>
      <c r="H3" s="86" t="inlineStr">
        <is>
          <t>RATE</t>
        </is>
      </c>
      <c r="I3" s="86" t="inlineStr">
        <is>
          <t>QTY</t>
        </is>
      </c>
      <c r="J3" s="86" t="inlineStr">
        <is>
          <t>AMOUNT</t>
        </is>
      </c>
      <c r="K3" s="86" t="inlineStr">
        <is>
          <t>RATE</t>
        </is>
      </c>
      <c r="L3" s="86" t="inlineStr">
        <is>
          <t>QTY</t>
        </is>
      </c>
      <c r="M3" s="86" t="inlineStr">
        <is>
          <t>Photographic QTY</t>
        </is>
      </c>
      <c r="N3" s="86" t="inlineStr">
        <is>
          <t>AMOUNT</t>
        </is>
      </c>
      <c r="O3" s="86" t="inlineStr">
        <is>
          <t>Vendor RE</t>
        </is>
      </c>
      <c r="P3" s="86" t="inlineStr">
        <is>
          <t>QTY</t>
        </is>
      </c>
      <c r="Q3" s="86" t="inlineStr">
        <is>
          <t>AMOUNT</t>
        </is>
      </c>
      <c r="R3" s="86" t="n"/>
      <c r="S3" s="86" t="n"/>
      <c r="T3" s="86" t="n"/>
      <c r="U3" s="86" t="n"/>
      <c r="V3" s="86" t="n"/>
      <c r="W3" s="86" t="n"/>
    </row>
    <row r="4" hidden="1" ht="66" customHeight="1" s="153">
      <c r="A4" s="4" t="inlineStr">
        <is>
          <t>Reimbursable Items</t>
        </is>
      </c>
      <c r="B4" s="4" t="inlineStr">
        <is>
          <t>Electricity &amp;Diesel Expenses to TKO</t>
        </is>
      </c>
      <c r="C4" s="4" t="inlineStr">
        <is>
          <t>Electricity &amp;Diesel Expenses to TKO</t>
        </is>
      </c>
      <c r="D4" s="4" t="inlineStr">
        <is>
          <t>Diesel for DG</t>
        </is>
      </c>
      <c r="E4" s="4" t="inlineStr">
        <is>
          <t>Reimbursement of Diesel for DG</t>
        </is>
      </c>
      <c r="F4" s="4" t="inlineStr">
        <is>
          <t>NA</t>
        </is>
      </c>
      <c r="G4" s="5" t="inlineStr">
        <is>
          <t>L.sum</t>
        </is>
      </c>
      <c r="H4" s="5" t="n">
        <v>3000</v>
      </c>
      <c r="I4" s="5" t="n">
        <v>1</v>
      </c>
      <c r="J4" s="5" t="n">
        <v>3000</v>
      </c>
      <c r="K4" s="5">
        <f>3000*1.2</f>
        <v/>
      </c>
      <c r="L4" s="91">
        <f>'Measurement Sheet'!J8</f>
        <v/>
      </c>
      <c r="M4" s="91" t="n"/>
      <c r="N4" s="5">
        <f>K4*L4</f>
        <v/>
      </c>
      <c r="O4" s="5" t="inlineStr">
        <is>
          <t>Bill Attatached</t>
        </is>
      </c>
      <c r="P4" s="90">
        <f>L4-I4</f>
        <v/>
      </c>
      <c r="Q4" s="90">
        <f>N4-J4</f>
        <v/>
      </c>
      <c r="R4" s="88">
        <f>IF(N4&gt;J4,(N4-J4),0)</f>
        <v/>
      </c>
      <c r="S4" s="88">
        <f>IF(N4&lt;J4,(N4-J4),0)</f>
        <v/>
      </c>
      <c r="T4" s="88">
        <f>S4+R4</f>
        <v/>
      </c>
      <c r="U4" s="88" t="n"/>
      <c r="V4" s="100" t="inlineStr">
        <is>
          <t>Quantity Exceeded from the Work order project Manager Approval Required</t>
        </is>
      </c>
      <c r="W4" s="88" t="n"/>
    </row>
    <row r="5" ht="55.2" customHeight="1" s="153">
      <c r="A5" s="4" t="inlineStr">
        <is>
          <t>Main BOQ</t>
        </is>
      </c>
      <c r="B5" s="4" t="inlineStr">
        <is>
          <t>Carpentry Work</t>
        </is>
      </c>
      <c r="C5" s="4" t="inlineStr">
        <is>
          <t>MISCELLANEOUS</t>
        </is>
      </c>
      <c r="D5" s="126" t="inlineStr">
        <is>
          <t>Softboard in Managers cabin-cubicle , 5S and Customer area Notice Board</t>
        </is>
      </c>
      <c r="E5" s="4" t="inlineStr">
        <is>
          <t>Providing and fixing soft board incl of 6mm ply base backing and 12mm thk. crock sheet which is wrapped all around with fabric [Burgandy for regular office areas and royal blue for Private banking].The edge trims to be finished in 19mmx 6mm lipping p</t>
        </is>
      </c>
      <c r="F5" s="4" t="inlineStr">
        <is>
          <t>Samrat</t>
        </is>
      </c>
      <c r="G5" s="5" t="inlineStr">
        <is>
          <t>Sft</t>
        </is>
      </c>
      <c r="H5" s="5" t="n">
        <v>150</v>
      </c>
      <c r="I5" s="5" t="n">
        <v>60</v>
      </c>
      <c r="J5" s="5" t="n">
        <v>9000</v>
      </c>
      <c r="K5" s="5" t="n">
        <v>150</v>
      </c>
      <c r="L5" s="91">
        <f>'Measurement Sheet'!J17</f>
        <v/>
      </c>
      <c r="M5" s="91" t="n"/>
      <c r="N5" s="5">
        <f>K5*L5</f>
        <v/>
      </c>
      <c r="O5" s="5" t="n"/>
      <c r="P5" s="90">
        <f>L5-I5</f>
        <v/>
      </c>
      <c r="Q5" s="90">
        <f>N5-J5</f>
        <v/>
      </c>
      <c r="R5" s="88">
        <f>IF(N5&gt;J5,(N5-J5),0)</f>
        <v/>
      </c>
      <c r="S5" s="88">
        <f>IF(N5&lt;J5,(N5-J5),0)</f>
        <v/>
      </c>
      <c r="T5" s="88">
        <f>S5+R5</f>
        <v/>
      </c>
      <c r="U5" s="88" t="n"/>
      <c r="V5" s="88" t="n"/>
      <c r="W5" s="88" t="n"/>
    </row>
    <row r="6" ht="66" customHeight="1" s="153">
      <c r="A6" s="4" t="inlineStr">
        <is>
          <t>Main BOQ</t>
        </is>
      </c>
      <c r="B6" s="4" t="inlineStr">
        <is>
          <t>Carpentry Work</t>
        </is>
      </c>
      <c r="C6" s="4" t="inlineStr">
        <is>
          <t>MISCELLANEOUS</t>
        </is>
      </c>
      <c r="D6" s="126" t="inlineStr">
        <is>
          <t>Rubber Mat in UPS room</t>
        </is>
      </c>
      <c r="E6" s="4" t="inlineStr">
        <is>
          <t>Rubber Mat in UPS room, 20mm thickness.</t>
        </is>
      </c>
      <c r="F6" s="4" t="inlineStr">
        <is>
          <t>NA</t>
        </is>
      </c>
      <c r="G6" s="5" t="inlineStr">
        <is>
          <t>Sft</t>
        </is>
      </c>
      <c r="H6" s="5" t="n">
        <v>140</v>
      </c>
      <c r="I6" s="5" t="n">
        <v>27</v>
      </c>
      <c r="J6" s="5" t="n">
        <v>3780</v>
      </c>
      <c r="K6" s="5" t="n">
        <v>140</v>
      </c>
      <c r="L6" s="91">
        <f>'Measurement Sheet'!J23</f>
        <v/>
      </c>
      <c r="M6" s="91" t="n"/>
      <c r="N6" s="5">
        <f>K6*L6</f>
        <v/>
      </c>
      <c r="O6" s="5" t="n"/>
      <c r="P6" s="90">
        <f>L6-I6</f>
        <v/>
      </c>
      <c r="Q6" s="90">
        <f>N6-J6</f>
        <v/>
      </c>
      <c r="R6" s="88">
        <f>IF(N6&gt;J6,(N6-J6),0)</f>
        <v/>
      </c>
      <c r="S6" s="88">
        <f>IF(N6&lt;J6,(N6-J6),0)</f>
        <v/>
      </c>
      <c r="T6" s="88">
        <f>S6+R6</f>
        <v/>
      </c>
      <c r="U6" s="88" t="n"/>
      <c r="V6" s="100" t="inlineStr">
        <is>
          <t>Quantity Exceeded from the Work order project Manager Approval Required</t>
        </is>
      </c>
      <c r="W6" s="88" t="n"/>
    </row>
    <row r="7" hidden="1" ht="27.6" customHeight="1" s="153">
      <c r="A7" s="4" t="inlineStr">
        <is>
          <t>Main BOQ</t>
        </is>
      </c>
      <c r="B7" s="4" t="inlineStr">
        <is>
          <t>Electrical Works</t>
        </is>
      </c>
      <c r="C7" s="4" t="inlineStr">
        <is>
          <t>Other Electricals</t>
        </is>
      </c>
      <c r="D7" s="4" t="inlineStr">
        <is>
          <t>Master Switch</t>
        </is>
      </c>
      <c r="E7" s="4" t="inlineStr">
        <is>
          <t>Provision and installation of master switch nearest to the entrance of the premises, as per the specifications.</t>
        </is>
      </c>
      <c r="F7" s="4" t="inlineStr">
        <is>
          <t>L&amp;T</t>
        </is>
      </c>
      <c r="G7" s="5" t="inlineStr">
        <is>
          <t>Nos</t>
        </is>
      </c>
      <c r="H7" s="5" t="n">
        <v>30000</v>
      </c>
      <c r="I7" s="5" t="n">
        <v>1</v>
      </c>
      <c r="J7" s="5" t="n">
        <v>30000</v>
      </c>
      <c r="K7" s="5" t="n">
        <v>30000</v>
      </c>
      <c r="L7" s="91">
        <f>'Measurement Sheet'!J29</f>
        <v/>
      </c>
      <c r="M7" s="91" t="n"/>
      <c r="N7" s="5">
        <f>K7*L7</f>
        <v/>
      </c>
      <c r="O7" s="5" t="n"/>
      <c r="P7" s="90">
        <f>L7-I7</f>
        <v/>
      </c>
      <c r="Q7" s="90">
        <f>N7-J7</f>
        <v/>
      </c>
      <c r="R7" s="88">
        <f>IF(N7&gt;J7,(N7-J7),0)</f>
        <v/>
      </c>
      <c r="S7" s="88">
        <f>IF(N7&lt;J7,(N7-J7),0)</f>
        <v/>
      </c>
      <c r="T7" s="88">
        <f>S7+R7</f>
        <v/>
      </c>
      <c r="U7" s="88" t="n"/>
      <c r="V7" s="88" t="n"/>
      <c r="W7" s="88" t="n"/>
    </row>
    <row r="8" hidden="1" ht="55.2" customHeight="1" s="153">
      <c r="A8" s="4" t="inlineStr">
        <is>
          <t>Main BOQ</t>
        </is>
      </c>
      <c r="B8" s="4" t="inlineStr">
        <is>
          <t>Carpentry Work</t>
        </is>
      </c>
      <c r="C8" s="4" t="inlineStr">
        <is>
          <t>PARTITIONS AND PANELLING</t>
        </is>
      </c>
      <c r="D8" s="4" t="inlineStr">
        <is>
          <t>ATM backdrop</t>
        </is>
      </c>
      <c r="E8" s="4" t="inlineStr">
        <is>
          <t>ATM wall design in Grey and white with 40mm commercial ply and laminate in high gloss finish and Rehau make edge banding as per approve design. Rs.7000 for one ATM and Rs.5000 for every additional machines. Quantity not to exceed 1 no. per site.</t>
        </is>
      </c>
      <c r="F8" s="4" t="inlineStr">
        <is>
          <t>Samrat</t>
        </is>
      </c>
      <c r="G8" s="5" t="inlineStr">
        <is>
          <t>Nos</t>
        </is>
      </c>
      <c r="H8" s="5" t="n">
        <v>7000</v>
      </c>
      <c r="I8" s="5" t="n">
        <v>1</v>
      </c>
      <c r="J8" s="5" t="n">
        <v>7000</v>
      </c>
      <c r="K8" s="5" t="n">
        <v>7000</v>
      </c>
      <c r="L8" s="91">
        <f>'Measurement Sheet'!J35</f>
        <v/>
      </c>
      <c r="M8" s="91" t="n"/>
      <c r="N8" s="5">
        <f>K8*L8</f>
        <v/>
      </c>
      <c r="O8" s="5" t="n"/>
      <c r="P8" s="90">
        <f>L8-I8</f>
        <v/>
      </c>
      <c r="Q8" s="90">
        <f>N8-J8</f>
        <v/>
      </c>
      <c r="R8" s="88">
        <f>IF(N8&gt;J8,(N8-J8),0)</f>
        <v/>
      </c>
      <c r="S8" s="88">
        <f>IF(N8&lt;J8,(N8-J8),0)</f>
        <v/>
      </c>
      <c r="T8" s="88">
        <f>S8+R8</f>
        <v/>
      </c>
      <c r="U8" s="88" t="n"/>
      <c r="V8" s="88" t="n"/>
      <c r="W8" s="88" t="n"/>
    </row>
    <row r="9" hidden="1" ht="41.4" customHeight="1" s="153">
      <c r="A9" s="4" t="inlineStr">
        <is>
          <t>Main BOQ</t>
        </is>
      </c>
      <c r="B9" s="4" t="inlineStr">
        <is>
          <t>Carpentry Work</t>
        </is>
      </c>
      <c r="C9" s="4" t="inlineStr">
        <is>
          <t>PARTITIONS AND PANELLING</t>
        </is>
      </c>
      <c r="D9" s="4" t="inlineStr">
        <is>
          <t>ATM Backdrop for additional machines</t>
        </is>
      </c>
      <c r="E9" s="4" t="inlineStr">
        <is>
          <t>ATM wall design in Grey and white with 40mm commercial ply and laminate in high gloss finish and Rehau make edge banding as per approve design, for every additional machines</t>
        </is>
      </c>
      <c r="F9" s="4" t="inlineStr">
        <is>
          <t>Samrat</t>
        </is>
      </c>
      <c r="G9" s="5" t="inlineStr">
        <is>
          <t>Nos</t>
        </is>
      </c>
      <c r="H9" s="5" t="n">
        <v>5000</v>
      </c>
      <c r="I9" s="5" t="n">
        <v>1</v>
      </c>
      <c r="J9" s="5" t="n">
        <v>5000</v>
      </c>
      <c r="K9" s="5" t="n">
        <v>5000</v>
      </c>
      <c r="L9" s="91">
        <f>'Measurement Sheet'!J41</f>
        <v/>
      </c>
      <c r="M9" s="91" t="n"/>
      <c r="N9" s="5">
        <f>K9*L9</f>
        <v/>
      </c>
      <c r="O9" s="5" t="n"/>
      <c r="P9" s="90">
        <f>L9-I9</f>
        <v/>
      </c>
      <c r="Q9" s="90">
        <f>N9-J9</f>
        <v/>
      </c>
      <c r="R9" s="88">
        <f>IF(N9&gt;J9,(N9-J9),0)</f>
        <v/>
      </c>
      <c r="S9" s="88">
        <f>IF(N9&lt;J9,(N9-J9),0)</f>
        <v/>
      </c>
      <c r="T9" s="88">
        <f>S9+R9</f>
        <v/>
      </c>
      <c r="U9" s="88" t="n"/>
      <c r="V9" s="88" t="n"/>
      <c r="W9" s="88" t="n"/>
    </row>
    <row r="10" hidden="1" ht="27.6" customHeight="1" s="153">
      <c r="A10" s="4" t="inlineStr">
        <is>
          <t>Main BOQ</t>
        </is>
      </c>
      <c r="B10" s="4" t="inlineStr">
        <is>
          <t>Electrical Works</t>
        </is>
      </c>
      <c r="C10" s="4" t="inlineStr">
        <is>
          <t>Other Electricals</t>
        </is>
      </c>
      <c r="D10" s="4" t="inlineStr">
        <is>
          <t>Wall Mounted Fan</t>
        </is>
      </c>
      <c r="E10" s="4" t="inlineStr">
        <is>
          <t>Providing and fixing wall mounted metal FAN 18 inch make orient, havells and almourd.orient, havells and almounard</t>
        </is>
      </c>
      <c r="F10" s="4" t="inlineStr">
        <is>
          <t>Almourd</t>
        </is>
      </c>
      <c r="G10" s="5" t="inlineStr">
        <is>
          <t>nos</t>
        </is>
      </c>
      <c r="H10" s="5" t="n">
        <v>4500</v>
      </c>
      <c r="I10" s="5" t="n">
        <v>2</v>
      </c>
      <c r="J10" s="5" t="n">
        <v>9000</v>
      </c>
      <c r="K10" s="5" t="n">
        <v>4500</v>
      </c>
      <c r="L10" s="91">
        <f>'Measurement Sheet'!J49</f>
        <v/>
      </c>
      <c r="M10" s="91" t="n"/>
      <c r="N10" s="5">
        <f>K10*L10</f>
        <v/>
      </c>
      <c r="O10" s="5" t="n"/>
      <c r="P10" s="90">
        <f>L10-I10</f>
        <v/>
      </c>
      <c r="Q10" s="90">
        <f>N10-J10</f>
        <v/>
      </c>
      <c r="R10" s="88">
        <f>IF(N10&gt;J10,(N10-J10),0)</f>
        <v/>
      </c>
      <c r="S10" s="88">
        <f>IF(N10&lt;J10,(N10-J10),0)</f>
        <v/>
      </c>
      <c r="T10" s="88">
        <f>S10+R10</f>
        <v/>
      </c>
      <c r="U10" s="88" t="n"/>
      <c r="V10" s="88" t="n"/>
      <c r="W10" s="88" t="n"/>
    </row>
    <row r="11" hidden="1" ht="27.6" customHeight="1" s="153">
      <c r="A11" s="4" t="inlineStr">
        <is>
          <t>Main BOQ</t>
        </is>
      </c>
      <c r="B11" s="4" t="inlineStr">
        <is>
          <t>Carpentry Work</t>
        </is>
      </c>
      <c r="C11" s="4" t="inlineStr">
        <is>
          <t>MISCELLANEOUS</t>
        </is>
      </c>
      <c r="D11" s="4" t="inlineStr">
        <is>
          <t>Aluminium Foldable Ladder</t>
        </is>
      </c>
      <c r="E11" s="4" t="inlineStr">
        <is>
          <t>8 feet aluminium foladable Ladder As per sample approved . As per approved make</t>
        </is>
      </c>
      <c r="F11" s="4" t="inlineStr">
        <is>
          <t>NA</t>
        </is>
      </c>
      <c r="G11" s="5" t="inlineStr">
        <is>
          <t>nos</t>
        </is>
      </c>
      <c r="H11" s="5" t="n">
        <v>7500</v>
      </c>
      <c r="I11" s="5" t="n">
        <v>1</v>
      </c>
      <c r="J11" s="5" t="n">
        <v>7500</v>
      </c>
      <c r="K11" s="5" t="n">
        <v>7500</v>
      </c>
      <c r="L11" s="91">
        <f>'Measurement Sheet'!J55</f>
        <v/>
      </c>
      <c r="M11" s="91" t="n"/>
      <c r="N11" s="5">
        <f>K11*L11</f>
        <v/>
      </c>
      <c r="O11" s="5" t="n"/>
      <c r="P11" s="90">
        <f>L11-I11</f>
        <v/>
      </c>
      <c r="Q11" s="90">
        <f>N11-J11</f>
        <v/>
      </c>
      <c r="R11" s="88">
        <f>IF(N11&gt;J11,(N11-J11),0)</f>
        <v/>
      </c>
      <c r="S11" s="88">
        <f>IF(N11&lt;J11,(N11-J11),0)</f>
        <v/>
      </c>
      <c r="T11" s="88">
        <f>S11+R11</f>
        <v/>
      </c>
      <c r="U11" s="88" t="n"/>
      <c r="V11" s="88" t="n"/>
      <c r="W11" s="88" t="n"/>
    </row>
    <row r="12" hidden="1" ht="27.6" customHeight="1" s="153">
      <c r="A12" s="4" t="inlineStr">
        <is>
          <t>Main BOQ</t>
        </is>
      </c>
      <c r="B12" s="4" t="inlineStr">
        <is>
          <t>Carpentry Work</t>
        </is>
      </c>
      <c r="C12" s="4" t="inlineStr">
        <is>
          <t>MISCELLANEOUS</t>
        </is>
      </c>
      <c r="D12" s="4" t="inlineStr">
        <is>
          <t>FLOWER POT</t>
        </is>
      </c>
      <c r="E12" s="4" t="inlineStr">
        <is>
          <t>Providing and fixing of Clay Flower pot 12 to 20 for branch lobby area with neceessary accessories, including IGBC approved indoor plant.</t>
        </is>
      </c>
      <c r="F12" s="4" t="inlineStr">
        <is>
          <t>NA</t>
        </is>
      </c>
      <c r="G12" s="5" t="inlineStr">
        <is>
          <t>No</t>
        </is>
      </c>
      <c r="H12" s="5" t="n">
        <v>1000</v>
      </c>
      <c r="I12" s="5" t="n">
        <v>5</v>
      </c>
      <c r="J12" s="5" t="n">
        <v>5000</v>
      </c>
      <c r="K12" s="5" t="n">
        <v>1000</v>
      </c>
      <c r="L12" s="91">
        <f>'Measurement Sheet'!J61</f>
        <v/>
      </c>
      <c r="M12" s="91" t="n"/>
      <c r="N12" s="5">
        <f>K12*L12</f>
        <v/>
      </c>
      <c r="O12" s="5" t="n"/>
      <c r="P12" s="90">
        <f>L12-I12</f>
        <v/>
      </c>
      <c r="Q12" s="90">
        <f>N12-J12</f>
        <v/>
      </c>
      <c r="R12" s="88">
        <f>IF(N12&gt;J12,(N12-J12),0)</f>
        <v/>
      </c>
      <c r="S12" s="88">
        <f>IF(N12&lt;J12,(N12-J12),0)</f>
        <v/>
      </c>
      <c r="T12" s="88">
        <f>S12+R12</f>
        <v/>
      </c>
      <c r="U12" s="88" t="n"/>
      <c r="V12" s="88" t="n"/>
      <c r="W12" s="88" t="n"/>
    </row>
    <row r="13" ht="66" customHeight="1" s="153">
      <c r="A13" s="4" t="inlineStr">
        <is>
          <t>Main BOQ</t>
        </is>
      </c>
      <c r="B13" s="4" t="inlineStr">
        <is>
          <t>Carpentry Work</t>
        </is>
      </c>
      <c r="C13" s="4" t="inlineStr">
        <is>
          <t>MISCELLANEOUS</t>
        </is>
      </c>
      <c r="D13" s="4" t="inlineStr">
        <is>
          <t>Lacqured Glass new</t>
        </is>
      </c>
      <c r="E13" s="4" t="inlineStr">
        <is>
          <t>Providing and fixing Lacqured glass in Fusion Orange colour for Theme wall. Make - Saint Gobain, Asahi</t>
        </is>
      </c>
      <c r="F13" s="109" t="inlineStr">
        <is>
          <t>Saint Gobain 
(10mm Thick Glass)</t>
        </is>
      </c>
      <c r="G13" s="5" t="inlineStr">
        <is>
          <t>sqft</t>
        </is>
      </c>
      <c r="H13" s="5" t="n">
        <v>525</v>
      </c>
      <c r="I13" s="5" t="n">
        <v>56</v>
      </c>
      <c r="J13" s="5" t="n">
        <v>29400</v>
      </c>
      <c r="K13" s="5" t="n">
        <v>525</v>
      </c>
      <c r="L13" s="91">
        <f>'Measurement Sheet'!J69</f>
        <v/>
      </c>
      <c r="M13" s="91" t="n"/>
      <c r="N13" s="5">
        <f>K13*L13</f>
        <v/>
      </c>
      <c r="O13" s="5" t="n"/>
      <c r="P13" s="90">
        <f>L13-I13</f>
        <v/>
      </c>
      <c r="Q13" s="90">
        <f>N13-J13</f>
        <v/>
      </c>
      <c r="R13" s="88">
        <f>IF(N13&gt;J13,(N13-J13),0)</f>
        <v/>
      </c>
      <c r="S13" s="88">
        <f>IF(N13&lt;J13,(N13-J13),0)</f>
        <v/>
      </c>
      <c r="T13" s="88">
        <f>S13+R13</f>
        <v/>
      </c>
      <c r="U13" s="88" t="n"/>
      <c r="V13" s="100" t="inlineStr">
        <is>
          <t>Quantity Exceeded from the Work order project Manager Approval Required</t>
        </is>
      </c>
      <c r="W13" s="88" t="n"/>
    </row>
    <row r="14" hidden="1" ht="27.6" customHeight="1" s="153">
      <c r="A14" s="4" t="inlineStr">
        <is>
          <t>Main BOQ</t>
        </is>
      </c>
      <c r="B14" s="4" t="inlineStr">
        <is>
          <t>Carpentry Work</t>
        </is>
      </c>
      <c r="C14" s="4" t="inlineStr">
        <is>
          <t>MISCELLANEOUS</t>
        </is>
      </c>
      <c r="D14" s="4" t="inlineStr">
        <is>
          <t>IGBC planters</t>
        </is>
      </c>
      <c r="E14" s="4" t="inlineStr">
        <is>
          <t>Plant as per IGBC list, 2 feet height of plant, 10 inch height plastic pot with plastic tray</t>
        </is>
      </c>
      <c r="F14" s="4" t="inlineStr">
        <is>
          <t>NA</t>
        </is>
      </c>
      <c r="G14" s="5" t="inlineStr">
        <is>
          <t>Each</t>
        </is>
      </c>
      <c r="H14" s="5" t="n">
        <v>500</v>
      </c>
      <c r="I14" s="5" t="n">
        <v>13</v>
      </c>
      <c r="J14" s="5" t="n">
        <v>6500</v>
      </c>
      <c r="K14" s="5" t="n">
        <v>500</v>
      </c>
      <c r="L14" s="91">
        <f>'Measurement Sheet'!J75</f>
        <v/>
      </c>
      <c r="M14" s="91" t="n"/>
      <c r="N14" s="5">
        <f>K14*L14</f>
        <v/>
      </c>
      <c r="O14" s="5" t="n"/>
      <c r="P14" s="90">
        <f>L14-I14</f>
        <v/>
      </c>
      <c r="Q14" s="90">
        <f>N14-J14</f>
        <v/>
      </c>
      <c r="R14" s="88">
        <f>IF(N14&gt;J14,(N14-J14),0)</f>
        <v/>
      </c>
      <c r="S14" s="88">
        <f>IF(N14&lt;J14,(N14-J14),0)</f>
        <v/>
      </c>
      <c r="T14" s="88">
        <f>S14+R14</f>
        <v/>
      </c>
      <c r="U14" s="88" t="n"/>
      <c r="V14" s="88" t="n"/>
      <c r="W14" s="88" t="n"/>
    </row>
    <row r="15" ht="55.2" customHeight="1" s="153">
      <c r="A15" s="4" t="inlineStr">
        <is>
          <t>Main BOQ</t>
        </is>
      </c>
      <c r="B15" s="4" t="inlineStr">
        <is>
          <t>Electrical Works</t>
        </is>
      </c>
      <c r="C15" s="4" t="inlineStr">
        <is>
          <t>Other Electricals</t>
        </is>
      </c>
      <c r="D15" s="4" t="inlineStr">
        <is>
          <t>Electricals as per Electrical Annexure 1 attached with this BOQ</t>
        </is>
      </c>
      <c r="E15" s="4" t="inlineStr">
        <is>
          <t>Electrical work inclusive of power points, light points,
A.C. cabling and distribution boards, fire detection and provision of conduits for networking, LED, raceway. BEE rated items for green certification</t>
        </is>
      </c>
      <c r="F15" s="4" t="inlineStr">
        <is>
          <t>NA</t>
        </is>
      </c>
      <c r="G15" s="5" t="inlineStr">
        <is>
          <t>Sft</t>
        </is>
      </c>
      <c r="H15" s="5" t="n">
        <v>310</v>
      </c>
      <c r="I15" s="5" t="n">
        <v>1266</v>
      </c>
      <c r="J15" s="5" t="n">
        <v>392460</v>
      </c>
      <c r="K15" s="5" t="n">
        <v>310</v>
      </c>
      <c r="L15" s="91">
        <f>'Measurement Sheet'!J81</f>
        <v/>
      </c>
      <c r="M15" s="91" t="n"/>
      <c r="N15" s="5">
        <f>K15*L15</f>
        <v/>
      </c>
      <c r="O15" s="5" t="n"/>
      <c r="P15" s="90">
        <f>L15-I15</f>
        <v/>
      </c>
      <c r="Q15" s="90">
        <f>N15-J15</f>
        <v/>
      </c>
      <c r="R15" s="88">
        <f>IF(N15&gt;J15,(N15-J15),0)</f>
        <v/>
      </c>
      <c r="S15" s="88">
        <f>IF(N15&lt;J15,(N15-J15),0)</f>
        <v/>
      </c>
      <c r="T15" s="88">
        <f>S15+R15</f>
        <v/>
      </c>
      <c r="U15" s="88" t="n"/>
      <c r="V15" s="88" t="n"/>
      <c r="W15" s="88" t="n"/>
    </row>
    <row r="16" hidden="1" ht="110.4" customHeight="1" s="153">
      <c r="A16" s="4" t="inlineStr">
        <is>
          <t>Main BOQ</t>
        </is>
      </c>
      <c r="B16" s="4" t="inlineStr">
        <is>
          <t>CIVIL WORKS</t>
        </is>
      </c>
      <c r="C16" s="4" t="inlineStr">
        <is>
          <t>PLUMBING WORKS AND SANITARY FITTINGS</t>
        </is>
      </c>
      <c r="D16" s="4" t="inlineStr">
        <is>
          <t>Internal CPVC Plumbing work. [ Toilets and Pantry ]</t>
        </is>
      </c>
      <c r="E16" s="4"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F16" s="4" t="inlineStr">
        <is>
          <t>Prince</t>
        </is>
      </c>
      <c r="G16" s="5" t="inlineStr">
        <is>
          <t>Lsum</t>
        </is>
      </c>
      <c r="H16" s="5" t="n">
        <v>5000</v>
      </c>
      <c r="I16" s="5" t="n">
        <v>3</v>
      </c>
      <c r="J16" s="5" t="n">
        <v>15000</v>
      </c>
      <c r="K16" s="5" t="n">
        <v>5000</v>
      </c>
      <c r="L16" s="91">
        <f>'Measurement Sheet'!J91</f>
        <v/>
      </c>
      <c r="M16" s="91" t="n"/>
      <c r="N16" s="5">
        <f>K16*L16</f>
        <v/>
      </c>
      <c r="O16" s="5" t="n"/>
      <c r="P16" s="90">
        <f>L16-I16</f>
        <v/>
      </c>
      <c r="Q16" s="90">
        <f>N16-J16</f>
        <v/>
      </c>
      <c r="R16" s="88">
        <f>IF(N16&gt;J16,(N16-J16),0)</f>
        <v/>
      </c>
      <c r="S16" s="88">
        <f>IF(N16&lt;J16,(N16-J16),0)</f>
        <v/>
      </c>
      <c r="T16" s="88">
        <f>S16+R16</f>
        <v/>
      </c>
      <c r="U16" s="88" t="n"/>
      <c r="V16" s="88" t="n"/>
      <c r="W16" s="88" t="n"/>
    </row>
    <row r="17" ht="110.4" customHeight="1" s="153">
      <c r="A17" s="4" t="inlineStr">
        <is>
          <t>Main BOQ</t>
        </is>
      </c>
      <c r="B17" s="4" t="inlineStr">
        <is>
          <t>CIVIL WORKS</t>
        </is>
      </c>
      <c r="C17" s="4" t="inlineStr">
        <is>
          <t>FLOORING AND DADO</t>
        </is>
      </c>
      <c r="D17" s="4" t="inlineStr">
        <is>
          <t>Water-proofing of toilet sunk and Pantry</t>
        </is>
      </c>
      <c r="E17" s="4" t="inlineStr">
        <is>
          <t>WATER PROOFING IN TOILETS FLOOR &amp;WALLS UPTO 2ft Ht : PROVIDING OF WATER PROOFING
-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F17" s="4" t="inlineStr">
        <is>
          <t>Dr Fixit</t>
        </is>
      </c>
      <c r="G17" s="5" t="inlineStr">
        <is>
          <t>Sft</t>
        </is>
      </c>
      <c r="H17" s="5" t="n">
        <v>65</v>
      </c>
      <c r="I17" s="5" t="n">
        <v>259</v>
      </c>
      <c r="J17" s="5" t="n">
        <v>16835</v>
      </c>
      <c r="K17" s="5" t="n">
        <v>65</v>
      </c>
      <c r="L17" s="91">
        <f>'Measurement Sheet'!J123</f>
        <v/>
      </c>
      <c r="M17" s="91" t="n"/>
      <c r="N17" s="5">
        <f>K17*L17</f>
        <v/>
      </c>
      <c r="O17" s="5" t="n"/>
      <c r="P17" s="90">
        <f>L17-I17</f>
        <v/>
      </c>
      <c r="Q17" s="90">
        <f>N17-J17</f>
        <v/>
      </c>
      <c r="R17" s="88">
        <f>IF(N17&gt;J17,(N17-J17),0)</f>
        <v/>
      </c>
      <c r="S17" s="88">
        <f>IF(N17&lt;J17,(N17-J17),0)</f>
        <v/>
      </c>
      <c r="T17" s="88">
        <f>S17+R17</f>
        <v/>
      </c>
      <c r="U17" s="88" t="n"/>
      <c r="V17" s="88" t="n"/>
      <c r="W17" s="88" t="n"/>
    </row>
    <row r="18" ht="110.4" customHeight="1" s="153">
      <c r="A18" s="4" t="inlineStr">
        <is>
          <t>Main BOQ</t>
        </is>
      </c>
      <c r="B18" s="4" t="inlineStr">
        <is>
          <t>CIVIL WORKS</t>
        </is>
      </c>
      <c r="C18" s="4" t="inlineStr">
        <is>
          <t>FLOORING AND DADO</t>
        </is>
      </c>
      <c r="D18" s="126" t="inlineStr">
        <is>
          <t>Brick Bat Coba in Toilet Area</t>
        </is>
      </c>
      <c r="E18"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F18" s="4" t="inlineStr">
        <is>
          <t>NA</t>
        </is>
      </c>
      <c r="G18" s="5" t="inlineStr">
        <is>
          <t>Sft</t>
        </is>
      </c>
      <c r="H18" s="5" t="n">
        <v>75</v>
      </c>
      <c r="I18" s="5" t="n">
        <v>77</v>
      </c>
      <c r="J18" s="5" t="n">
        <v>5775</v>
      </c>
      <c r="K18" s="5" t="n">
        <v>75</v>
      </c>
      <c r="L18" s="91">
        <f>'Measurement Sheet'!J138</f>
        <v/>
      </c>
      <c r="M18" s="91" t="n"/>
      <c r="N18" s="5">
        <f>K18*L18</f>
        <v/>
      </c>
      <c r="O18" s="5" t="n"/>
      <c r="P18" s="90">
        <f>L18-I18</f>
        <v/>
      </c>
      <c r="Q18" s="90">
        <f>N18-J18</f>
        <v/>
      </c>
      <c r="R18" s="88">
        <f>IF(N18&gt;J18,(N18-J18),0)</f>
        <v/>
      </c>
      <c r="S18" s="88">
        <f>IF(N18&lt;J18,(N18-J18),0)</f>
        <v/>
      </c>
      <c r="T18" s="88">
        <f>S18+R18</f>
        <v/>
      </c>
      <c r="U18" s="88" t="n"/>
      <c r="V18" s="100" t="inlineStr">
        <is>
          <t>Quantity Exceeded from the Work order project Manager Approval Required</t>
        </is>
      </c>
      <c r="W18" s="88" t="n"/>
    </row>
    <row r="19" ht="55.2" customHeight="1" s="153">
      <c r="A19" s="4" t="inlineStr">
        <is>
          <t>Main BOQ</t>
        </is>
      </c>
      <c r="B19" s="4" t="inlineStr">
        <is>
          <t>Carpentry Work</t>
        </is>
      </c>
      <c r="C19" s="4" t="inlineStr">
        <is>
          <t>DOORS AND WINDOWS</t>
        </is>
      </c>
      <c r="D19" s="126" t="inlineStr">
        <is>
          <t>Door frame in Ply</t>
        </is>
      </c>
      <c r="E19" s="4" t="inlineStr">
        <is>
          <t>Providing and fixing door frames made out of 18mm double Ply finished with laminate of approved shade. frame section of size Approx upto 150mm x 36mm including providing necessary anchor hold fasts, cutouts as per engineer - in charge.</t>
        </is>
      </c>
      <c r="F19" s="4" t="inlineStr">
        <is>
          <t>Samrat</t>
        </is>
      </c>
      <c r="G19" s="5" t="inlineStr">
        <is>
          <t>rft</t>
        </is>
      </c>
      <c r="H19" s="5" t="n">
        <v>160</v>
      </c>
      <c r="I19" s="5" t="n">
        <v>100</v>
      </c>
      <c r="J19" s="5" t="n">
        <v>16000</v>
      </c>
      <c r="K19" s="5" t="n">
        <v>160</v>
      </c>
      <c r="L19" s="91">
        <f>'Measurement Sheet'!J144</f>
        <v/>
      </c>
      <c r="M19" s="91" t="n"/>
      <c r="N19" s="5">
        <f>K19*L19</f>
        <v/>
      </c>
      <c r="O19" s="5" t="n"/>
      <c r="P19" s="90">
        <f>L19-I19</f>
        <v/>
      </c>
      <c r="Q19" s="90">
        <f>N19-J19</f>
        <v/>
      </c>
      <c r="R19" s="88">
        <f>IF(N19&gt;J19,(N19-J19),0)</f>
        <v/>
      </c>
      <c r="S19" s="88">
        <f>IF(N19&lt;J19,(N19-J19),0)</f>
        <v/>
      </c>
      <c r="T19" s="88">
        <f>S19+R19</f>
        <v/>
      </c>
      <c r="U19" s="88" t="n"/>
      <c r="V19" s="88" t="n"/>
      <c r="W19" s="88" t="n"/>
    </row>
    <row r="20" ht="82.8" customHeight="1" s="153">
      <c r="A20" s="4" t="inlineStr">
        <is>
          <t>Main BOQ</t>
        </is>
      </c>
      <c r="B20" s="4" t="inlineStr">
        <is>
          <t>Carpentry Work</t>
        </is>
      </c>
      <c r="C20" s="4" t="inlineStr">
        <is>
          <t>DOORS AND WINDOWS</t>
        </is>
      </c>
      <c r="D20" s="4" t="inlineStr">
        <is>
          <t>Fixed Glazing</t>
        </is>
      </c>
      <c r="E20"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F20" s="109" t="inlineStr">
        <is>
          <t>Saint Gobain 
(10mm Thick Glass)</t>
        </is>
      </c>
      <c r="G20" s="5" t="inlineStr">
        <is>
          <t>sft</t>
        </is>
      </c>
      <c r="H20" s="5" t="n">
        <v>450</v>
      </c>
      <c r="I20" s="5" t="n">
        <v>469</v>
      </c>
      <c r="J20" s="5" t="n">
        <v>211050</v>
      </c>
      <c r="K20" s="5" t="n">
        <v>450</v>
      </c>
      <c r="L20" s="91">
        <f>'Measurement Sheet'!J165</f>
        <v/>
      </c>
      <c r="M20" s="91" t="n"/>
      <c r="N20" s="5">
        <f>K20*L20</f>
        <v/>
      </c>
      <c r="O20" s="5" t="n"/>
      <c r="P20" s="90">
        <f>L20-I20</f>
        <v/>
      </c>
      <c r="Q20" s="90">
        <f>N20-J20</f>
        <v/>
      </c>
      <c r="R20" s="88">
        <f>IF(N20&gt;J20,(N20-J20),0)</f>
        <v/>
      </c>
      <c r="S20" s="88">
        <f>IF(N20&lt;J20,(N20-J20),0)</f>
        <v/>
      </c>
      <c r="T20" s="88">
        <f>S20+R20</f>
        <v/>
      </c>
      <c r="U20" s="88" t="n"/>
      <c r="V20" s="100" t="inlineStr">
        <is>
          <t>Quantity Exceeded from the Work order project Manager Approval Required</t>
        </is>
      </c>
      <c r="W20" s="88" t="n"/>
    </row>
    <row r="21" hidden="1" ht="69" customHeight="1" s="153">
      <c r="A21" s="4" t="inlineStr">
        <is>
          <t>Main BOQ</t>
        </is>
      </c>
      <c r="B21" s="4" t="inlineStr">
        <is>
          <t>Carpentry Work</t>
        </is>
      </c>
      <c r="C21" s="4" t="inlineStr">
        <is>
          <t>DOORS AND WINDOWS</t>
        </is>
      </c>
      <c r="D21" s="4" t="inlineStr">
        <is>
          <t>Cabin and Other doors
_Fully Glazed</t>
        </is>
      </c>
      <c r="E21" s="4"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F21" s="109" t="inlineStr">
        <is>
          <t>Saint Gobain 
(10mm Thick Glass)</t>
        </is>
      </c>
      <c r="G21" s="5" t="inlineStr">
        <is>
          <t>nos</t>
        </is>
      </c>
      <c r="H21" s="5" t="n">
        <v>23500</v>
      </c>
      <c r="I21" s="5" t="n">
        <v>3</v>
      </c>
      <c r="J21" s="5" t="n">
        <v>70500</v>
      </c>
      <c r="K21" s="5" t="n">
        <v>23500</v>
      </c>
      <c r="L21" s="91">
        <f>'Measurement Sheet'!J175</f>
        <v/>
      </c>
      <c r="M21" s="91" t="n"/>
      <c r="N21" s="5">
        <f>K21*L21</f>
        <v/>
      </c>
      <c r="O21" s="5" t="n"/>
      <c r="P21" s="90">
        <f>L21-I21</f>
        <v/>
      </c>
      <c r="Q21" s="90">
        <f>N21-J21</f>
        <v/>
      </c>
      <c r="R21" s="88">
        <f>IF(N21&gt;J21,(N21-J21),0)</f>
        <v/>
      </c>
      <c r="S21" s="88">
        <f>IF(N21&lt;J21,(N21-J21),0)</f>
        <v/>
      </c>
      <c r="T21" s="88">
        <f>S21+R21</f>
        <v/>
      </c>
      <c r="U21" s="88" t="n"/>
      <c r="V21" s="88" t="n"/>
      <c r="W21" s="88" t="n"/>
    </row>
    <row r="22" hidden="1" ht="96.59999999999999" customHeight="1" s="153">
      <c r="A22" s="4" t="inlineStr">
        <is>
          <t>Main BOQ</t>
        </is>
      </c>
      <c r="B22" s="4" t="inlineStr">
        <is>
          <t>Carpentry Work</t>
        </is>
      </c>
      <c r="C22" s="4" t="inlineStr">
        <is>
          <t>DOORS AND WINDOWS</t>
        </is>
      </c>
      <c r="D22" s="4" t="inlineStr">
        <is>
          <t>Main Entrance doors for Branch and ATM</t>
        </is>
      </c>
      <c r="E22"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F22" s="109" t="inlineStr">
        <is>
          <t>Saint Gobain 
(10mm Thick Glass)</t>
        </is>
      </c>
      <c r="G22" s="5" t="inlineStr">
        <is>
          <t>nos</t>
        </is>
      </c>
      <c r="H22" s="5" t="n">
        <v>28500</v>
      </c>
      <c r="I22" s="5" t="n">
        <v>1</v>
      </c>
      <c r="J22" s="5" t="n">
        <v>28500</v>
      </c>
      <c r="K22" s="5" t="n">
        <v>28500</v>
      </c>
      <c r="L22" s="91">
        <f>'Measurement Sheet'!J183</f>
        <v/>
      </c>
      <c r="M22" s="91" t="n"/>
      <c r="N22" s="5">
        <f>K22*L22</f>
        <v/>
      </c>
      <c r="O22" s="5" t="n"/>
      <c r="P22" s="90">
        <f>L22-I22</f>
        <v/>
      </c>
      <c r="Q22" s="90">
        <f>N22-J22</f>
        <v/>
      </c>
      <c r="R22" s="88">
        <f>IF(N22&gt;J22,(N22-J22),0)</f>
        <v/>
      </c>
      <c r="S22" s="88">
        <f>IF(N22&lt;J22,(N22-J22),0)</f>
        <v/>
      </c>
      <c r="T22" s="88">
        <f>S22+R22</f>
        <v/>
      </c>
      <c r="U22" s="88" t="n"/>
      <c r="V22" s="100" t="inlineStr">
        <is>
          <t>Quantity Exceeded from the Work order project Manager Approval Required</t>
        </is>
      </c>
      <c r="W22" s="88" t="n"/>
    </row>
    <row r="23" ht="124.2" customHeight="1" s="153">
      <c r="A23" s="4" t="inlineStr">
        <is>
          <t>Non-Interior Work</t>
        </is>
      </c>
      <c r="B23" s="4" t="inlineStr">
        <is>
          <t>Non-Interior Works</t>
        </is>
      </c>
      <c r="C23" s="4" t="inlineStr">
        <is>
          <t>DISMANTLING AND DEMOLITION</t>
        </is>
      </c>
      <c r="D23" s="4" t="inlineStr">
        <is>
          <t>Pest-Control and Anti Termite Treatment</t>
        </is>
      </c>
      <c r="E23" s="4"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F23" s="4" t="inlineStr">
        <is>
          <t>Hytech</t>
        </is>
      </c>
      <c r="G23" s="5" t="inlineStr">
        <is>
          <t>Sqf</t>
        </is>
      </c>
      <c r="H23" s="5" t="n">
        <v>10</v>
      </c>
      <c r="I23" s="5" t="n">
        <v>1151</v>
      </c>
      <c r="J23" s="5" t="n">
        <v>11510</v>
      </c>
      <c r="K23" s="5" t="n">
        <v>10</v>
      </c>
      <c r="L23" s="91">
        <f>'Measurement Sheet'!J189</f>
        <v/>
      </c>
      <c r="M23" s="91" t="n"/>
      <c r="N23" s="5">
        <f>K23*L23</f>
        <v/>
      </c>
      <c r="O23" s="5" t="n"/>
      <c r="P23" s="90">
        <f>L23-I23</f>
        <v/>
      </c>
      <c r="Q23" s="90">
        <f>N23-J23</f>
        <v/>
      </c>
      <c r="R23" s="88">
        <f>IF(N23&gt;J23,(N23-J23),0)</f>
        <v/>
      </c>
      <c r="S23" s="88">
        <f>IF(N23&lt;J23,(N23-J23),0)</f>
        <v/>
      </c>
      <c r="T23" s="88">
        <f>S23+R23</f>
        <v/>
      </c>
      <c r="U23" s="88" t="n"/>
      <c r="V23" s="88" t="n"/>
      <c r="W23" s="88" t="n"/>
    </row>
    <row r="24" ht="41.4" customHeight="1" s="153">
      <c r="A24" s="4" t="inlineStr">
        <is>
          <t>Non-Interior Work</t>
        </is>
      </c>
      <c r="B24" s="4" t="inlineStr">
        <is>
          <t>Non-Interior Works</t>
        </is>
      </c>
      <c r="C24" s="4" t="inlineStr">
        <is>
          <t>DISMANTLING AND DEMOLITION</t>
        </is>
      </c>
      <c r="D24" s="4" t="inlineStr">
        <is>
          <t>Existing wall</t>
        </is>
      </c>
      <c r="E24" s="4" t="inlineStr">
        <is>
          <t>Dismantling of any existing 6inch &amp;9inch walls with removal of lintels , chajjas, slabs if any , etc with necessary tools and tackels and carrying the debris away from site as per engineer- incharge instruction.</t>
        </is>
      </c>
      <c r="F24" s="4" t="inlineStr">
        <is>
          <t>NA</t>
        </is>
      </c>
      <c r="G24" s="5" t="inlineStr">
        <is>
          <t>Sft</t>
        </is>
      </c>
      <c r="H24" s="5" t="n">
        <v>10</v>
      </c>
      <c r="I24" s="5" t="n">
        <v>601</v>
      </c>
      <c r="J24" s="5" t="n">
        <v>6010</v>
      </c>
      <c r="K24" s="5" t="n">
        <v>10</v>
      </c>
      <c r="L24" s="91">
        <f>'Measurement Sheet'!J195</f>
        <v/>
      </c>
      <c r="M24" s="91" t="n"/>
      <c r="N24" s="5">
        <f>K24*L24</f>
        <v/>
      </c>
      <c r="O24" s="5" t="n"/>
      <c r="P24" s="90">
        <f>L24-I24</f>
        <v/>
      </c>
      <c r="Q24" s="90">
        <f>N24-J24</f>
        <v/>
      </c>
      <c r="R24" s="88">
        <f>IF(N24&gt;J24,(N24-J24),0)</f>
        <v/>
      </c>
      <c r="S24" s="88">
        <f>IF(N24&lt;J24,(N24-J24),0)</f>
        <v/>
      </c>
      <c r="T24" s="88">
        <f>S24+R24</f>
        <v/>
      </c>
      <c r="U24" s="88" t="n"/>
      <c r="V24" s="88" t="n"/>
      <c r="W24" s="88" t="n"/>
    </row>
    <row r="25" hidden="1" ht="96.59999999999999" customHeight="1" s="153">
      <c r="A25" s="4" t="inlineStr">
        <is>
          <t>Non-Interior Work</t>
        </is>
      </c>
      <c r="B25" s="4" t="inlineStr">
        <is>
          <t>Non-Interior Works</t>
        </is>
      </c>
      <c r="C25" s="4" t="inlineStr">
        <is>
          <t>DISMANTLING AND DEMOLITION</t>
        </is>
      </c>
      <c r="D25" s="4" t="inlineStr">
        <is>
          <t>Debris Disposal</t>
        </is>
      </c>
      <c r="E25" s="4"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F25" s="4" t="inlineStr">
        <is>
          <t>NA</t>
        </is>
      </c>
      <c r="G25" s="5" t="inlineStr">
        <is>
          <t>Truck</t>
        </is>
      </c>
      <c r="H25" s="5" t="n">
        <v>4000</v>
      </c>
      <c r="I25" s="5" t="n">
        <v>12</v>
      </c>
      <c r="J25" s="5" t="n">
        <v>48000</v>
      </c>
      <c r="K25" s="5" t="n">
        <v>4000</v>
      </c>
      <c r="L25" s="91">
        <f>'Measurement Sheet'!J201</f>
        <v/>
      </c>
      <c r="M25" s="91" t="n"/>
      <c r="N25" s="5">
        <f>K25*L25</f>
        <v/>
      </c>
      <c r="O25" s="5" t="n"/>
      <c r="P25" s="90">
        <f>L25-I25</f>
        <v/>
      </c>
      <c r="Q25" s="90">
        <f>N25-J25</f>
        <v/>
      </c>
      <c r="R25" s="88">
        <f>IF(N25&gt;J25,(N25-J25),0)</f>
        <v/>
      </c>
      <c r="S25" s="88">
        <f>IF(N25&lt;J25,(N25-J25),0)</f>
        <v/>
      </c>
      <c r="T25" s="88">
        <f>S25+R25</f>
        <v/>
      </c>
      <c r="U25" s="88" t="n"/>
      <c r="V25" s="88" t="n"/>
      <c r="W25" s="88" t="n"/>
    </row>
    <row r="26" hidden="1" ht="66" customHeight="1" s="153">
      <c r="A26" s="4" t="inlineStr">
        <is>
          <t>Main BOQ</t>
        </is>
      </c>
      <c r="B26" s="4" t="inlineStr">
        <is>
          <t>Carpentry Work</t>
        </is>
      </c>
      <c r="C26" s="4" t="inlineStr">
        <is>
          <t>DOORS AND WINDOWS</t>
        </is>
      </c>
      <c r="D26" s="4" t="inlineStr">
        <is>
          <t>Low Height Door for Teller</t>
        </is>
      </c>
      <c r="E26" s="4" t="inlineStr">
        <is>
          <t>Providing &amp;fixing door as per design &amp;size and including Godrej tribolt latch lock. Size of door to match the height of side partition. [approx 5ft x 2ft-6 ]</t>
        </is>
      </c>
      <c r="F26" s="4" t="inlineStr">
        <is>
          <t>Samrat</t>
        </is>
      </c>
      <c r="G26" s="5" t="inlineStr">
        <is>
          <t>nos</t>
        </is>
      </c>
      <c r="H26" s="5" t="n">
        <v>5500</v>
      </c>
      <c r="I26" s="5" t="n">
        <v>1</v>
      </c>
      <c r="J26" s="5" t="n">
        <v>5500</v>
      </c>
      <c r="K26" s="5" t="n">
        <v>5500</v>
      </c>
      <c r="L26" s="91">
        <f>'Measurement Sheet'!J209</f>
        <v/>
      </c>
      <c r="M26" s="91" t="n"/>
      <c r="N26" s="5">
        <f>K26*L26</f>
        <v/>
      </c>
      <c r="O26" s="5" t="n"/>
      <c r="P26" s="90">
        <f>L26-I26</f>
        <v/>
      </c>
      <c r="Q26" s="90">
        <f>N26-J26</f>
        <v/>
      </c>
      <c r="R26" s="88">
        <f>IF(N26&gt;J26,(N26-J26),0)</f>
        <v/>
      </c>
      <c r="S26" s="88">
        <f>IF(N26&lt;J26,(N26-J26),0)</f>
        <v/>
      </c>
      <c r="T26" s="88">
        <f>S26+R26</f>
        <v/>
      </c>
      <c r="U26" s="88" t="n"/>
      <c r="V26" s="100" t="inlineStr">
        <is>
          <t>Quantity Exceeded from the Work order project Manager Approval Required</t>
        </is>
      </c>
      <c r="W26" s="88" t="n"/>
    </row>
    <row r="27" ht="124.2" customHeight="1" s="153">
      <c r="A27" s="4" t="inlineStr">
        <is>
          <t>Main BOQ</t>
        </is>
      </c>
      <c r="B27" s="4" t="inlineStr">
        <is>
          <t>CIVIL WORKS</t>
        </is>
      </c>
      <c r="C27" s="4" t="inlineStr">
        <is>
          <t>FLOORING AND DADO</t>
        </is>
      </c>
      <c r="D27" s="4" t="inlineStr">
        <is>
          <t>Vitrified Tile for Flooring</t>
        </is>
      </c>
      <c r="E27"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F27" s="4" t="inlineStr">
        <is>
          <t>RAK</t>
        </is>
      </c>
      <c r="G27" s="5" t="inlineStr">
        <is>
          <t>Sft</t>
        </is>
      </c>
      <c r="H27" s="5" t="n">
        <v>130</v>
      </c>
      <c r="I27" s="5" t="n">
        <v>127</v>
      </c>
      <c r="J27" s="5" t="n">
        <v>16510</v>
      </c>
      <c r="K27" s="5" t="n">
        <v>130</v>
      </c>
      <c r="L27" s="91">
        <f>'Measurement Sheet'!J223</f>
        <v/>
      </c>
      <c r="M27" s="91" t="n"/>
      <c r="N27" s="5">
        <f>K27*L27</f>
        <v/>
      </c>
      <c r="O27" s="5" t="n"/>
      <c r="P27" s="90">
        <f>L27-I27</f>
        <v/>
      </c>
      <c r="Q27" s="90">
        <f>N27-J27</f>
        <v/>
      </c>
      <c r="R27" s="88">
        <f>IF(N27&gt;J27,(N27-J27),0)</f>
        <v/>
      </c>
      <c r="S27" s="88">
        <f>IF(N27&lt;J27,(N27-J27),0)</f>
        <v/>
      </c>
      <c r="T27" s="88">
        <f>S27+R27</f>
        <v/>
      </c>
      <c r="U27" s="88" t="n"/>
      <c r="V27" s="100" t="inlineStr">
        <is>
          <t>Quantity Exceeded from the Work order project Manager Approval Required</t>
        </is>
      </c>
      <c r="W27" s="88" t="n"/>
    </row>
    <row r="28" ht="124.2" customHeight="1" s="153">
      <c r="A28" s="4" t="inlineStr">
        <is>
          <t>Main BOQ</t>
        </is>
      </c>
      <c r="B28" s="4" t="inlineStr">
        <is>
          <t>CIVIL WORKS</t>
        </is>
      </c>
      <c r="C28" s="4" t="inlineStr">
        <is>
          <t>FLOORING AND DADO</t>
        </is>
      </c>
      <c r="D28" s="4" t="inlineStr">
        <is>
          <t>Vitrified Tile for Flooring 80x80</t>
        </is>
      </c>
      <c r="E28"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F28" s="4" t="inlineStr">
        <is>
          <t>RAK</t>
        </is>
      </c>
      <c r="G28" s="5" t="inlineStr">
        <is>
          <t>Sft</t>
        </is>
      </c>
      <c r="H28" s="5" t="n">
        <v>145</v>
      </c>
      <c r="I28" s="5" t="n">
        <v>861</v>
      </c>
      <c r="J28" s="5" t="n">
        <v>124845</v>
      </c>
      <c r="K28" s="5" t="n">
        <v>145</v>
      </c>
      <c r="L28" s="91">
        <f>'Measurement Sheet'!J245</f>
        <v/>
      </c>
      <c r="M28" s="91" t="n"/>
      <c r="N28" s="5">
        <f>K28*L28</f>
        <v/>
      </c>
      <c r="O28" s="5" t="n"/>
      <c r="P28" s="90">
        <f>L28-I28</f>
        <v/>
      </c>
      <c r="Q28" s="90">
        <f>N28-J28</f>
        <v/>
      </c>
      <c r="R28" s="88">
        <f>IF(N28&gt;J28,(N28-J28),0)</f>
        <v/>
      </c>
      <c r="S28" s="88">
        <f>IF(N28&lt;J28,(N28-J28),0)</f>
        <v/>
      </c>
      <c r="T28" s="88">
        <f>S28+R28</f>
        <v/>
      </c>
      <c r="U28" s="88" t="n"/>
      <c r="V28" s="100" t="inlineStr">
        <is>
          <t>Quantity Exceeded from the Work order project Manager Approval Required</t>
        </is>
      </c>
      <c r="W28" s="88" t="n"/>
    </row>
    <row r="29" hidden="1" ht="193.2" customHeight="1" s="153">
      <c r="A29" s="4" t="inlineStr">
        <is>
          <t>Main BOQ</t>
        </is>
      </c>
      <c r="B29" s="4" t="inlineStr">
        <is>
          <t>Carpentry Work</t>
        </is>
      </c>
      <c r="C29" s="4" t="inlineStr">
        <is>
          <t>LOOSE FURNITURE</t>
        </is>
      </c>
      <c r="D29" s="4" t="inlineStr">
        <is>
          <t>Cash counter - ALLEN TYPE</t>
        </is>
      </c>
      <c r="E29" s="4"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F29" s="4" t="inlineStr">
        <is>
          <t>Samrat</t>
        </is>
      </c>
      <c r="G29" s="5" t="inlineStr">
        <is>
          <t>Nos</t>
        </is>
      </c>
      <c r="H29" s="5" t="n">
        <v>35000</v>
      </c>
      <c r="I29" s="5" t="n">
        <v>1</v>
      </c>
      <c r="J29" s="5" t="n">
        <v>35000</v>
      </c>
      <c r="K29" s="5" t="n">
        <v>35000</v>
      </c>
      <c r="L29" s="91">
        <f>'Measurement Sheet'!J251</f>
        <v/>
      </c>
      <c r="M29" s="91" t="n"/>
      <c r="N29" s="5">
        <f>K29*L29</f>
        <v/>
      </c>
      <c r="O29" s="5" t="n"/>
      <c r="P29" s="90">
        <f>L29-I29</f>
        <v/>
      </c>
      <c r="Q29" s="90">
        <f>N29-J29</f>
        <v/>
      </c>
      <c r="R29" s="88">
        <f>IF(N29&gt;J29,(N29-J29),0)</f>
        <v/>
      </c>
      <c r="S29" s="88">
        <f>IF(N29&lt;J29,(N29-J29),0)</f>
        <v/>
      </c>
      <c r="T29" s="88">
        <f>S29+R29</f>
        <v/>
      </c>
      <c r="U29" s="88" t="n"/>
      <c r="V29" s="88" t="n"/>
      <c r="W29" s="88" t="n"/>
    </row>
    <row r="30" hidden="1" ht="124.2" customHeight="1" s="153">
      <c r="A30" s="4" t="inlineStr">
        <is>
          <t>Main BOQ</t>
        </is>
      </c>
      <c r="B30" s="4" t="inlineStr">
        <is>
          <t>Carpentry Work</t>
        </is>
      </c>
      <c r="C30" s="4" t="inlineStr">
        <is>
          <t>DOORS AND WINDOWS</t>
        </is>
      </c>
      <c r="D30" s="4" t="inlineStr">
        <is>
          <t>Doors into Service areas _Solid with view panelorSlit</t>
        </is>
      </c>
      <c r="E30" s="4"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F30" s="4" t="inlineStr">
        <is>
          <t>Samrat</t>
        </is>
      </c>
      <c r="G30" s="5" t="inlineStr">
        <is>
          <t>nos</t>
        </is>
      </c>
      <c r="H30" s="5" t="n">
        <v>11500</v>
      </c>
      <c r="I30" s="5" t="n">
        <v>5</v>
      </c>
      <c r="J30" s="5" t="n">
        <v>57500</v>
      </c>
      <c r="K30" s="5" t="n">
        <v>11500</v>
      </c>
      <c r="L30" s="91">
        <f>'Measurement Sheet'!J259</f>
        <v/>
      </c>
      <c r="M30" s="91" t="n"/>
      <c r="N30" s="5">
        <f>K30*L30</f>
        <v/>
      </c>
      <c r="O30" s="5" t="n"/>
      <c r="P30" s="90">
        <f>L30-I30</f>
        <v/>
      </c>
      <c r="Q30" s="90">
        <f>N30-J30</f>
        <v/>
      </c>
      <c r="R30" s="88">
        <f>IF(N30&gt;J30,(N30-J30),0)</f>
        <v/>
      </c>
      <c r="S30" s="88">
        <f>IF(N30&lt;J30,(N30-J30),0)</f>
        <v/>
      </c>
      <c r="T30" s="88">
        <f>S30+R30</f>
        <v/>
      </c>
      <c r="U30" s="88" t="n"/>
      <c r="V30" s="88" t="n"/>
      <c r="W30" s="88" t="n"/>
    </row>
    <row r="31" hidden="1" ht="124.2" customHeight="1" s="153">
      <c r="A31" s="4" t="inlineStr">
        <is>
          <t>Main BOQ</t>
        </is>
      </c>
      <c r="B31" s="4" t="inlineStr">
        <is>
          <t>Carpentry Work</t>
        </is>
      </c>
      <c r="C31" s="4" t="inlineStr">
        <is>
          <t>LOOSE FURNITURE</t>
        </is>
      </c>
      <c r="D31" s="4" t="inlineStr">
        <is>
          <t>Service Counter ALLEN TYPE with pedastal units</t>
        </is>
      </c>
      <c r="E31" s="4"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F31" s="4" t="inlineStr">
        <is>
          <t>Samrat</t>
        </is>
      </c>
      <c r="G31" s="5" t="inlineStr">
        <is>
          <t>Nos</t>
        </is>
      </c>
      <c r="H31" s="5" t="n">
        <v>19000</v>
      </c>
      <c r="I31" s="5" t="n">
        <v>5</v>
      </c>
      <c r="J31" s="5" t="n">
        <v>95000</v>
      </c>
      <c r="K31" s="5" t="n">
        <v>19000</v>
      </c>
      <c r="L31" s="91">
        <f>'Measurement Sheet'!J265</f>
        <v/>
      </c>
      <c r="M31" s="91" t="n"/>
      <c r="N31" s="5">
        <f>K31*L31</f>
        <v/>
      </c>
      <c r="O31" s="5" t="n"/>
      <c r="P31" s="90">
        <f>L31-I31</f>
        <v/>
      </c>
      <c r="Q31" s="90">
        <f>N31-J31</f>
        <v/>
      </c>
      <c r="R31" s="88">
        <f>IF(N31&gt;J31,(N31-J31),0)</f>
        <v/>
      </c>
      <c r="S31" s="88">
        <f>IF(N31&lt;J31,(N31-J31),0)</f>
        <v/>
      </c>
      <c r="T31" s="88">
        <f>S31+R31</f>
        <v/>
      </c>
      <c r="U31" s="88" t="n"/>
      <c r="V31" s="88" t="n"/>
      <c r="W31" s="88" t="n"/>
    </row>
    <row r="32" ht="55.2" customHeight="1" s="153">
      <c r="A32" s="4" t="inlineStr">
        <is>
          <t>Main BOQ</t>
        </is>
      </c>
      <c r="B32" s="4" t="inlineStr">
        <is>
          <t>CIVIL WORKS</t>
        </is>
      </c>
      <c r="C32" s="4" t="inlineStr">
        <is>
          <t>FLOORING AND DADO</t>
        </is>
      </c>
      <c r="D32" s="4" t="inlineStr">
        <is>
          <t>Vitrified Tile Skirting</t>
        </is>
      </c>
      <c r="E32" s="4" t="inlineStr">
        <is>
          <t>Providing and fixing skirting in vitrified tiles as per approved sample In skirting 4 inches height over 12 mm thick CM 1:4 backing as directed by Engineer- In charge. Basic Rate - Rs 65 per Sft. Make - RAK,Johnson,Kajaria.</t>
        </is>
      </c>
      <c r="F32" s="4" t="inlineStr">
        <is>
          <t>RAK</t>
        </is>
      </c>
      <c r="G32" s="5" t="inlineStr">
        <is>
          <t>Rft</t>
        </is>
      </c>
      <c r="H32" s="5" t="n">
        <v>75</v>
      </c>
      <c r="I32" s="5" t="n">
        <v>199</v>
      </c>
      <c r="J32" s="5" t="n">
        <v>14925</v>
      </c>
      <c r="K32" s="5" t="n">
        <v>75</v>
      </c>
      <c r="L32" s="91">
        <f>'Measurement Sheet'!J275</f>
        <v/>
      </c>
      <c r="M32" s="91" t="n"/>
      <c r="N32" s="5">
        <f>K32*L32</f>
        <v/>
      </c>
      <c r="O32" s="5" t="n"/>
      <c r="P32" s="90">
        <f>L32-I32</f>
        <v/>
      </c>
      <c r="Q32" s="90">
        <f>N32-J32</f>
        <v/>
      </c>
      <c r="R32" s="88">
        <f>IF(N32&gt;J32,(N32-J32),0)</f>
        <v/>
      </c>
      <c r="S32" s="88">
        <f>IF(N32&lt;J32,(N32-J32),0)</f>
        <v/>
      </c>
      <c r="T32" s="88">
        <f>S32+R32</f>
        <v/>
      </c>
      <c r="U32" s="88" t="n"/>
      <c r="V32" s="88" t="n"/>
      <c r="W32" s="88" t="n"/>
    </row>
    <row r="33" ht="41.4" customHeight="1" s="153">
      <c r="A33" s="4" t="inlineStr">
        <is>
          <t>Non-Interior Work</t>
        </is>
      </c>
      <c r="B33" s="4" t="inlineStr">
        <is>
          <t>Non-Interior Works</t>
        </is>
      </c>
      <c r="C33" s="4" t="inlineStr">
        <is>
          <t>DISMANTLING AND DEMOLITION</t>
        </is>
      </c>
      <c r="D33" s="4" t="inlineStr">
        <is>
          <t>Existing old wall plaster Removal</t>
        </is>
      </c>
      <c r="E33" s="4" t="inlineStr">
        <is>
          <t>Dismantling of any existing Plaster from walls wherever required with necessary tools and tackels and carrying the debris away from site as per engineer- incharge instruction.</t>
        </is>
      </c>
      <c r="F33" s="4" t="n"/>
      <c r="G33" s="5" t="inlineStr">
        <is>
          <t>Sft</t>
        </is>
      </c>
      <c r="H33" s="5" t="n">
        <v>7</v>
      </c>
      <c r="I33" s="5" t="n">
        <v>50</v>
      </c>
      <c r="J33" s="5" t="n">
        <v>350</v>
      </c>
      <c r="K33" s="5" t="n">
        <v>7</v>
      </c>
      <c r="L33" s="92" t="n"/>
      <c r="M33" s="92" t="n"/>
      <c r="N33" s="5">
        <f>K33*L33</f>
        <v/>
      </c>
      <c r="O33" s="5" t="n"/>
      <c r="P33" s="90">
        <f>L33-I33</f>
        <v/>
      </c>
      <c r="Q33" s="90">
        <f>N33-J33</f>
        <v/>
      </c>
      <c r="R33" s="88">
        <f>IF(N33&gt;J33,(N33-J33),0)</f>
        <v/>
      </c>
      <c r="S33" s="88">
        <f>IF(N33&lt;J33,(N33-J33),0)</f>
        <v/>
      </c>
      <c r="T33" s="88">
        <f>S33+R33</f>
        <v/>
      </c>
      <c r="U33" s="88" t="n"/>
      <c r="V33" s="88" t="n"/>
      <c r="W33" s="88" t="n"/>
    </row>
    <row r="34" ht="55.2" customHeight="1" s="153">
      <c r="A34" s="4" t="inlineStr">
        <is>
          <t>Main BOQ</t>
        </is>
      </c>
      <c r="B34" s="4" t="inlineStr">
        <is>
          <t>CIVIL WORKS</t>
        </is>
      </c>
      <c r="C34" s="4" t="inlineStr">
        <is>
          <t>FLOORING AND DADO</t>
        </is>
      </c>
      <c r="D34" s="4" t="inlineStr">
        <is>
          <t>Floor Protection Sheet</t>
        </is>
      </c>
      <c r="E34" s="4" t="inlineStr">
        <is>
          <t>Providing and applying covering on flooring for floor protection with polypropylene plastic bubble sheet. The rate should include the cleaning of floor covering on completion before handing over completed site as directed by Engineer - in charge.</t>
        </is>
      </c>
      <c r="F34" s="4" t="inlineStr">
        <is>
          <t>NA</t>
        </is>
      </c>
      <c r="G34" s="5" t="inlineStr">
        <is>
          <t>Sft</t>
        </is>
      </c>
      <c r="H34" s="5" t="n">
        <v>4</v>
      </c>
      <c r="I34" s="5" t="n">
        <v>1151</v>
      </c>
      <c r="J34" s="5" t="n">
        <v>4604</v>
      </c>
      <c r="K34" s="5" t="n">
        <v>4</v>
      </c>
      <c r="L34" s="91">
        <f>'Measurement Sheet'!J282</f>
        <v/>
      </c>
      <c r="M34" s="91" t="n"/>
      <c r="N34" s="5">
        <f>K34*L34</f>
        <v/>
      </c>
      <c r="O34" s="5" t="n"/>
      <c r="P34" s="90">
        <f>L34-I34</f>
        <v/>
      </c>
      <c r="Q34" s="90">
        <f>N34-J34</f>
        <v/>
      </c>
      <c r="R34" s="88">
        <f>IF(N34&gt;J34,(N34-J34),0)</f>
        <v/>
      </c>
      <c r="S34" s="88">
        <f>IF(N34&lt;J34,(N34-J34),0)</f>
        <v/>
      </c>
      <c r="T34" s="88">
        <f>S34+R34</f>
        <v/>
      </c>
      <c r="U34" s="88" t="n"/>
      <c r="V34" s="88" t="n"/>
      <c r="W34" s="88" t="n"/>
    </row>
    <row r="35" ht="55.2" customHeight="1" s="153">
      <c r="A35" s="4" t="inlineStr">
        <is>
          <t>Main BOQ</t>
        </is>
      </c>
      <c r="B35" s="4" t="inlineStr">
        <is>
          <t>Carpentry Work</t>
        </is>
      </c>
      <c r="C35" s="4" t="inlineStr">
        <is>
          <t>FALSE-CELING</t>
        </is>
      </c>
      <c r="D35" s="4" t="inlineStr">
        <is>
          <t>Gypsum ceiling</t>
        </is>
      </c>
      <c r="E35"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F35" s="4" t="inlineStr">
        <is>
          <t>Saint Gobain</t>
        </is>
      </c>
      <c r="G35" s="5" t="inlineStr">
        <is>
          <t>sft</t>
        </is>
      </c>
      <c r="H35" s="5" t="n">
        <v>90</v>
      </c>
      <c r="I35" s="5" t="n">
        <v>956</v>
      </c>
      <c r="J35" s="5" t="n">
        <v>86040</v>
      </c>
      <c r="K35" s="5" t="n">
        <v>90</v>
      </c>
      <c r="L35" s="91">
        <f>'Measurement Sheet'!J288</f>
        <v/>
      </c>
      <c r="M35" s="91" t="n"/>
      <c r="N35" s="5">
        <f>K35*L35</f>
        <v/>
      </c>
      <c r="O35" s="5" t="n"/>
      <c r="P35" s="90">
        <f>L35-I35</f>
        <v/>
      </c>
      <c r="Q35" s="90">
        <f>N35-J35</f>
        <v/>
      </c>
      <c r="R35" s="88">
        <f>IF(N35&gt;J35,(N35-J35),0)</f>
        <v/>
      </c>
      <c r="S35" s="88">
        <f>IF(N35&lt;J35,(N35-J35),0)</f>
        <v/>
      </c>
      <c r="T35" s="88">
        <f>S35+R35</f>
        <v/>
      </c>
      <c r="U35" s="88" t="n"/>
      <c r="V35" s="100" t="inlineStr">
        <is>
          <t>Quantity Exceeded from the Work order project Manager Approval Required</t>
        </is>
      </c>
      <c r="W35" s="88" t="n"/>
    </row>
    <row r="36" ht="55.2" customHeight="1" s="153">
      <c r="A36" s="4" t="inlineStr">
        <is>
          <t>Non-Interior Work</t>
        </is>
      </c>
      <c r="B36" s="4" t="inlineStr">
        <is>
          <t>Non-Interior Works</t>
        </is>
      </c>
      <c r="C36" s="4" t="inlineStr">
        <is>
          <t>BRICK AND PLASTER WORKS</t>
        </is>
      </c>
      <c r="D36" s="4" t="inlineStr">
        <is>
          <t>PCC - Plain cement concrete</t>
        </is>
      </c>
      <c r="E36" s="4"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F36" s="4" t="n"/>
      <c r="G36" s="5" t="inlineStr">
        <is>
          <t>Sft</t>
        </is>
      </c>
      <c r="H36" s="5" t="n">
        <v>48</v>
      </c>
      <c r="I36" s="5" t="n">
        <v>50</v>
      </c>
      <c r="J36" s="5" t="n">
        <v>2400</v>
      </c>
      <c r="K36" s="5" t="n">
        <v>48</v>
      </c>
      <c r="L36" s="92" t="n"/>
      <c r="M36" s="92" t="n"/>
      <c r="N36" s="5">
        <f>K36*L36</f>
        <v/>
      </c>
      <c r="O36" s="5" t="n"/>
      <c r="P36" s="90">
        <f>L36-I36</f>
        <v/>
      </c>
      <c r="Q36" s="90">
        <f>N36-J36</f>
        <v/>
      </c>
      <c r="R36" s="88">
        <f>IF(N36&gt;J36,(N36-J36),0)</f>
        <v/>
      </c>
      <c r="S36" s="88">
        <f>IF(N36&lt;J36,(N36-J36),0)</f>
        <v/>
      </c>
      <c r="T36" s="88">
        <f>S36+R36</f>
        <v/>
      </c>
      <c r="U36" s="88" t="n"/>
      <c r="V36" s="88" t="n"/>
      <c r="W36" s="88" t="n"/>
    </row>
    <row r="37" hidden="1" ht="69" customHeight="1" s="153">
      <c r="A37" s="4" t="inlineStr">
        <is>
          <t>Main BOQ</t>
        </is>
      </c>
      <c r="B37" s="4" t="inlineStr">
        <is>
          <t>CIVIL WORKS</t>
        </is>
      </c>
      <c r="C37" s="4" t="inlineStr">
        <is>
          <t>PLUMBING WORKS AND SANITARY FITTINGS</t>
        </is>
      </c>
      <c r="D37" s="4" t="inlineStr">
        <is>
          <t>Pantry Sink Bowl</t>
        </is>
      </c>
      <c r="E37" s="4"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F37" s="4" t="inlineStr">
        <is>
          <t>Jaquar</t>
        </is>
      </c>
      <c r="G37" s="5" t="inlineStr">
        <is>
          <t>Nos</t>
        </is>
      </c>
      <c r="H37" s="5" t="n">
        <v>6200</v>
      </c>
      <c r="I37" s="5" t="n">
        <v>1</v>
      </c>
      <c r="J37" s="5" t="n">
        <v>6200</v>
      </c>
      <c r="K37" s="5" t="n">
        <v>6200</v>
      </c>
      <c r="L37" s="91">
        <f>'Measurement Sheet'!J295</f>
        <v/>
      </c>
      <c r="M37" s="91" t="n"/>
      <c r="N37" s="5">
        <f>K37*L37</f>
        <v/>
      </c>
      <c r="O37" s="5" t="n"/>
      <c r="P37" s="90">
        <f>L37-I37</f>
        <v/>
      </c>
      <c r="Q37" s="90">
        <f>N37-J37</f>
        <v/>
      </c>
      <c r="R37" s="88">
        <f>IF(N37&gt;J37,(N37-J37),0)</f>
        <v/>
      </c>
      <c r="S37" s="88">
        <f>IF(N37&lt;J37,(N37-J37),0)</f>
        <v/>
      </c>
      <c r="T37" s="88">
        <f>S37+R37</f>
        <v/>
      </c>
      <c r="U37" s="88" t="n"/>
      <c r="V37" s="88" t="n"/>
      <c r="W37" s="88" t="n"/>
    </row>
    <row r="38" ht="138" customHeight="1" s="153">
      <c r="A38" s="4" t="inlineStr">
        <is>
          <t>Main BOQ</t>
        </is>
      </c>
      <c r="B38" s="4" t="inlineStr">
        <is>
          <t>Carpentry Work</t>
        </is>
      </c>
      <c r="C38" s="4" t="inlineStr">
        <is>
          <t>FALSE-CELING</t>
        </is>
      </c>
      <c r="D38" s="4" t="inlineStr">
        <is>
          <t>Knauf Ceiling GRID [ARMSTRONG ]</t>
        </is>
      </c>
      <c r="E38"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F38" s="4" t="inlineStr">
        <is>
          <t>Knauf</t>
        </is>
      </c>
      <c r="G38" s="5" t="inlineStr">
        <is>
          <t>sft</t>
        </is>
      </c>
      <c r="H38" s="5" t="n">
        <v>115</v>
      </c>
      <c r="I38" s="5" t="n">
        <v>395</v>
      </c>
      <c r="J38" s="5" t="n">
        <v>45425</v>
      </c>
      <c r="K38" s="5" t="n">
        <v>115</v>
      </c>
      <c r="L38" s="91">
        <f>'Measurement Sheet'!J319</f>
        <v/>
      </c>
      <c r="M38" s="91" t="n"/>
      <c r="N38" s="5">
        <f>K38*L38</f>
        <v/>
      </c>
      <c r="O38" s="5" t="n"/>
      <c r="P38" s="90">
        <f>L38-I38</f>
        <v/>
      </c>
      <c r="Q38" s="90">
        <f>N38-J38</f>
        <v/>
      </c>
      <c r="R38" s="88">
        <f>IF(N38&gt;J38,(N38-J38),0)</f>
        <v/>
      </c>
      <c r="S38" s="88">
        <f>IF(N38&lt;J38,(N38-J38),0)</f>
        <v/>
      </c>
      <c r="T38" s="88">
        <f>S38+R38</f>
        <v/>
      </c>
      <c r="U38" s="88" t="n"/>
      <c r="V38" s="100" t="inlineStr">
        <is>
          <t>Quantity Exceeded from the Work order project Manager Approval Required</t>
        </is>
      </c>
      <c r="W38" s="88" t="n"/>
    </row>
    <row r="39" ht="55.2" customHeight="1" s="153">
      <c r="A39" s="4" t="inlineStr">
        <is>
          <t>Non-Interior Work</t>
        </is>
      </c>
      <c r="B39" s="4" t="inlineStr">
        <is>
          <t>Non-Interior Works</t>
        </is>
      </c>
      <c r="C39" s="4" t="inlineStr">
        <is>
          <t>BRICK AND PLASTER WORKS</t>
        </is>
      </c>
      <c r="D39" s="4" t="inlineStr">
        <is>
          <t>Chasing floor- wall for electrical trunking</t>
        </is>
      </c>
      <c r="E39" s="4" t="inlineStr">
        <is>
          <t>Chasing in existing brick or siporex up to 200mm wide and 75mm deep, for installation of A.C. copper pipes and drain pipes as required and making good of chases with cement plaster or POP ready for application of paint.</t>
        </is>
      </c>
      <c r="F39" s="4" t="inlineStr">
        <is>
          <t>NA</t>
        </is>
      </c>
      <c r="G39" s="5" t="inlineStr">
        <is>
          <t>Rft</t>
        </is>
      </c>
      <c r="H39" s="5" t="n">
        <v>40</v>
      </c>
      <c r="I39" s="5" t="n">
        <v>200</v>
      </c>
      <c r="J39" s="5" t="n">
        <v>8000</v>
      </c>
      <c r="K39" s="5" t="n">
        <v>40</v>
      </c>
      <c r="L39" s="91">
        <f>'Measurement Sheet'!J325</f>
        <v/>
      </c>
      <c r="M39" s="91" t="n"/>
      <c r="N39" s="5">
        <f>K39*L39</f>
        <v/>
      </c>
      <c r="O39" s="5" t="n"/>
      <c r="P39" s="90">
        <f>L39-I39</f>
        <v/>
      </c>
      <c r="Q39" s="90">
        <f>N39-J39</f>
        <v/>
      </c>
      <c r="R39" s="88">
        <f>IF(N39&gt;J39,(N39-J39),0)</f>
        <v/>
      </c>
      <c r="S39" s="88">
        <f>IF(N39&lt;J39,(N39-J39),0)</f>
        <v/>
      </c>
      <c r="T39" s="88">
        <f>S39+R39</f>
        <v/>
      </c>
      <c r="U39" s="88" t="n"/>
      <c r="V39" s="88" t="n"/>
      <c r="W39" s="88" t="n"/>
    </row>
    <row r="40" ht="82.8" customHeight="1" s="153">
      <c r="A40" s="4" t="inlineStr">
        <is>
          <t>Non-Interior Work</t>
        </is>
      </c>
      <c r="B40" s="4" t="inlineStr">
        <is>
          <t>Non-Interior Works</t>
        </is>
      </c>
      <c r="C40" s="4" t="inlineStr">
        <is>
          <t>BRICK AND PLASTER WORKS</t>
        </is>
      </c>
      <c r="D40" s="4" t="inlineStr">
        <is>
          <t>Sill-lining with Red - Black granite at toilet door sill &amp;frame</t>
        </is>
      </c>
      <c r="E40" s="4"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F40" s="4" t="inlineStr">
        <is>
          <t>NA</t>
        </is>
      </c>
      <c r="G40" s="5" t="inlineStr">
        <is>
          <t>Rft</t>
        </is>
      </c>
      <c r="H40" s="5" t="n">
        <v>275</v>
      </c>
      <c r="I40" s="5" t="n">
        <v>253</v>
      </c>
      <c r="J40" s="5" t="n">
        <v>69575</v>
      </c>
      <c r="K40" s="5" t="n">
        <v>275</v>
      </c>
      <c r="L40" s="91">
        <f>'Measurement Sheet'!J338</f>
        <v/>
      </c>
      <c r="M40" s="91" t="n"/>
      <c r="N40" s="5">
        <f>K40*L40</f>
        <v/>
      </c>
      <c r="O40" s="5" t="n"/>
      <c r="P40" s="90">
        <f>L40-I40</f>
        <v/>
      </c>
      <c r="Q40" s="90">
        <f>N40-J40</f>
        <v/>
      </c>
      <c r="R40" s="88">
        <f>IF(N40&gt;J40,(N40-J40),0)</f>
        <v/>
      </c>
      <c r="S40" s="88">
        <f>IF(N40&lt;J40,(N40-J40),0)</f>
        <v/>
      </c>
      <c r="T40" s="88">
        <f>S40+R40</f>
        <v/>
      </c>
      <c r="U40" s="88" t="n"/>
      <c r="V40" s="88" t="n"/>
      <c r="W40" s="88" t="n"/>
    </row>
    <row r="41" hidden="1" ht="96.59999999999999" customHeight="1" s="153">
      <c r="A41" s="4" t="inlineStr">
        <is>
          <t>Main BOQ</t>
        </is>
      </c>
      <c r="B41" s="4" t="inlineStr">
        <is>
          <t>CIVIL WORKS</t>
        </is>
      </c>
      <c r="C41" s="4" t="inlineStr">
        <is>
          <t>PLUMBING WORKS AND SANITARY FITTINGS</t>
        </is>
      </c>
      <c r="D41" s="4" t="inlineStr">
        <is>
          <t>WC - Water Closet</t>
        </is>
      </c>
      <c r="E41" s="4"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F41" s="4" t="inlineStr">
        <is>
          <t>Jaquar</t>
        </is>
      </c>
      <c r="G41" s="5" t="inlineStr">
        <is>
          <t>Nos</t>
        </is>
      </c>
      <c r="H41" s="5" t="n">
        <v>14500</v>
      </c>
      <c r="I41" s="5" t="n">
        <v>2</v>
      </c>
      <c r="J41" s="5" t="n">
        <v>29000</v>
      </c>
      <c r="K41" s="5" t="n">
        <v>14500</v>
      </c>
      <c r="L41" s="91">
        <f>'Measurement Sheet'!J346</f>
        <v/>
      </c>
      <c r="M41" s="91" t="n"/>
      <c r="N41" s="5">
        <f>K41*L41</f>
        <v/>
      </c>
      <c r="O41" s="5" t="n"/>
      <c r="P41" s="90">
        <f>L41-I41</f>
        <v/>
      </c>
      <c r="Q41" s="90">
        <f>N41-J41</f>
        <v/>
      </c>
      <c r="R41" s="88">
        <f>IF(N41&gt;J41,(N41-J41),0)</f>
        <v/>
      </c>
      <c r="S41" s="88">
        <f>IF(N41&lt;J41,(N41-J41),0)</f>
        <v/>
      </c>
      <c r="T41" s="88">
        <f>S41+R41</f>
        <v/>
      </c>
      <c r="U41" s="88" t="n"/>
      <c r="V41" s="88" t="n"/>
      <c r="W41" s="88" t="n"/>
    </row>
    <row r="42" hidden="1" ht="124.2" customHeight="1" s="153">
      <c r="A42" s="4" t="inlineStr">
        <is>
          <t>Main BOQ</t>
        </is>
      </c>
      <c r="B42" s="4" t="inlineStr">
        <is>
          <t>CIVIL WORKS</t>
        </is>
      </c>
      <c r="C42" s="4" t="inlineStr">
        <is>
          <t>PLUMBING WORKS AND SANITARY FITTINGS</t>
        </is>
      </c>
      <c r="D42" s="4" t="inlineStr">
        <is>
          <t>PVC pipes [Toilets
&amp;Pantry]</t>
        </is>
      </c>
      <c r="E42" s="4"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F42" s="4" t="inlineStr">
        <is>
          <t>Prince</t>
        </is>
      </c>
      <c r="G42" s="5" t="inlineStr">
        <is>
          <t>Lsum</t>
        </is>
      </c>
      <c r="H42" s="5" t="n">
        <v>4000</v>
      </c>
      <c r="I42" s="5" t="n">
        <v>3</v>
      </c>
      <c r="J42" s="5" t="n">
        <v>12000</v>
      </c>
      <c r="K42" s="5" t="n">
        <v>4000</v>
      </c>
      <c r="L42" s="91">
        <f>'Measurement Sheet'!J356</f>
        <v/>
      </c>
      <c r="M42" s="91" t="n"/>
      <c r="N42" s="5">
        <f>K42*L42</f>
        <v/>
      </c>
      <c r="O42" s="5" t="n"/>
      <c r="P42" s="90">
        <f>L42-I42</f>
        <v/>
      </c>
      <c r="Q42" s="90">
        <f>N42-J42</f>
        <v/>
      </c>
      <c r="R42" s="88">
        <f>IF(N42&gt;J42,(N42-J42),0)</f>
        <v/>
      </c>
      <c r="S42" s="88">
        <f>IF(N42&lt;J42,(N42-J42),0)</f>
        <v/>
      </c>
      <c r="T42" s="88">
        <f>S42+R42</f>
        <v/>
      </c>
      <c r="U42" s="88" t="n"/>
      <c r="V42" s="88" t="n"/>
      <c r="W42" s="88" t="n"/>
    </row>
    <row r="43" hidden="1" ht="41.4" customHeight="1" s="153">
      <c r="A43" s="4" t="inlineStr">
        <is>
          <t>Main BOQ</t>
        </is>
      </c>
      <c r="B43" s="4" t="inlineStr">
        <is>
          <t>CIVIL WORKS</t>
        </is>
      </c>
      <c r="C43" s="4" t="inlineStr">
        <is>
          <t>PLUMBING WORKS AND SANITARY FITTINGS</t>
        </is>
      </c>
      <c r="D43" s="4" t="inlineStr">
        <is>
          <t>Bib Cock</t>
        </is>
      </c>
      <c r="E43" s="4" t="inlineStr">
        <is>
          <t>Supplying and Fixing of Jaquar Florentine, 15mm CP Brass Bib Tap with necessary CP Brass wall flanges etc., complete. [Fixing in Janitor] with auto closing. Model code- FLR-CHR-5047N</t>
        </is>
      </c>
      <c r="F43" s="4" t="n"/>
      <c r="G43" s="5" t="inlineStr">
        <is>
          <t>Nos</t>
        </is>
      </c>
      <c r="H43" s="5" t="n">
        <v>1350</v>
      </c>
      <c r="I43" s="5" t="n">
        <v>2</v>
      </c>
      <c r="J43" s="5" t="n">
        <v>2700</v>
      </c>
      <c r="K43" s="5" t="n">
        <v>1350</v>
      </c>
      <c r="L43" s="92" t="n"/>
      <c r="M43" s="92" t="n"/>
      <c r="N43" s="5">
        <f>K43*L43</f>
        <v/>
      </c>
      <c r="O43" s="5" t="n"/>
      <c r="P43" s="90">
        <f>L43-I43</f>
        <v/>
      </c>
      <c r="Q43" s="90">
        <f>N43-J43</f>
        <v/>
      </c>
      <c r="R43" s="88">
        <f>IF(N43&gt;J43,(N43-J43),0)</f>
        <v/>
      </c>
      <c r="S43" s="88">
        <f>IF(N43&lt;J43,(N43-J43),0)</f>
        <v/>
      </c>
      <c r="T43" s="88">
        <f>S43+R43</f>
        <v/>
      </c>
      <c r="U43" s="88" t="n"/>
      <c r="V43" s="88" t="n"/>
      <c r="W43" s="88" t="n"/>
    </row>
    <row r="44" hidden="1" ht="41.4" customHeight="1" s="153">
      <c r="A44" s="4" t="inlineStr">
        <is>
          <t>Main BOQ</t>
        </is>
      </c>
      <c r="B44" s="4" t="inlineStr">
        <is>
          <t>CIVIL WORKS</t>
        </is>
      </c>
      <c r="C44" s="4" t="inlineStr">
        <is>
          <t>PLUMBING WORKS AND SANITARY FITTINGS</t>
        </is>
      </c>
      <c r="D44" s="4" t="inlineStr">
        <is>
          <t>Angular Stop Cock</t>
        </is>
      </c>
      <c r="E44" s="4" t="inlineStr">
        <is>
          <t>Supply fixing and installation of Angular stop cocks with wall flange [ Make Jaguar Florentine, model - FLR-CHR-5053N] to be provided only at the entry point of plumbing lines within the toilets and pantry</t>
        </is>
      </c>
      <c r="F44" s="4" t="inlineStr">
        <is>
          <t>Jaquar</t>
        </is>
      </c>
      <c r="G44" s="5" t="inlineStr">
        <is>
          <t>Nos</t>
        </is>
      </c>
      <c r="H44" s="5" t="n">
        <v>1150</v>
      </c>
      <c r="I44" s="5" t="n">
        <v>4</v>
      </c>
      <c r="J44" s="5" t="n">
        <v>4600</v>
      </c>
      <c r="K44" s="5" t="n">
        <v>1150</v>
      </c>
      <c r="L44" s="91">
        <f>'Measurement Sheet'!J363</f>
        <v/>
      </c>
      <c r="M44" s="91" t="n"/>
      <c r="N44" s="5">
        <f>K44*L44</f>
        <v/>
      </c>
      <c r="O44" s="5" t="n"/>
      <c r="P44" s="90">
        <f>L44-I44</f>
        <v/>
      </c>
      <c r="Q44" s="90">
        <f>N44-J44</f>
        <v/>
      </c>
      <c r="R44" s="88">
        <f>IF(N44&gt;J44,(N44-J44),0)</f>
        <v/>
      </c>
      <c r="S44" s="88">
        <f>IF(N44&lt;J44,(N44-J44),0)</f>
        <v/>
      </c>
      <c r="T44" s="88">
        <f>S44+R44</f>
        <v/>
      </c>
      <c r="U44" s="88" t="n"/>
      <c r="V44" s="88" t="n"/>
      <c r="W44" s="88" t="n"/>
    </row>
    <row r="45" ht="151.8" customHeight="1" s="153">
      <c r="A45" s="4" t="inlineStr">
        <is>
          <t>Main BOQ</t>
        </is>
      </c>
      <c r="B45" s="4" t="inlineStr">
        <is>
          <t>Carpentry Work</t>
        </is>
      </c>
      <c r="C45" s="4" t="inlineStr">
        <is>
          <t>STORAGE UNITS AND COUNTERS</t>
        </is>
      </c>
      <c r="D45" s="126" t="inlineStr">
        <is>
          <t>Shutter below pantry platform</t>
        </is>
      </c>
      <c r="E45" s="4"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F45" s="4" t="inlineStr">
        <is>
          <t>Samrat</t>
        </is>
      </c>
      <c r="G45" s="5" t="inlineStr">
        <is>
          <t>sft</t>
        </is>
      </c>
      <c r="H45" s="5" t="n">
        <v>575</v>
      </c>
      <c r="I45" s="5" t="n">
        <v>14</v>
      </c>
      <c r="J45" s="5" t="n">
        <v>8050</v>
      </c>
      <c r="K45" s="5" t="n">
        <v>575</v>
      </c>
      <c r="L45" s="91">
        <f>'Measurement Sheet'!J369</f>
        <v/>
      </c>
      <c r="M45" s="91" t="n"/>
      <c r="N45" s="5">
        <f>K45*L45</f>
        <v/>
      </c>
      <c r="O45" s="5" t="n"/>
      <c r="P45" s="90">
        <f>L45-I45</f>
        <v/>
      </c>
      <c r="Q45" s="90">
        <f>N45-J45</f>
        <v/>
      </c>
      <c r="R45" s="88">
        <f>IF(N45&gt;J45,(N45-J45),0)</f>
        <v/>
      </c>
      <c r="S45" s="88">
        <f>IF(N45&lt;J45,(N45-J45),0)</f>
        <v/>
      </c>
      <c r="T45" s="88">
        <f>S45+R45</f>
        <v/>
      </c>
      <c r="U45" s="88" t="n"/>
      <c r="V45" s="88" t="n"/>
      <c r="W45" s="88" t="n"/>
    </row>
    <row r="46" hidden="1" ht="41.4" customHeight="1" s="153">
      <c r="A46" s="4" t="inlineStr">
        <is>
          <t>Main BOQ</t>
        </is>
      </c>
      <c r="B46" s="4" t="inlineStr">
        <is>
          <t>CIVIL WORKS</t>
        </is>
      </c>
      <c r="C46" s="4" t="inlineStr">
        <is>
          <t>PLUMBING WORKS AND SANITARY FITTINGS</t>
        </is>
      </c>
      <c r="D46" s="4" t="inlineStr">
        <is>
          <t>Nahani Traps</t>
        </is>
      </c>
      <c r="E46" s="4" t="inlineStr">
        <is>
          <t>Supply and fixing of S.S. Nahani Trap Insect-Proof type as per approved sample in toilets and pantry.</t>
        </is>
      </c>
      <c r="F46" s="4" t="inlineStr">
        <is>
          <t>Make not provided</t>
        </is>
      </c>
      <c r="G46" s="5" t="inlineStr">
        <is>
          <t>Nos</t>
        </is>
      </c>
      <c r="H46" s="5" t="n">
        <v>650</v>
      </c>
      <c r="I46" s="5" t="n">
        <v>4</v>
      </c>
      <c r="J46" s="5" t="n">
        <v>2600</v>
      </c>
      <c r="K46" s="5" t="n">
        <v>650</v>
      </c>
      <c r="L46" s="91">
        <f>'Measurement Sheet'!J379</f>
        <v/>
      </c>
      <c r="M46" s="91" t="n"/>
      <c r="N46" s="5">
        <f>K46*L46</f>
        <v/>
      </c>
      <c r="O46" s="5" t="n"/>
      <c r="P46" s="90">
        <f>L46-I46</f>
        <v/>
      </c>
      <c r="Q46" s="90">
        <f>N46-J46</f>
        <v/>
      </c>
      <c r="R46" s="88">
        <f>IF(N46&gt;J46,(N46-J46),0)</f>
        <v/>
      </c>
      <c r="S46" s="88">
        <f>IF(N46&lt;J46,(N46-J46),0)</f>
        <v/>
      </c>
      <c r="T46" s="88">
        <f>S46+R46</f>
        <v/>
      </c>
      <c r="U46" s="88" t="n"/>
      <c r="V46" s="88" t="n"/>
      <c r="W46" s="88" t="n"/>
    </row>
    <row r="47" hidden="1" ht="41.4" customHeight="1" s="153">
      <c r="A47" s="4" t="inlineStr">
        <is>
          <t>Main BOQ</t>
        </is>
      </c>
      <c r="B47" s="4" t="inlineStr">
        <is>
          <t>CIVIL WORKS</t>
        </is>
      </c>
      <c r="C47" s="4" t="inlineStr">
        <is>
          <t>PLUMBING WORKS AND SANITARY FITTINGS</t>
        </is>
      </c>
      <c r="D47" s="4" t="inlineStr">
        <is>
          <t>Robe Hooks</t>
        </is>
      </c>
      <c r="E47" s="4" t="inlineStr">
        <is>
          <t>Supply &amp;fixing of SS finish Double Coat Hooks manufactured by Jaquar or as approved by bank or CPC team</t>
        </is>
      </c>
      <c r="F47" s="4" t="inlineStr">
        <is>
          <t>Jaquar</t>
        </is>
      </c>
      <c r="G47" s="5" t="inlineStr">
        <is>
          <t>Nos</t>
        </is>
      </c>
      <c r="H47" s="5" t="n">
        <v>550</v>
      </c>
      <c r="I47" s="5" t="n">
        <v>2</v>
      </c>
      <c r="J47" s="5" t="n">
        <v>1100</v>
      </c>
      <c r="K47" s="5" t="n">
        <v>550</v>
      </c>
      <c r="L47" s="91">
        <f>'Measurement Sheet'!J385</f>
        <v/>
      </c>
      <c r="M47" s="91" t="n"/>
      <c r="N47" s="5">
        <f>K47*L47</f>
        <v/>
      </c>
      <c r="O47" s="5" t="n"/>
      <c r="P47" s="90">
        <f>L47-I47</f>
        <v/>
      </c>
      <c r="Q47" s="90">
        <f>N47-J47</f>
        <v/>
      </c>
      <c r="R47" s="88">
        <f>IF(N47&gt;J47,(N47-J47),0)</f>
        <v/>
      </c>
      <c r="S47" s="88">
        <f>IF(N47&lt;J47,(N47-J47),0)</f>
        <v/>
      </c>
      <c r="T47" s="88">
        <f>S47+R47</f>
        <v/>
      </c>
      <c r="U47" s="88" t="n"/>
      <c r="V47" s="88" t="n"/>
      <c r="W47" s="88" t="n"/>
    </row>
    <row r="48" ht="138" customHeight="1" s="153">
      <c r="A48" s="4" t="inlineStr">
        <is>
          <t>Main BOQ</t>
        </is>
      </c>
      <c r="B48" s="4" t="inlineStr">
        <is>
          <t>Carpentry Work</t>
        </is>
      </c>
      <c r="C48" s="4" t="inlineStr">
        <is>
          <t>STORAGE UNITS AND COUNTERS</t>
        </is>
      </c>
      <c r="D48" s="4" t="inlineStr">
        <is>
          <t>Over Head Storage</t>
        </is>
      </c>
      <c r="E48"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F48" s="4" t="inlineStr">
        <is>
          <t>Samrat</t>
        </is>
      </c>
      <c r="G48" s="5" t="inlineStr">
        <is>
          <t>sft</t>
        </is>
      </c>
      <c r="H48" s="5" t="n">
        <v>850</v>
      </c>
      <c r="I48" s="5" t="n">
        <v>14</v>
      </c>
      <c r="J48" s="5" t="n">
        <v>11900</v>
      </c>
      <c r="K48" s="5" t="n">
        <v>850</v>
      </c>
      <c r="L48" s="91">
        <f>'Measurement Sheet'!J393</f>
        <v/>
      </c>
      <c r="M48" s="91" t="n"/>
      <c r="N48" s="5">
        <f>K48*L48</f>
        <v/>
      </c>
      <c r="O48" s="5" t="n"/>
      <c r="P48" s="90">
        <f>L48-I48</f>
        <v/>
      </c>
      <c r="Q48" s="90">
        <f>N48-J48</f>
        <v/>
      </c>
      <c r="R48" s="88">
        <f>IF(N48&gt;J48,(N48-J48),0)</f>
        <v/>
      </c>
      <c r="S48" s="88">
        <f>IF(N48&lt;J48,(N48-J48),0)</f>
        <v/>
      </c>
      <c r="T48" s="88">
        <f>S48+R48</f>
        <v/>
      </c>
      <c r="U48" s="88" t="n"/>
      <c r="V48" s="100" t="inlineStr">
        <is>
          <t>Quantity Exceeded from the Work order project Manager Approval Required</t>
        </is>
      </c>
      <c r="W48" s="88" t="n"/>
    </row>
    <row r="49" ht="55.2" customHeight="1" s="153">
      <c r="A49" s="4" t="inlineStr">
        <is>
          <t>Main BOQ</t>
        </is>
      </c>
      <c r="B49" s="4" t="inlineStr">
        <is>
          <t>CIVIL WORKS</t>
        </is>
      </c>
      <c r="C49" s="4" t="inlineStr">
        <is>
          <t>PLUMBING WORKS AND SANITARY FITTINGS</t>
        </is>
      </c>
      <c r="D49" s="4" t="inlineStr">
        <is>
          <t>Mirror</t>
        </is>
      </c>
      <c r="E49" s="4" t="inlineStr">
        <is>
          <t>Supply and fixing Mirrors of Saint Gobain or Asahi make 5.0mm thick with plastic film backing, backing to have 12 mm shuttering plywood [marine grade], with 25 x 10mm wooden beading of all four sides with french polish.</t>
        </is>
      </c>
      <c r="F49" s="4" t="inlineStr">
        <is>
          <t>Make not provided</t>
        </is>
      </c>
      <c r="G49" s="5" t="inlineStr">
        <is>
          <t>Sft</t>
        </is>
      </c>
      <c r="H49" s="5" t="n">
        <v>200</v>
      </c>
      <c r="I49" s="5" t="n">
        <v>27</v>
      </c>
      <c r="J49" s="5" t="n">
        <v>5400</v>
      </c>
      <c r="K49" s="5" t="n">
        <v>200</v>
      </c>
      <c r="L49" s="91">
        <f>'Measurement Sheet'!J403</f>
        <v/>
      </c>
      <c r="M49" s="91" t="n"/>
      <c r="N49" s="5">
        <f>K49*L49</f>
        <v/>
      </c>
      <c r="O49" s="5" t="n"/>
      <c r="P49" s="90">
        <f>L49-I49</f>
        <v/>
      </c>
      <c r="Q49" s="90">
        <f>N49-J49</f>
        <v/>
      </c>
      <c r="R49" s="88">
        <f>IF(N49&gt;J49,(N49-J49),0)</f>
        <v/>
      </c>
      <c r="S49" s="88">
        <f>IF(N49&lt;J49,(N49-J49),0)</f>
        <v/>
      </c>
      <c r="T49" s="88">
        <f>S49+R49</f>
        <v/>
      </c>
      <c r="U49" s="88" t="n"/>
      <c r="V49" s="88" t="n"/>
      <c r="W49" s="88" t="n"/>
    </row>
    <row r="50" hidden="1" ht="55.2" customHeight="1" s="153">
      <c r="A50" s="4" t="inlineStr">
        <is>
          <t>Main BOQ</t>
        </is>
      </c>
      <c r="B50" s="4" t="inlineStr">
        <is>
          <t>CIVIL WORKS</t>
        </is>
      </c>
      <c r="C50" s="4" t="inlineStr">
        <is>
          <t>PLUMBING WORKS AND SANITARY FITTINGS</t>
        </is>
      </c>
      <c r="D50" s="4" t="inlineStr">
        <is>
          <t>Health Faucet</t>
        </is>
      </c>
      <c r="E50" s="4" t="inlineStr">
        <is>
          <t>Supply &amp;fixing of Jaguar make [model no. ALD- CHR-565] Health Faucet in all WC cubicles complete with all accessories such as flexible hose, wall hook, Jaguar make etc. All of CP finish.
Separate rate for angle cock.</t>
        </is>
      </c>
      <c r="F50" s="4" t="inlineStr">
        <is>
          <t>Jaquar</t>
        </is>
      </c>
      <c r="G50" s="5" t="inlineStr">
        <is>
          <t>Nos</t>
        </is>
      </c>
      <c r="H50" s="5" t="n">
        <v>1350</v>
      </c>
      <c r="I50" s="5" t="n">
        <v>2</v>
      </c>
      <c r="J50" s="5" t="n">
        <v>2700</v>
      </c>
      <c r="K50" s="5" t="n">
        <v>1350</v>
      </c>
      <c r="L50" s="91">
        <f>'Measurement Sheet'!J411</f>
        <v/>
      </c>
      <c r="M50" s="91" t="n"/>
      <c r="N50" s="5">
        <f>K50*L50</f>
        <v/>
      </c>
      <c r="O50" s="5" t="n"/>
      <c r="P50" s="90">
        <f>L50-I50</f>
        <v/>
      </c>
      <c r="Q50" s="90">
        <f>N50-J50</f>
        <v/>
      </c>
      <c r="R50" s="88">
        <f>IF(N50&gt;J50,(N50-J50),0)</f>
        <v/>
      </c>
      <c r="S50" s="88">
        <f>IF(N50&lt;J50,(N50-J50),0)</f>
        <v/>
      </c>
      <c r="T50" s="88">
        <f>S50+R50</f>
        <v/>
      </c>
      <c r="U50" s="88" t="n"/>
      <c r="V50" s="88" t="n"/>
      <c r="W50" s="88" t="n"/>
    </row>
    <row r="51" hidden="1" ht="41.4" customHeight="1" s="153">
      <c r="A51" s="4" t="inlineStr">
        <is>
          <t>Main BOQ</t>
        </is>
      </c>
      <c r="B51" s="4" t="inlineStr">
        <is>
          <t>CIVIL WORKS</t>
        </is>
      </c>
      <c r="C51" s="4" t="inlineStr">
        <is>
          <t>PLUMBING WORKS AND SANITARY FITTINGS</t>
        </is>
      </c>
      <c r="D51" s="4" t="inlineStr">
        <is>
          <t>Kichen Sink Cock</t>
        </is>
      </c>
      <c r="E51" s="4" t="inlineStr">
        <is>
          <t>Supply and Fixing in position Long body Sink Cock, heavy duty brass chromium-plated, of Jaguar Florentine Make FLR-CHR-5347N [wall mount] OR FLR-CHR-5357N [Floor Mount].</t>
        </is>
      </c>
      <c r="F51" s="4" t="inlineStr">
        <is>
          <t>Jaquar</t>
        </is>
      </c>
      <c r="G51" s="5" t="inlineStr">
        <is>
          <t>Nos</t>
        </is>
      </c>
      <c r="H51" s="5" t="n">
        <v>2250</v>
      </c>
      <c r="I51" s="5" t="n">
        <v>1</v>
      </c>
      <c r="J51" s="5" t="n">
        <v>2250</v>
      </c>
      <c r="K51" s="5" t="n">
        <v>2250</v>
      </c>
      <c r="L51" s="91">
        <f>'Measurement Sheet'!J417</f>
        <v/>
      </c>
      <c r="M51" s="91" t="n"/>
      <c r="N51" s="5">
        <f>K51*L51</f>
        <v/>
      </c>
      <c r="O51" s="5" t="n"/>
      <c r="P51" s="90">
        <f>L51-I51</f>
        <v/>
      </c>
      <c r="Q51" s="90">
        <f>N51-J51</f>
        <v/>
      </c>
      <c r="R51" s="88">
        <f>IF(N51&gt;J51,(N51-J51),0)</f>
        <v/>
      </c>
      <c r="S51" s="88">
        <f>IF(N51&lt;J51,(N51-J51),0)</f>
        <v/>
      </c>
      <c r="T51" s="88">
        <f>S51+R51</f>
        <v/>
      </c>
      <c r="U51" s="88" t="n"/>
      <c r="V51" s="88" t="n"/>
      <c r="W51" s="88" t="n"/>
    </row>
    <row r="52" ht="66" customHeight="1" s="153">
      <c r="A52" s="4" t="inlineStr">
        <is>
          <t>Non-Interior Work</t>
        </is>
      </c>
      <c r="B52" s="4" t="inlineStr">
        <is>
          <t>Non-Interior Works</t>
        </is>
      </c>
      <c r="C52" s="4" t="inlineStr">
        <is>
          <t>BRICK AND PLASTER WORKS</t>
        </is>
      </c>
      <c r="D52" s="4" t="inlineStr">
        <is>
          <t>Jet Black Granite</t>
        </is>
      </c>
      <c r="E52"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F52" s="4" t="inlineStr">
        <is>
          <t>NA</t>
        </is>
      </c>
      <c r="G52" s="5" t="inlineStr">
        <is>
          <t>Rft</t>
        </is>
      </c>
      <c r="H52" s="5" t="n">
        <v>245</v>
      </c>
      <c r="I52" s="5" t="n">
        <v>117</v>
      </c>
      <c r="J52" s="5" t="n">
        <v>28665</v>
      </c>
      <c r="K52" s="5" t="n">
        <v>245</v>
      </c>
      <c r="L52" s="91">
        <f>'Measurement Sheet'!J445</f>
        <v/>
      </c>
      <c r="M52" s="91" t="n"/>
      <c r="N52" s="5">
        <f>K52*L52</f>
        <v/>
      </c>
      <c r="O52" s="5" t="n"/>
      <c r="P52" s="90">
        <f>L52-I52</f>
        <v/>
      </c>
      <c r="Q52" s="90">
        <f>N52-J52</f>
        <v/>
      </c>
      <c r="R52" s="88">
        <f>IF(N52&gt;J52,(N52-J52),0)</f>
        <v/>
      </c>
      <c r="S52" s="88">
        <f>IF(N52&lt;J52,(N52-J52),0)</f>
        <v/>
      </c>
      <c r="T52" s="88">
        <f>S52+R52</f>
        <v/>
      </c>
      <c r="U52" s="88" t="n"/>
      <c r="V52" s="100" t="inlineStr">
        <is>
          <t>Quantity Exceeded from the Work order project Manager Approval Required</t>
        </is>
      </c>
      <c r="W52" s="88" t="n"/>
    </row>
    <row r="53" hidden="1" ht="41.4" customHeight="1" s="153">
      <c r="A53" s="4" t="inlineStr">
        <is>
          <t>Main BOQ</t>
        </is>
      </c>
      <c r="B53" s="4" t="inlineStr">
        <is>
          <t>CIVIL WORKS</t>
        </is>
      </c>
      <c r="C53" s="4" t="inlineStr">
        <is>
          <t>PLUMBING WORKS AND SANITARY FITTINGS</t>
        </is>
      </c>
      <c r="D53" s="4" t="inlineStr">
        <is>
          <t>Tissue Roll Holders</t>
        </is>
      </c>
      <c r="E53" s="4" t="inlineStr">
        <is>
          <t>Supply &amp;fixing of Toilet paper holder manufactured by Jaquar or as approved by bank or CPC team Make : Jaquar ACN-1151N</t>
        </is>
      </c>
      <c r="F53" s="4" t="inlineStr">
        <is>
          <t>Jaquar</t>
        </is>
      </c>
      <c r="G53" s="5" t="inlineStr">
        <is>
          <t>Nos</t>
        </is>
      </c>
      <c r="H53" s="5" t="n">
        <v>600</v>
      </c>
      <c r="I53" s="5" t="n">
        <v>2</v>
      </c>
      <c r="J53" s="5" t="n">
        <v>1200</v>
      </c>
      <c r="K53" s="5" t="n">
        <v>600</v>
      </c>
      <c r="L53" s="91">
        <f>'Measurement Sheet'!J453</f>
        <v/>
      </c>
      <c r="M53" s="91" t="n"/>
      <c r="N53" s="5">
        <f>K53*L53</f>
        <v/>
      </c>
      <c r="O53" s="5" t="n"/>
      <c r="P53" s="90">
        <f>L53-I53</f>
        <v/>
      </c>
      <c r="Q53" s="90">
        <f>N53-J53</f>
        <v/>
      </c>
      <c r="R53" s="88">
        <f>IF(N53&gt;J53,(N53-J53),0)</f>
        <v/>
      </c>
      <c r="S53" s="88">
        <f>IF(N53&lt;J53,(N53-J53),0)</f>
        <v/>
      </c>
      <c r="T53" s="88">
        <f>S53+R53</f>
        <v/>
      </c>
      <c r="U53" s="88" t="n"/>
      <c r="V53" s="88" t="n"/>
      <c r="W53" s="88" t="n"/>
    </row>
    <row r="54" hidden="1" ht="82.8" customHeight="1" s="153">
      <c r="A54" s="4" t="inlineStr">
        <is>
          <t>Non-Interior Work</t>
        </is>
      </c>
      <c r="B54" s="4" t="inlineStr">
        <is>
          <t>Non-Interior Works</t>
        </is>
      </c>
      <c r="C54" s="4" t="inlineStr">
        <is>
          <t>BRICK AND PLASTER WORKS</t>
        </is>
      </c>
      <c r="D54" s="4" t="inlineStr">
        <is>
          <t>RCC lintels for door, window &amp;Wall</t>
        </is>
      </c>
      <c r="E54" s="4"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F54" s="4" t="inlineStr">
        <is>
          <t>NA</t>
        </is>
      </c>
      <c r="G54" s="5" t="inlineStr">
        <is>
          <t>Nos</t>
        </is>
      </c>
      <c r="H54" s="5" t="n">
        <v>1400</v>
      </c>
      <c r="I54" s="5" t="n">
        <v>3</v>
      </c>
      <c r="J54" s="5" t="n">
        <v>4200</v>
      </c>
      <c r="K54" s="5" t="n">
        <v>1400</v>
      </c>
      <c r="L54" s="91">
        <f>'Measurement Sheet'!J463</f>
        <v/>
      </c>
      <c r="M54" s="91" t="n"/>
      <c r="N54" s="5">
        <f>K54*L54</f>
        <v/>
      </c>
      <c r="O54" s="5" t="n"/>
      <c r="P54" s="90">
        <f>L54-I54</f>
        <v/>
      </c>
      <c r="Q54" s="90">
        <f>N54-J54</f>
        <v/>
      </c>
      <c r="R54" s="88">
        <f>IF(N54&gt;J54,(N54-J54),0)</f>
        <v/>
      </c>
      <c r="S54" s="88">
        <f>IF(N54&lt;J54,(N54-J54),0)</f>
        <v/>
      </c>
      <c r="T54" s="88">
        <f>S54+R54</f>
        <v/>
      </c>
      <c r="U54" s="88" t="n"/>
      <c r="V54" s="88" t="n"/>
      <c r="W54" s="88" t="n"/>
    </row>
    <row r="55" hidden="1" ht="110.4" customHeight="1" s="153">
      <c r="A55" s="4" t="inlineStr">
        <is>
          <t>Main BOQ</t>
        </is>
      </c>
      <c r="B55" s="4" t="inlineStr">
        <is>
          <t>Carpentry Work</t>
        </is>
      </c>
      <c r="C55" s="4" t="inlineStr">
        <is>
          <t>STORAGE UNITS AND COUNTERS</t>
        </is>
      </c>
      <c r="D55" s="4" t="inlineStr">
        <is>
          <t>Janitor Box _House keeping storage unit</t>
        </is>
      </c>
      <c r="E55" s="4"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F55" s="4" t="inlineStr">
        <is>
          <t>Samrat</t>
        </is>
      </c>
      <c r="G55" s="5" t="inlineStr">
        <is>
          <t>nos</t>
        </is>
      </c>
      <c r="H55" s="5" t="n">
        <v>8500</v>
      </c>
      <c r="I55" s="5" t="n">
        <v>1</v>
      </c>
      <c r="J55" s="5" t="n">
        <v>8500</v>
      </c>
      <c r="K55" s="5" t="n">
        <v>8500</v>
      </c>
      <c r="L55" s="91">
        <f>'Measurement Sheet'!J469</f>
        <v/>
      </c>
      <c r="M55" s="91" t="n"/>
      <c r="N55" s="5">
        <f>K55*L55</f>
        <v/>
      </c>
      <c r="O55" s="5" t="n"/>
      <c r="P55" s="90">
        <f>L55-I55</f>
        <v/>
      </c>
      <c r="Q55" s="90">
        <f>N55-J55</f>
        <v/>
      </c>
      <c r="R55" s="88">
        <f>IF(N55&gt;J55,(N55-J55),0)</f>
        <v/>
      </c>
      <c r="S55" s="88">
        <f>IF(N55&lt;J55,(N55-J55),0)</f>
        <v/>
      </c>
      <c r="T55" s="88">
        <f>S55+R55</f>
        <v/>
      </c>
      <c r="U55" s="88" t="n"/>
      <c r="V55" s="88" t="n"/>
      <c r="W55" s="88" t="n"/>
    </row>
    <row r="56" hidden="1" ht="96.59999999999999" customHeight="1" s="153">
      <c r="A56" s="4" t="inlineStr">
        <is>
          <t>Main BOQ</t>
        </is>
      </c>
      <c r="B56" s="4" t="inlineStr">
        <is>
          <t>CIVIL WORKS</t>
        </is>
      </c>
      <c r="C56" s="4" t="inlineStr">
        <is>
          <t>PLUMBING WORKS AND SANITARY FITTINGS</t>
        </is>
      </c>
      <c r="D56" s="4" t="inlineStr">
        <is>
          <t>Small Wash Basin inside WC</t>
        </is>
      </c>
      <c r="E56" s="4"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F56" s="4" t="inlineStr">
        <is>
          <t>Jaquar</t>
        </is>
      </c>
      <c r="G56" s="5" t="inlineStr">
        <is>
          <t>Nos</t>
        </is>
      </c>
      <c r="H56" s="5" t="n">
        <v>6500</v>
      </c>
      <c r="I56" s="5" t="n">
        <v>2</v>
      </c>
      <c r="J56" s="5" t="n">
        <v>13000</v>
      </c>
      <c r="K56" s="5" t="n">
        <v>6500</v>
      </c>
      <c r="L56" s="91">
        <f>'Measurement Sheet'!J478</f>
        <v/>
      </c>
      <c r="M56" s="91" t="n"/>
      <c r="N56" s="5">
        <f>K56*L56</f>
        <v/>
      </c>
      <c r="O56" s="5" t="n"/>
      <c r="P56" s="90">
        <f>L56-I56</f>
        <v/>
      </c>
      <c r="Q56" s="90">
        <f>N56-J56</f>
        <v/>
      </c>
      <c r="R56" s="88">
        <f>IF(N56&gt;J56,(N56-J56),0)</f>
        <v/>
      </c>
      <c r="S56" s="88">
        <f>IF(N56&lt;J56,(N56-J56),0)</f>
        <v/>
      </c>
      <c r="T56" s="88">
        <f>S56+R56</f>
        <v/>
      </c>
      <c r="U56" s="88" t="n"/>
      <c r="V56" s="88" t="n"/>
      <c r="W56" s="88" t="n"/>
    </row>
    <row r="57" ht="82.8" customHeight="1" s="153">
      <c r="A57" s="4" t="inlineStr">
        <is>
          <t>Non-Interior Work</t>
        </is>
      </c>
      <c r="B57" s="4" t="inlineStr">
        <is>
          <t>Non-Interior Works</t>
        </is>
      </c>
      <c r="C57" s="4" t="inlineStr">
        <is>
          <t>BRICK AND PLASTER WORKS</t>
        </is>
      </c>
      <c r="D57" s="4" t="inlineStr">
        <is>
          <t>POP Punning on wall</t>
        </is>
      </c>
      <c r="E57" s="4"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F57" s="4" t="inlineStr">
        <is>
          <t>NA</t>
        </is>
      </c>
      <c r="G57" s="5" t="inlineStr">
        <is>
          <t>Sft</t>
        </is>
      </c>
      <c r="H57" s="5" t="n">
        <v>20</v>
      </c>
      <c r="I57" s="5" t="n">
        <v>2120</v>
      </c>
      <c r="J57" s="5" t="n">
        <v>42400</v>
      </c>
      <c r="K57" s="5" t="n">
        <v>20</v>
      </c>
      <c r="L57" s="91">
        <f>'Measurement Sheet'!J532</f>
        <v/>
      </c>
      <c r="M57" s="91" t="n"/>
      <c r="N57" s="5">
        <f>K57*L57</f>
        <v/>
      </c>
      <c r="O57" s="5" t="n"/>
      <c r="P57" s="90">
        <f>L57-I57</f>
        <v/>
      </c>
      <c r="Q57" s="90">
        <f>N57-J57</f>
        <v/>
      </c>
      <c r="R57" s="88">
        <f>IF(N57&gt;J57,(N57-J57),0)</f>
        <v/>
      </c>
      <c r="S57" s="88">
        <f>IF(N57&lt;J57,(N57-J57),0)</f>
        <v/>
      </c>
      <c r="T57" s="88">
        <f>S57+R57</f>
        <v/>
      </c>
      <c r="U57" s="88" t="n"/>
      <c r="V57" s="88" t="n"/>
      <c r="W57" s="88" t="n"/>
    </row>
    <row r="58" hidden="1" ht="27.6" customHeight="1" s="153">
      <c r="A58" s="4" t="inlineStr">
        <is>
          <t>Main BOQ</t>
        </is>
      </c>
      <c r="B58" s="4" t="inlineStr">
        <is>
          <t>Carpentry Work</t>
        </is>
      </c>
      <c r="C58" s="4" t="inlineStr">
        <is>
          <t>MISCELLANEOUS</t>
        </is>
      </c>
      <c r="D58" s="4" t="inlineStr">
        <is>
          <t>Curtain for Locker Room</t>
        </is>
      </c>
      <c r="E58" s="4" t="inlineStr">
        <is>
          <t>providing and fixing PVC Coated Fabric curtain in Grey colour for Locker Room</t>
        </is>
      </c>
      <c r="F58" s="4" t="inlineStr">
        <is>
          <t>NA</t>
        </is>
      </c>
      <c r="G58" s="5" t="inlineStr">
        <is>
          <t>Lsum</t>
        </is>
      </c>
      <c r="H58" s="5" t="n">
        <v>1600</v>
      </c>
      <c r="I58" s="5" t="n">
        <v>1</v>
      </c>
      <c r="J58" s="5" t="n">
        <v>1600</v>
      </c>
      <c r="K58" s="5" t="n">
        <v>1600</v>
      </c>
      <c r="L58" s="91">
        <f>'Measurement Sheet'!J538</f>
        <v/>
      </c>
      <c r="M58" s="91" t="n"/>
      <c r="N58" s="5">
        <f>K58*L58</f>
        <v/>
      </c>
      <c r="O58" s="5" t="n"/>
      <c r="P58" s="90">
        <f>L58-I58</f>
        <v/>
      </c>
      <c r="Q58" s="90">
        <f>N58-J58</f>
        <v/>
      </c>
      <c r="R58" s="88">
        <f>IF(N58&gt;J58,(N58-J58),0)</f>
        <v/>
      </c>
      <c r="S58" s="88">
        <f>IF(N58&lt;J58,(N58-J58),0)</f>
        <v/>
      </c>
      <c r="T58" s="88">
        <f>S58+R58</f>
        <v/>
      </c>
      <c r="U58" s="88" t="n"/>
      <c r="V58" s="88" t="n"/>
      <c r="W58" s="88" t="n"/>
    </row>
    <row r="59" hidden="1" ht="110.4" customHeight="1" s="153">
      <c r="A59" s="4" t="inlineStr">
        <is>
          <t>Main BOQ</t>
        </is>
      </c>
      <c r="B59" s="4" t="inlineStr">
        <is>
          <t>CIVIL WORKS</t>
        </is>
      </c>
      <c r="C59" s="4" t="inlineStr">
        <is>
          <t>PLUMBING WORKS AND SANITARY FITTINGS</t>
        </is>
      </c>
      <c r="D59" s="4" t="inlineStr">
        <is>
          <t>Urinals</t>
        </is>
      </c>
      <c r="E59" s="4"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F59" s="4" t="inlineStr">
        <is>
          <t>Jaquar</t>
        </is>
      </c>
      <c r="G59" s="5" t="inlineStr">
        <is>
          <t>Nos</t>
        </is>
      </c>
      <c r="H59" s="5" t="n">
        <v>7000</v>
      </c>
      <c r="I59" s="5" t="n">
        <v>1</v>
      </c>
      <c r="J59" s="5" t="n">
        <v>7000</v>
      </c>
      <c r="K59" s="5" t="n">
        <v>7000</v>
      </c>
      <c r="L59" s="91">
        <f>'Measurement Sheet'!J544</f>
        <v/>
      </c>
      <c r="M59" s="91" t="n"/>
      <c r="N59" s="5">
        <f>K59*L59</f>
        <v/>
      </c>
      <c r="O59" s="5" t="n"/>
      <c r="P59" s="90">
        <f>L59-I59</f>
        <v/>
      </c>
      <c r="Q59" s="90">
        <f>N59-J59</f>
        <v/>
      </c>
      <c r="R59" s="88">
        <f>IF(N59&gt;J59,(N59-J59),0)</f>
        <v/>
      </c>
      <c r="S59" s="88">
        <f>IF(N59&lt;J59,(N59-J59),0)</f>
        <v/>
      </c>
      <c r="T59" s="88">
        <f>S59+R59</f>
        <v/>
      </c>
      <c r="U59" s="88" t="n"/>
      <c r="V59" s="88" t="n"/>
      <c r="W59" s="88" t="n"/>
    </row>
    <row r="60" ht="138" customHeight="1" s="153">
      <c r="A60" s="4" t="inlineStr">
        <is>
          <t>Non-Interior Work</t>
        </is>
      </c>
      <c r="B60" s="4" t="inlineStr">
        <is>
          <t>Non-Interior Works</t>
        </is>
      </c>
      <c r="C60" s="4" t="inlineStr">
        <is>
          <t>BRICK AND PLASTER WORKS</t>
        </is>
      </c>
      <c r="D60" s="4" t="inlineStr">
        <is>
          <t>Cement Plaster Externals</t>
        </is>
      </c>
      <c r="E60"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F60" s="4" t="inlineStr">
        <is>
          <t>NA</t>
        </is>
      </c>
      <c r="G60" s="5" t="inlineStr">
        <is>
          <t>Sft</t>
        </is>
      </c>
      <c r="H60" s="5" t="n">
        <v>40</v>
      </c>
      <c r="I60" s="5" t="n">
        <v>50</v>
      </c>
      <c r="J60" s="5" t="n">
        <v>2000</v>
      </c>
      <c r="K60" s="5" t="n">
        <v>40</v>
      </c>
      <c r="L60" s="91">
        <f>'Measurement Sheet'!J553</f>
        <v/>
      </c>
      <c r="M60" s="91" t="n"/>
      <c r="N60" s="5">
        <f>K60*L60</f>
        <v/>
      </c>
      <c r="O60" s="5" t="n"/>
      <c r="P60" s="90">
        <f>L60-I60</f>
        <v/>
      </c>
      <c r="Q60" s="90">
        <f>N60-J60</f>
        <v/>
      </c>
      <c r="R60" s="88">
        <f>IF(N60&gt;J60,(N60-J60),0)</f>
        <v/>
      </c>
      <c r="S60" s="88">
        <f>IF(N60&lt;J60,(N60-J60),0)</f>
        <v/>
      </c>
      <c r="T60" s="88">
        <f>S60+R60</f>
        <v/>
      </c>
      <c r="U60" s="88" t="n"/>
      <c r="V60" s="100" t="inlineStr">
        <is>
          <t>Quantity Exceeded from the Work order project Manager Approval Required</t>
        </is>
      </c>
      <c r="W60" s="88" t="n"/>
    </row>
    <row r="61" hidden="1" ht="27.6" customHeight="1" s="153">
      <c r="A61" s="4" t="inlineStr">
        <is>
          <t>Non-Interior Work</t>
        </is>
      </c>
      <c r="B61" s="4" t="inlineStr">
        <is>
          <t>Non-Interior Works</t>
        </is>
      </c>
      <c r="C61" s="4" t="inlineStr">
        <is>
          <t>METAL-WORK</t>
        </is>
      </c>
      <c r="D61" s="4" t="inlineStr">
        <is>
          <t>Rolling Shutters-Locks</t>
        </is>
      </c>
      <c r="E61" s="4" t="inlineStr">
        <is>
          <t>Providing and fixing heavy duty circular locks for rolling shutters with multiple keys, Godrej Navtal make.</t>
        </is>
      </c>
      <c r="F61" s="4" t="inlineStr">
        <is>
          <t>godrej</t>
        </is>
      </c>
      <c r="G61" s="5" t="inlineStr">
        <is>
          <t>Nos</t>
        </is>
      </c>
      <c r="H61" s="5" t="n">
        <v>550</v>
      </c>
      <c r="I61" s="5" t="n">
        <v>10</v>
      </c>
      <c r="J61" s="5" t="n">
        <v>5500</v>
      </c>
      <c r="K61" s="5" t="n">
        <v>550</v>
      </c>
      <c r="L61" s="91">
        <f>'Measurement Sheet'!J559</f>
        <v/>
      </c>
      <c r="M61" s="91" t="n"/>
      <c r="N61" s="5">
        <f>K61*L61</f>
        <v/>
      </c>
      <c r="O61" s="5" t="n"/>
      <c r="P61" s="90">
        <f>L61-I61</f>
        <v/>
      </c>
      <c r="Q61" s="90">
        <f>N61-J61</f>
        <v/>
      </c>
      <c r="R61" s="88">
        <f>IF(N61&gt;J61,(N61-J61),0)</f>
        <v/>
      </c>
      <c r="S61" s="88">
        <f>IF(N61&lt;J61,(N61-J61),0)</f>
        <v/>
      </c>
      <c r="T61" s="88">
        <f>S61+R61</f>
        <v/>
      </c>
      <c r="U61" s="88" t="n"/>
      <c r="V61" s="88" t="n"/>
      <c r="W61" s="88" t="n"/>
    </row>
    <row r="62" hidden="1" ht="69" customHeight="1" s="153">
      <c r="A62" s="4" t="inlineStr">
        <is>
          <t>Main BOQ</t>
        </is>
      </c>
      <c r="B62" s="4" t="inlineStr">
        <is>
          <t>Carpentry Work</t>
        </is>
      </c>
      <c r="C62" s="4" t="inlineStr">
        <is>
          <t>MISCELLANEOUS</t>
        </is>
      </c>
      <c r="D62" s="4" t="inlineStr">
        <is>
          <t>Writing Ledge 33 inch X 18inch Glass top</t>
        </is>
      </c>
      <c r="E62" s="4"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F62" s="4" t="inlineStr">
        <is>
          <t>Samrat</t>
        </is>
      </c>
      <c r="G62" s="5" t="inlineStr">
        <is>
          <t>nos</t>
        </is>
      </c>
      <c r="H62" s="5" t="n">
        <v>3500</v>
      </c>
      <c r="I62" s="5" t="n">
        <v>2</v>
      </c>
      <c r="J62" s="5" t="n">
        <v>7000</v>
      </c>
      <c r="K62" s="5" t="n">
        <v>3500</v>
      </c>
      <c r="L62" s="92" t="n"/>
      <c r="M62" s="92" t="n"/>
      <c r="N62" s="5">
        <f>K62*L62</f>
        <v/>
      </c>
      <c r="O62" s="5" t="n"/>
      <c r="P62" s="90">
        <f>L62-I62</f>
        <v/>
      </c>
      <c r="Q62" s="90">
        <f>N62-J62</f>
        <v/>
      </c>
      <c r="R62" s="88">
        <f>IF(N62&gt;J62,(N62-J62),0)</f>
        <v/>
      </c>
      <c r="S62" s="88">
        <f>IF(N62&lt;J62,(N62-J62),0)</f>
        <v/>
      </c>
      <c r="T62" s="88">
        <f>S62+R62</f>
        <v/>
      </c>
      <c r="U62" s="88" t="n"/>
      <c r="V62" s="88" t="n"/>
      <c r="W62" s="88" t="n"/>
    </row>
    <row r="63" ht="69" customHeight="1" s="153">
      <c r="A63" s="4" t="inlineStr">
        <is>
          <t>Non-Interior Work</t>
        </is>
      </c>
      <c r="B63" s="4" t="inlineStr">
        <is>
          <t>Non-Interior Works</t>
        </is>
      </c>
      <c r="C63" s="4" t="inlineStr">
        <is>
          <t>METAL-WORK</t>
        </is>
      </c>
      <c r="D63" s="4" t="inlineStr">
        <is>
          <t>SS-handrails</t>
        </is>
      </c>
      <c r="E63"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F63" s="4" t="inlineStr">
        <is>
          <t>NA</t>
        </is>
      </c>
      <c r="G63" s="5" t="inlineStr">
        <is>
          <t>Rft</t>
        </is>
      </c>
      <c r="H63" s="5" t="n">
        <v>1275</v>
      </c>
      <c r="I63" s="5" t="n">
        <v>12</v>
      </c>
      <c r="J63" s="5" t="n">
        <v>15300</v>
      </c>
      <c r="K63" s="5" t="n">
        <v>1275</v>
      </c>
      <c r="L63" s="91">
        <f>'Measurement Sheet'!J566</f>
        <v/>
      </c>
      <c r="M63" s="91" t="n"/>
      <c r="N63" s="5">
        <f>K63*L63</f>
        <v/>
      </c>
      <c r="O63" s="5" t="n"/>
      <c r="P63" s="90">
        <f>L63-I63</f>
        <v/>
      </c>
      <c r="Q63" s="90">
        <f>N63-J63</f>
        <v/>
      </c>
      <c r="R63" s="88">
        <f>IF(N63&gt;J63,(N63-J63),0)</f>
        <v/>
      </c>
      <c r="S63" s="88">
        <f>IF(N63&lt;J63,(N63-J63),0)</f>
        <v/>
      </c>
      <c r="T63" s="88">
        <f>S63+R63</f>
        <v/>
      </c>
      <c r="U63" s="88" t="n"/>
      <c r="V63" s="100" t="inlineStr">
        <is>
          <t>Quantity Exceeded from the Work order project Manager Approval Required</t>
        </is>
      </c>
      <c r="W63" s="88" t="n"/>
    </row>
    <row r="64" ht="138" customHeight="1" s="153">
      <c r="A64" s="4" t="inlineStr">
        <is>
          <t>Main BOQ</t>
        </is>
      </c>
      <c r="B64" s="4" t="inlineStr">
        <is>
          <t>CIVIL WORKS</t>
        </is>
      </c>
      <c r="C64" s="4" t="inlineStr">
        <is>
          <t>PAINTING</t>
        </is>
      </c>
      <c r="D64" s="4" t="inlineStr">
        <is>
          <t>Paint on Walls &amp;Ceiling</t>
        </is>
      </c>
      <c r="E64"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64" s="4" t="inlineStr">
        <is>
          <t>Asian Paint</t>
        </is>
      </c>
      <c r="G64" s="5" t="inlineStr">
        <is>
          <t>Sft</t>
        </is>
      </c>
      <c r="H64" s="5" t="n">
        <v>21</v>
      </c>
      <c r="I64" s="5" t="n">
        <v>956</v>
      </c>
      <c r="J64" s="5" t="n">
        <v>20076</v>
      </c>
      <c r="K64" s="5" t="n">
        <v>21</v>
      </c>
      <c r="L64" s="91">
        <f>'Measurement Sheet'!J640</f>
        <v/>
      </c>
      <c r="M64" s="91" t="n"/>
      <c r="N64" s="5">
        <f>K64*L64</f>
        <v/>
      </c>
      <c r="O64" s="5" t="n"/>
      <c r="P64" s="90">
        <f>L64-I64</f>
        <v/>
      </c>
      <c r="Q64" s="90">
        <f>N64-J64</f>
        <v/>
      </c>
      <c r="R64" s="88">
        <f>IF(N64&gt;J64,(N64-J64),0)</f>
        <v/>
      </c>
      <c r="S64" s="88">
        <f>IF(N64&lt;J64,(N64-J64),0)</f>
        <v/>
      </c>
      <c r="T64" s="88">
        <f>S64+R64</f>
        <v/>
      </c>
      <c r="U64" s="88" t="n"/>
      <c r="V64" s="100" t="inlineStr">
        <is>
          <t>Quantity Exceeded from the Work order project Manager Approval Required</t>
        </is>
      </c>
      <c r="W64" s="88" t="n"/>
    </row>
    <row r="65" ht="41.4" customHeight="1" s="153">
      <c r="A65" s="4" t="inlineStr">
        <is>
          <t>Non-Interior Work</t>
        </is>
      </c>
      <c r="B65" s="4" t="inlineStr">
        <is>
          <t>Non-Interior Works</t>
        </is>
      </c>
      <c r="C65" s="4" t="inlineStr">
        <is>
          <t>ELECTRICAL MAIN CABLE</t>
        </is>
      </c>
      <c r="D65" s="4" t="inlineStr">
        <is>
          <t>Main Cables</t>
        </is>
      </c>
      <c r="E65" s="4" t="inlineStr">
        <is>
          <t>Supply of Polycab Alluminium armoured cable 3.5 core 50 sqmm from meter room of the building to electrical main panel of the Bank inside the premises.</t>
        </is>
      </c>
      <c r="F65" s="4" t="inlineStr">
        <is>
          <t>Polycab</t>
        </is>
      </c>
      <c r="G65" s="5" t="inlineStr">
        <is>
          <t>MTR</t>
        </is>
      </c>
      <c r="H65" s="5" t="n">
        <v>450</v>
      </c>
      <c r="I65" s="5" t="n">
        <v>50</v>
      </c>
      <c r="J65" s="5" t="n">
        <v>22500</v>
      </c>
      <c r="K65" s="5" t="n">
        <v>450</v>
      </c>
      <c r="L65" s="91">
        <f>'Measurement Sheet'!J646</f>
        <v/>
      </c>
      <c r="M65" s="91" t="n"/>
      <c r="N65" s="5">
        <f>K65*L65</f>
        <v/>
      </c>
      <c r="O65" s="5" t="n"/>
      <c r="P65" s="90">
        <f>L65-I65</f>
        <v/>
      </c>
      <c r="Q65" s="90">
        <f>N65-J65</f>
        <v/>
      </c>
      <c r="R65" s="88">
        <f>IF(N65&gt;J65,(N65-J65),0)</f>
        <v/>
      </c>
      <c r="S65" s="88">
        <f>IF(N65&lt;J65,(N65-J65),0)</f>
        <v/>
      </c>
      <c r="T65" s="88">
        <f>S65+R65</f>
        <v/>
      </c>
      <c r="U65" s="88" t="n"/>
      <c r="V65" s="88" t="n"/>
      <c r="W65" s="88" t="n"/>
    </row>
    <row r="66" ht="110.4" customHeight="1" s="153">
      <c r="A66" s="4" t="inlineStr">
        <is>
          <t>Main BOQ</t>
        </is>
      </c>
      <c r="B66" s="4" t="inlineStr">
        <is>
          <t>Carpentry Work</t>
        </is>
      </c>
      <c r="C66" s="4" t="inlineStr">
        <is>
          <t>MISCELLANEOUS</t>
        </is>
      </c>
      <c r="D66" s="126" t="inlineStr">
        <is>
          <t>Writable Backpainted Glass Board in meeting room</t>
        </is>
      </c>
      <c r="E66" s="4"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F66" s="4" t="inlineStr">
        <is>
          <t>Make not provided</t>
        </is>
      </c>
      <c r="G66" s="5" t="inlineStr">
        <is>
          <t>sft</t>
        </is>
      </c>
      <c r="H66" s="5" t="n">
        <v>375</v>
      </c>
      <c r="I66" s="5" t="n">
        <v>32</v>
      </c>
      <c r="J66" s="5" t="n">
        <v>12000</v>
      </c>
      <c r="K66" s="5" t="n">
        <v>375</v>
      </c>
      <c r="L66" s="91">
        <f>'Measurement Sheet'!J654</f>
        <v/>
      </c>
      <c r="M66" s="91" t="n"/>
      <c r="N66" s="5">
        <f>K66*L66</f>
        <v/>
      </c>
      <c r="O66" s="5" t="n"/>
      <c r="P66" s="90">
        <f>L66-I66</f>
        <v/>
      </c>
      <c r="Q66" s="90">
        <f>N66-J66</f>
        <v/>
      </c>
      <c r="R66" s="88">
        <f>IF(N66&gt;J66,(N66-J66),0)</f>
        <v/>
      </c>
      <c r="S66" s="88">
        <f>IF(N66&lt;J66,(N66-J66),0)</f>
        <v/>
      </c>
      <c r="T66" s="88">
        <f>S66+R66</f>
        <v/>
      </c>
      <c r="U66" s="88" t="n"/>
      <c r="V66" s="88" t="n"/>
      <c r="W66" s="88" t="n"/>
    </row>
    <row r="67" hidden="1" s="153">
      <c r="A67" s="4" t="inlineStr">
        <is>
          <t>Main BOQ</t>
        </is>
      </c>
      <c r="B67" s="4" t="inlineStr">
        <is>
          <t>Carpentry Work</t>
        </is>
      </c>
      <c r="C67" s="4" t="inlineStr">
        <is>
          <t>MISCELLANEOUS</t>
        </is>
      </c>
      <c r="D67" s="4" t="inlineStr">
        <is>
          <t>Plastic Chair for Guard</t>
        </is>
      </c>
      <c r="E67" s="4" t="inlineStr">
        <is>
          <t>Providing of Plastic chair without armrest Grey color, Neelkamal make.</t>
        </is>
      </c>
      <c r="F67" s="4" t="inlineStr">
        <is>
          <t>Make not provided</t>
        </is>
      </c>
      <c r="G67" s="5" t="inlineStr">
        <is>
          <t>nos</t>
        </is>
      </c>
      <c r="H67" s="5" t="n">
        <v>600</v>
      </c>
      <c r="I67" s="5" t="n">
        <v>1</v>
      </c>
      <c r="J67" s="5" t="n">
        <v>600</v>
      </c>
      <c r="K67" s="5" t="n">
        <v>600</v>
      </c>
      <c r="L67" s="91">
        <f>'Measurement Sheet'!J660</f>
        <v/>
      </c>
      <c r="M67" s="91" t="n"/>
      <c r="N67" s="5">
        <f>K67*L67</f>
        <v/>
      </c>
      <c r="O67" s="5" t="n"/>
      <c r="P67" s="90">
        <f>L67-I67</f>
        <v/>
      </c>
      <c r="Q67" s="90">
        <f>N67-J67</f>
        <v/>
      </c>
      <c r="R67" s="88">
        <f>IF(N67&gt;J67,(N67-J67),0)</f>
        <v/>
      </c>
      <c r="S67" s="88">
        <f>IF(N67&lt;J67,(N67-J67),0)</f>
        <v/>
      </c>
      <c r="T67" s="88">
        <f>S67+R67</f>
        <v/>
      </c>
      <c r="U67" s="88" t="n"/>
      <c r="V67" s="88" t="n"/>
      <c r="W67" s="88" t="n"/>
    </row>
    <row r="68" hidden="1" ht="41.4" customHeight="1" s="153">
      <c r="A68" s="4" t="inlineStr">
        <is>
          <t>Main BOQ</t>
        </is>
      </c>
      <c r="B68" s="4" t="inlineStr">
        <is>
          <t>Carpentry Work</t>
        </is>
      </c>
      <c r="C68" s="4" t="inlineStr">
        <is>
          <t>MISCELLANEOUS</t>
        </is>
      </c>
      <c r="D68" s="4" t="inlineStr">
        <is>
          <t>Fixing of Hanging signages, Door signages, Internal and External</t>
        </is>
      </c>
      <c r="E68" s="4" t="inlineStr">
        <is>
          <t>Fixing of all the signages provided by ICICI Bank, Hanging or on the wall and partitions as instructed by project incharge.</t>
        </is>
      </c>
      <c r="F68" s="4" t="inlineStr">
        <is>
          <t>NA</t>
        </is>
      </c>
      <c r="G68" s="5" t="inlineStr">
        <is>
          <t>L sum</t>
        </is>
      </c>
      <c r="H68" s="5" t="n">
        <v>500</v>
      </c>
      <c r="I68" s="5" t="n">
        <v>4</v>
      </c>
      <c r="J68" s="5" t="n">
        <v>2000</v>
      </c>
      <c r="K68" s="5" t="n">
        <v>500</v>
      </c>
      <c r="L68" s="91">
        <f>'Measurement Sheet'!J666</f>
        <v/>
      </c>
      <c r="M68" s="91" t="n"/>
      <c r="N68" s="5">
        <f>K68*L68</f>
        <v/>
      </c>
      <c r="O68" s="5" t="n"/>
      <c r="P68" s="90">
        <f>L68-I68</f>
        <v/>
      </c>
      <c r="Q68" s="90">
        <f>N68-J68</f>
        <v/>
      </c>
      <c r="R68" s="88">
        <f>IF(N68&gt;J68,(N68-J68),0)</f>
        <v/>
      </c>
      <c r="S68" s="88">
        <f>IF(N68&lt;J68,(N68-J68),0)</f>
        <v/>
      </c>
      <c r="T68" s="88">
        <f>S68+R68</f>
        <v/>
      </c>
      <c r="U68" s="88" t="n"/>
      <c r="V68" s="88" t="n"/>
      <c r="W68" s="88" t="n"/>
    </row>
    <row r="69" hidden="1" ht="82.8" customHeight="1" s="153">
      <c r="A69" s="4" t="inlineStr">
        <is>
          <t>Main BOQ</t>
        </is>
      </c>
      <c r="B69" s="4" t="inlineStr">
        <is>
          <t>Carpentry Work</t>
        </is>
      </c>
      <c r="C69" s="4" t="inlineStr">
        <is>
          <t>MISCELLANEOUS</t>
        </is>
      </c>
      <c r="D69" s="4" t="inlineStr">
        <is>
          <t>Key Hives</t>
        </is>
      </c>
      <c r="E69" s="4"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F69" s="4" t="inlineStr">
        <is>
          <t>Samrat</t>
        </is>
      </c>
      <c r="G69" s="5" t="inlineStr">
        <is>
          <t>nos</t>
        </is>
      </c>
      <c r="H69" s="5" t="n">
        <v>2500</v>
      </c>
      <c r="I69" s="5" t="n">
        <v>1</v>
      </c>
      <c r="J69" s="5" t="n">
        <v>2500</v>
      </c>
      <c r="K69" s="5" t="n">
        <v>2500</v>
      </c>
      <c r="L69" s="91">
        <f>'Measurement Sheet'!J672</f>
        <v/>
      </c>
      <c r="M69" s="91" t="n"/>
      <c r="N69" s="5">
        <f>K69*L69</f>
        <v/>
      </c>
      <c r="O69" s="5" t="n"/>
      <c r="P69" s="90">
        <f>L69-I69</f>
        <v/>
      </c>
      <c r="Q69" s="90">
        <f>N69-J69</f>
        <v/>
      </c>
      <c r="R69" s="88">
        <f>IF(N69&gt;J69,(N69-J69),0)</f>
        <v/>
      </c>
      <c r="S69" s="88">
        <f>IF(N69&lt;J69,(N69-J69),0)</f>
        <v/>
      </c>
      <c r="T69" s="88">
        <f>S69+R69</f>
        <v/>
      </c>
      <c r="U69" s="88" t="n"/>
      <c r="V69" s="88" t="n"/>
      <c r="W69" s="88" t="n"/>
    </row>
    <row r="70" hidden="1" ht="124.2" customHeight="1" s="153">
      <c r="A70" s="4" t="inlineStr">
        <is>
          <t>Main BOQ</t>
        </is>
      </c>
      <c r="B70" s="4" t="inlineStr">
        <is>
          <t>Carpentry Work</t>
        </is>
      </c>
      <c r="C70" s="4" t="inlineStr">
        <is>
          <t>DOORS AND WINDOWS</t>
        </is>
      </c>
      <c r="D70" s="4" t="inlineStr">
        <is>
          <t>WC doors Flush Door</t>
        </is>
      </c>
      <c r="E70" s="4"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F70" s="4" t="inlineStr">
        <is>
          <t>Samrat</t>
        </is>
      </c>
      <c r="G70" s="5" t="inlineStr">
        <is>
          <t>nos</t>
        </is>
      </c>
      <c r="H70" s="5" t="n">
        <v>10500</v>
      </c>
      <c r="I70" s="5" t="n">
        <v>2</v>
      </c>
      <c r="J70" s="5" t="n">
        <v>21000</v>
      </c>
      <c r="K70" s="5" t="n">
        <v>10500</v>
      </c>
      <c r="L70" s="91">
        <f>'Measurement Sheet'!J680</f>
        <v/>
      </c>
      <c r="M70" s="91" t="n"/>
      <c r="N70" s="5">
        <f>K70*L70</f>
        <v/>
      </c>
      <c r="O70" s="5" t="n"/>
      <c r="P70" s="90">
        <f>L70-I70</f>
        <v/>
      </c>
      <c r="Q70" s="90">
        <f>N70-J70</f>
        <v/>
      </c>
      <c r="R70" s="88">
        <f>IF(N70&gt;J70,(N70-J70),0)</f>
        <v/>
      </c>
      <c r="S70" s="88">
        <f>IF(N70&lt;J70,(N70-J70),0)</f>
        <v/>
      </c>
      <c r="T70" s="88">
        <f>S70+R70</f>
        <v/>
      </c>
      <c r="U70" s="88" t="n"/>
      <c r="V70" s="88" t="n"/>
      <c r="W70" s="88" t="n"/>
    </row>
    <row r="71" ht="138" customHeight="1" s="153">
      <c r="A71" s="4" t="inlineStr">
        <is>
          <t>Main BOQ</t>
        </is>
      </c>
      <c r="B71" s="4" t="inlineStr">
        <is>
          <t>CIVIL WORKS</t>
        </is>
      </c>
      <c r="C71" s="4" t="inlineStr">
        <is>
          <t>PAINTING</t>
        </is>
      </c>
      <c r="D71" s="4" t="inlineStr">
        <is>
          <t>Luster Paint on Wall</t>
        </is>
      </c>
      <c r="E71" s="4"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71" s="4" t="inlineStr">
        <is>
          <t>Asian Paint</t>
        </is>
      </c>
      <c r="G71" s="5" t="inlineStr">
        <is>
          <t>Sft</t>
        </is>
      </c>
      <c r="H71" s="5" t="n">
        <v>22</v>
      </c>
      <c r="I71" s="5" t="n">
        <v>2530</v>
      </c>
      <c r="J71" s="5" t="n">
        <v>55660</v>
      </c>
      <c r="K71" s="5" t="n">
        <v>22</v>
      </c>
      <c r="L71" s="91">
        <f>'Measurement Sheet'!J755</f>
        <v/>
      </c>
      <c r="M71" s="91" t="n"/>
      <c r="N71" s="5">
        <f>K71*L71</f>
        <v/>
      </c>
      <c r="O71" s="5" t="n"/>
      <c r="P71" s="90">
        <f>L71-I71</f>
        <v/>
      </c>
      <c r="Q71" s="90">
        <f>N71-J71</f>
        <v/>
      </c>
      <c r="R71" s="88">
        <f>IF(N71&gt;J71,(N71-J71),0)</f>
        <v/>
      </c>
      <c r="S71" s="88">
        <f>IF(N71&lt;J71,(N71-J71),0)</f>
        <v/>
      </c>
      <c r="T71" s="88">
        <f>S71+R71</f>
        <v/>
      </c>
      <c r="U71" s="88" t="n"/>
      <c r="V71" s="88" t="n"/>
      <c r="W71" s="88" t="n"/>
    </row>
    <row r="72" ht="41.4" customHeight="1" s="153">
      <c r="A72" s="4" t="inlineStr">
        <is>
          <t>Main BOQ</t>
        </is>
      </c>
      <c r="B72" s="4" t="inlineStr">
        <is>
          <t>CIVIL WORKS</t>
        </is>
      </c>
      <c r="C72" s="4" t="inlineStr">
        <is>
          <t>PAINTING</t>
        </is>
      </c>
      <c r="D72" s="4" t="inlineStr">
        <is>
          <t>Enamel paint for Rolling Sutter</t>
        </is>
      </c>
      <c r="E72" s="4" t="inlineStr">
        <is>
          <t>Providing and applying Crimson Red matt enamel paint for rolling shutter with Red oxide to be applied before enamel paint. Make - Asian paints.</t>
        </is>
      </c>
      <c r="F72" s="4" t="inlineStr">
        <is>
          <t>Asian Paint</t>
        </is>
      </c>
      <c r="G72" s="5" t="inlineStr">
        <is>
          <t>Sft</t>
        </is>
      </c>
      <c r="H72" s="5" t="n">
        <v>18</v>
      </c>
      <c r="I72" s="5" t="n">
        <v>836</v>
      </c>
      <c r="J72" s="5" t="n">
        <v>15048</v>
      </c>
      <c r="K72" s="5" t="n">
        <v>18</v>
      </c>
      <c r="L72" s="91">
        <f>'Measurement Sheet'!J761</f>
        <v/>
      </c>
      <c r="M72" s="91" t="n"/>
      <c r="N72" s="5">
        <f>K72*L72</f>
        <v/>
      </c>
      <c r="O72" s="5" t="n"/>
      <c r="P72" s="90">
        <f>L72-I72</f>
        <v/>
      </c>
      <c r="Q72" s="90">
        <f>N72-J72</f>
        <v/>
      </c>
      <c r="R72" s="88">
        <f>IF(N72&gt;J72,(N72-J72),0)</f>
        <v/>
      </c>
      <c r="S72" s="88">
        <f>IF(N72&lt;J72,(N72-J72),0)</f>
        <v/>
      </c>
      <c r="T72" s="88">
        <f>S72+R72</f>
        <v/>
      </c>
      <c r="U72" s="88" t="n"/>
      <c r="V72" s="88" t="n"/>
      <c r="W72" s="88" t="n"/>
    </row>
    <row r="73" ht="96.59999999999999" customHeight="1" s="153">
      <c r="A73" s="4" t="inlineStr">
        <is>
          <t>Main BOQ</t>
        </is>
      </c>
      <c r="B73" s="4" t="inlineStr">
        <is>
          <t>Carpentry Work</t>
        </is>
      </c>
      <c r="C73" s="4" t="inlineStr">
        <is>
          <t>PARTITIONS AND PANELLING</t>
        </is>
      </c>
      <c r="D73" s="4" t="inlineStr">
        <is>
          <t>Solid Partition between Glass Partition &amp;Ceiling</t>
        </is>
      </c>
      <c r="E73" s="4"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F73" s="109" t="inlineStr">
        <is>
          <t>Samrat (Aluminium Framework : 2"x1")</t>
        </is>
      </c>
      <c r="G73" s="5" t="inlineStr">
        <is>
          <t>sft</t>
        </is>
      </c>
      <c r="H73" s="5" t="n">
        <v>425</v>
      </c>
      <c r="I73" s="5" t="n">
        <v>278</v>
      </c>
      <c r="J73" s="5" t="n">
        <v>118150</v>
      </c>
      <c r="K73" s="5" t="n">
        <v>425</v>
      </c>
      <c r="L73" s="91">
        <f>'Measurement Sheet'!J777</f>
        <v/>
      </c>
      <c r="M73" s="91" t="n"/>
      <c r="N73" s="5">
        <f>K73*L73</f>
        <v/>
      </c>
      <c r="O73" s="5" t="n"/>
      <c r="P73" s="90">
        <f>L73-I73</f>
        <v/>
      </c>
      <c r="Q73" s="90">
        <f>N73-J73</f>
        <v/>
      </c>
      <c r="R73" s="88">
        <f>IF(N73&gt;J73,(N73-J73),0)</f>
        <v/>
      </c>
      <c r="S73" s="88">
        <f>IF(N73&lt;J73,(N73-J73),0)</f>
        <v/>
      </c>
      <c r="T73" s="88">
        <f>S73+R73</f>
        <v/>
      </c>
      <c r="U73" s="88" t="n"/>
      <c r="V73" s="88" t="n"/>
      <c r="W73" s="88" t="n"/>
    </row>
    <row r="74" ht="96.59999999999999" customHeight="1" s="153">
      <c r="A74" s="4" t="inlineStr">
        <is>
          <t>Main BOQ</t>
        </is>
      </c>
      <c r="B74" s="4" t="inlineStr">
        <is>
          <t>CIVIL WORKS</t>
        </is>
      </c>
      <c r="C74" s="4" t="inlineStr">
        <is>
          <t>PAINTING</t>
        </is>
      </c>
      <c r="D74" s="4" t="inlineStr">
        <is>
          <t>Apex Paint for Exterior</t>
        </is>
      </c>
      <c r="E74" s="4"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F74" s="4" t="n"/>
      <c r="G74" s="5" t="inlineStr">
        <is>
          <t>Sft</t>
        </is>
      </c>
      <c r="H74" s="5" t="n">
        <v>18</v>
      </c>
      <c r="I74" s="5" t="n">
        <v>40</v>
      </c>
      <c r="J74" s="5" t="n">
        <v>720</v>
      </c>
      <c r="K74" s="5" t="n">
        <v>18</v>
      </c>
      <c r="L74" s="92" t="n"/>
      <c r="M74" s="92" t="n"/>
      <c r="N74" s="5">
        <f>K74*L74</f>
        <v/>
      </c>
      <c r="O74" s="5" t="n"/>
      <c r="P74" s="90">
        <f>L74-I74</f>
        <v/>
      </c>
      <c r="Q74" s="90">
        <f>N74-J74</f>
        <v/>
      </c>
      <c r="R74" s="88">
        <f>IF(N74&gt;J74,(N74-J74),0)</f>
        <v/>
      </c>
      <c r="S74" s="88">
        <f>IF(N74&lt;J74,(N74-J74),0)</f>
        <v/>
      </c>
      <c r="T74" s="88">
        <f>S74+R74</f>
        <v/>
      </c>
      <c r="U74" s="88" t="n"/>
      <c r="V74" s="88" t="n"/>
      <c r="W74" s="88" t="n"/>
    </row>
    <row r="75" ht="110.4" customHeight="1" s="153">
      <c r="A75" s="4" t="inlineStr">
        <is>
          <t>Main BOQ</t>
        </is>
      </c>
      <c r="B75" s="4" t="inlineStr">
        <is>
          <t>Carpentry Work</t>
        </is>
      </c>
      <c r="C75" s="4" t="inlineStr">
        <is>
          <t>PARTITIONS AND PANELLING</t>
        </is>
      </c>
      <c r="D75" s="4" t="inlineStr">
        <is>
          <t>Wall or Column paneling in customer lobby</t>
        </is>
      </c>
      <c r="E75"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F75" s="4" t="inlineStr">
        <is>
          <t>Samrat</t>
        </is>
      </c>
      <c r="G75" s="5" t="inlineStr">
        <is>
          <t>sft</t>
        </is>
      </c>
      <c r="H75" s="5" t="n">
        <v>260</v>
      </c>
      <c r="I75" s="5" t="n">
        <v>476</v>
      </c>
      <c r="J75" s="5" t="n">
        <v>123760</v>
      </c>
      <c r="K75" s="5" t="n">
        <v>260</v>
      </c>
      <c r="L75" s="91">
        <f>'Measurement Sheet'!J858</f>
        <v/>
      </c>
      <c r="M75" s="91" t="n"/>
      <c r="N75" s="5">
        <f>K75*L75</f>
        <v/>
      </c>
      <c r="O75" s="5" t="n"/>
      <c r="P75" s="90">
        <f>L75-I75</f>
        <v/>
      </c>
      <c r="Q75" s="90">
        <f>N75-J75</f>
        <v/>
      </c>
      <c r="R75" s="88">
        <f>IF(N75&gt;J75,(N75-J75),0)</f>
        <v/>
      </c>
      <c r="S75" s="88">
        <f>IF(N75&lt;J75,(N75-J75),0)</f>
        <v/>
      </c>
      <c r="T75" s="88">
        <f>S75+R75</f>
        <v/>
      </c>
      <c r="U75" s="88" t="n"/>
      <c r="V75" s="100" t="inlineStr">
        <is>
          <t>Quantity Exceeded from the Work order project Manager Approval Required</t>
        </is>
      </c>
      <c r="W75" s="88" t="n"/>
    </row>
    <row r="76" ht="69" customHeight="1" s="153">
      <c r="A76" s="4" t="inlineStr">
        <is>
          <t>Main BOQ</t>
        </is>
      </c>
      <c r="B76" s="4" t="inlineStr">
        <is>
          <t>Carpentry Work</t>
        </is>
      </c>
      <c r="C76" s="4" t="inlineStr">
        <is>
          <t>PARTITIONS AND PANELLING</t>
        </is>
      </c>
      <c r="D76" s="4" t="inlineStr">
        <is>
          <t>ACP Panellings at Entrance</t>
        </is>
      </c>
      <c r="E76" s="4" t="inlineStr">
        <is>
          <t>Providing &amp;fixing of Exterior grade 3mm Thick Aluminum Composite Panel [ACP] in silver grey as per approved shade with Aluminium framing of 2 x 1
, Weather sealant including all necessary hardware etc. complete as directed</t>
        </is>
      </c>
      <c r="F76" s="4" t="inlineStr">
        <is>
          <t>NA</t>
        </is>
      </c>
      <c r="G76" s="5" t="inlineStr">
        <is>
          <t>sft</t>
        </is>
      </c>
      <c r="H76" s="5" t="n">
        <v>325</v>
      </c>
      <c r="I76" s="5" t="n">
        <v>740</v>
      </c>
      <c r="J76" s="5" t="n">
        <v>240500</v>
      </c>
      <c r="K76" s="5" t="n">
        <v>325</v>
      </c>
      <c r="L76" s="91">
        <f>'Measurement Sheet'!J894</f>
        <v/>
      </c>
      <c r="M76" s="91" t="n"/>
      <c r="N76" s="5">
        <f>K76*L76</f>
        <v/>
      </c>
      <c r="O76" s="5" t="n"/>
      <c r="P76" s="90">
        <f>L76-I76</f>
        <v/>
      </c>
      <c r="Q76" s="90">
        <f>N76-J76</f>
        <v/>
      </c>
      <c r="R76" s="88">
        <f>IF(N76&gt;J76,(N76-J76),0)</f>
        <v/>
      </c>
      <c r="S76" s="88">
        <f>IF(N76&lt;J76,(N76-J76),0)</f>
        <v/>
      </c>
      <c r="T76" s="88">
        <f>S76+R76</f>
        <v/>
      </c>
      <c r="U76" s="88" t="n"/>
      <c r="V76" s="100" t="inlineStr">
        <is>
          <t>Quantity Exceeded from the Work order project Manager Approval Required</t>
        </is>
      </c>
      <c r="W76" s="88" t="n"/>
    </row>
    <row r="77" ht="124.2" customHeight="1" s="153">
      <c r="A77" s="4" t="inlineStr">
        <is>
          <t>Main BOQ</t>
        </is>
      </c>
      <c r="B77" s="4" t="inlineStr">
        <is>
          <t>Carpentry Work</t>
        </is>
      </c>
      <c r="C77" s="4" t="inlineStr">
        <is>
          <t>PARTITIONS AND PANELLING</t>
        </is>
      </c>
      <c r="D77" s="4" t="inlineStr">
        <is>
          <t>U Type beam boxing</t>
        </is>
      </c>
      <c r="E77" s="4"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F77" s="4" t="inlineStr">
        <is>
          <t>Samrat</t>
        </is>
      </c>
      <c r="G77" s="5" t="inlineStr">
        <is>
          <t>sft</t>
        </is>
      </c>
      <c r="H77" s="5" t="n">
        <v>275</v>
      </c>
      <c r="I77" s="5" t="n">
        <v>460</v>
      </c>
      <c r="J77" s="5" t="n">
        <v>126500</v>
      </c>
      <c r="K77" s="5" t="n">
        <v>275</v>
      </c>
      <c r="L77" s="91">
        <f>'Measurement Sheet'!J914</f>
        <v/>
      </c>
      <c r="M77" s="91" t="n"/>
      <c r="N77" s="5">
        <f>K77*L77</f>
        <v/>
      </c>
      <c r="O77" s="5" t="n"/>
      <c r="P77" s="90">
        <f>L77-I77</f>
        <v/>
      </c>
      <c r="Q77" s="90">
        <f>N77-J77</f>
        <v/>
      </c>
      <c r="R77" s="88">
        <f>IF(N77&gt;J77,(N77-J77),0)</f>
        <v/>
      </c>
      <c r="S77" s="88">
        <f>IF(N77&lt;J77,(N77-J77),0)</f>
        <v/>
      </c>
      <c r="T77" s="88">
        <f>S77+R77</f>
        <v/>
      </c>
      <c r="U77" s="88" t="n"/>
      <c r="V77" s="88" t="n"/>
      <c r="W77" s="88" t="n"/>
    </row>
    <row r="78" ht="82.8" customHeight="1" s="153">
      <c r="A78" s="4" t="inlineStr">
        <is>
          <t>Main BOQ</t>
        </is>
      </c>
      <c r="B78" s="4" t="inlineStr">
        <is>
          <t>Carpentry Work</t>
        </is>
      </c>
      <c r="C78" s="4" t="inlineStr">
        <is>
          <t>PARTITIONS AND PANELLING</t>
        </is>
      </c>
      <c r="D78" s="4" t="inlineStr">
        <is>
          <t>Full height Partitions</t>
        </is>
      </c>
      <c r="E78" s="4"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F78" s="109" t="inlineStr">
        <is>
          <t>Samrat (Aluminium Framework : 2"x1")</t>
        </is>
      </c>
      <c r="G78" s="5" t="inlineStr">
        <is>
          <t>sft</t>
        </is>
      </c>
      <c r="H78" s="5" t="n">
        <v>410</v>
      </c>
      <c r="I78" s="5" t="n">
        <v>230</v>
      </c>
      <c r="J78" s="5" t="n">
        <v>94300</v>
      </c>
      <c r="K78" s="5" t="n">
        <v>410</v>
      </c>
      <c r="L78" s="91">
        <f>'Measurement Sheet'!J927</f>
        <v/>
      </c>
      <c r="M78" s="91" t="n"/>
      <c r="N78" s="5">
        <f>K78*L78</f>
        <v/>
      </c>
      <c r="O78" s="5" t="n"/>
      <c r="P78" s="90">
        <f>L78-I78</f>
        <v/>
      </c>
      <c r="Q78" s="90">
        <f>N78-J78</f>
        <v/>
      </c>
      <c r="R78" s="88">
        <f>IF(N78&gt;J78,(N78-J78),0)</f>
        <v/>
      </c>
      <c r="S78" s="88">
        <f>IF(N78&lt;J78,(N78-J78),0)</f>
        <v/>
      </c>
      <c r="T78" s="88">
        <f>S78+R78</f>
        <v/>
      </c>
      <c r="U78" s="88" t="n"/>
      <c r="V78" s="88" t="n"/>
      <c r="W78" s="88" t="n"/>
    </row>
    <row r="79" hidden="1" ht="41.4" customHeight="1" s="153">
      <c r="A79" s="4" t="inlineStr">
        <is>
          <t>Main BOQ</t>
        </is>
      </c>
      <c r="B79" s="4" t="inlineStr">
        <is>
          <t>CIVIL WORKS</t>
        </is>
      </c>
      <c r="C79" s="4" t="inlineStr">
        <is>
          <t>PLUMBING WORKS AND SANITARY FITTINGS</t>
        </is>
      </c>
      <c r="D79" s="4" t="inlineStr">
        <is>
          <t>Urinal Partition</t>
        </is>
      </c>
      <c r="E79" s="4" t="inlineStr">
        <is>
          <t>Providing &amp;Fixing 18mm Thick Granite Urinal partition embedded in wall. All Exposed edges to be polished. Size: 450 x 900mm. Granite - Ruby Red or Bruno Red or RBI Red - Basic Rate Rs 150 per Sft</t>
        </is>
      </c>
      <c r="F79" s="4" t="inlineStr">
        <is>
          <t>NA</t>
        </is>
      </c>
      <c r="G79" s="5" t="inlineStr">
        <is>
          <t>Nos</t>
        </is>
      </c>
      <c r="H79" s="5" t="n">
        <v>1650</v>
      </c>
      <c r="I79" s="5" t="n">
        <v>1</v>
      </c>
      <c r="J79" s="5" t="n">
        <v>1650</v>
      </c>
      <c r="K79" s="5" t="n">
        <v>1650</v>
      </c>
      <c r="L79" s="91">
        <f>'Measurement Sheet'!J933</f>
        <v/>
      </c>
      <c r="M79" s="91" t="n"/>
      <c r="N79" s="5">
        <f>K79*L79</f>
        <v/>
      </c>
      <c r="O79" s="5" t="n"/>
      <c r="P79" s="90">
        <f>L79-I79</f>
        <v/>
      </c>
      <c r="Q79" s="90">
        <f>N79-J79</f>
        <v/>
      </c>
      <c r="R79" s="88">
        <f>IF(N79&gt;J79,(N79-J79),0)</f>
        <v/>
      </c>
      <c r="S79" s="88">
        <f>IF(N79&lt;J79,(N79-J79),0)</f>
        <v/>
      </c>
      <c r="T79" s="88">
        <f>S79+R79</f>
        <v/>
      </c>
      <c r="U79" s="88" t="n"/>
      <c r="V79" s="88" t="n"/>
      <c r="W79" s="88" t="n"/>
    </row>
    <row r="80" ht="82.8" customHeight="1" s="153">
      <c r="A80" s="4" t="inlineStr">
        <is>
          <t>Main BOQ</t>
        </is>
      </c>
      <c r="B80" s="4" t="inlineStr">
        <is>
          <t>CIVIL WORKS</t>
        </is>
      </c>
      <c r="C80" s="4" t="inlineStr">
        <is>
          <t>FLOORING AND DADO</t>
        </is>
      </c>
      <c r="D80" s="4" t="inlineStr">
        <is>
          <t>Pantry Sink Counters</t>
        </is>
      </c>
      <c r="E80" s="4"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F80" s="4" t="inlineStr">
        <is>
          <t>NA</t>
        </is>
      </c>
      <c r="G80" s="5" t="inlineStr">
        <is>
          <t>Rft</t>
        </is>
      </c>
      <c r="H80" s="5" t="n">
        <v>1750</v>
      </c>
      <c r="I80" s="5" t="n">
        <v>5</v>
      </c>
      <c r="J80" s="5" t="n">
        <v>8750</v>
      </c>
      <c r="K80" s="5" t="n">
        <v>1750</v>
      </c>
      <c r="L80" s="91">
        <f>'Measurement Sheet'!J939</f>
        <v/>
      </c>
      <c r="M80" s="91" t="n"/>
      <c r="N80" s="5">
        <f>K80*L80</f>
        <v/>
      </c>
      <c r="O80" s="5" t="n"/>
      <c r="P80" s="90">
        <f>L80-I80</f>
        <v/>
      </c>
      <c r="Q80" s="90">
        <f>N80-J80</f>
        <v/>
      </c>
      <c r="R80" s="88">
        <f>IF(N80&gt;J80,(N80-J80),0)</f>
        <v/>
      </c>
      <c r="S80" s="88">
        <f>IF(N80&lt;J80,(N80-J80),0)</f>
        <v/>
      </c>
      <c r="T80" s="88">
        <f>S80+R80</f>
        <v/>
      </c>
      <c r="U80" s="88" t="n"/>
      <c r="V80" s="88" t="n"/>
      <c r="W80" s="88" t="n"/>
    </row>
    <row r="81" ht="96.59999999999999" customHeight="1" s="153">
      <c r="A81" s="4" t="inlineStr">
        <is>
          <t>Main BOQ</t>
        </is>
      </c>
      <c r="B81" s="4" t="inlineStr">
        <is>
          <t>Carpentry Work</t>
        </is>
      </c>
      <c r="C81" s="4" t="inlineStr">
        <is>
          <t>PARTITIONS AND PANELLING</t>
        </is>
      </c>
      <c r="D81" s="4" t="inlineStr">
        <is>
          <t>Full height Partition between ATM &amp;UPS room</t>
        </is>
      </c>
      <c r="E8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F81" s="109" t="inlineStr">
        <is>
          <t>Samrat (Aluminium Framework : 2"x1")</t>
        </is>
      </c>
      <c r="G81" s="5" t="inlineStr">
        <is>
          <t>sft</t>
        </is>
      </c>
      <c r="H81" s="5" t="n">
        <v>380</v>
      </c>
      <c r="I81" s="5" t="n">
        <v>83</v>
      </c>
      <c r="J81" s="5" t="n">
        <v>31540</v>
      </c>
      <c r="K81" s="5" t="n">
        <v>380</v>
      </c>
      <c r="L81" s="91">
        <f>'Measurement Sheet'!J947</f>
        <v/>
      </c>
      <c r="M81" s="91" t="n"/>
      <c r="N81" s="5">
        <f>K81*L81</f>
        <v/>
      </c>
      <c r="O81" s="5" t="n"/>
      <c r="P81" s="90">
        <f>L81-I81</f>
        <v/>
      </c>
      <c r="Q81" s="90">
        <f>N81-J81</f>
        <v/>
      </c>
      <c r="R81" s="88">
        <f>IF(N81&gt;J81,(N81-J81),0)</f>
        <v/>
      </c>
      <c r="S81" s="88">
        <f>IF(N81&lt;J81,(N81-J81),0)</f>
        <v/>
      </c>
      <c r="T81" s="88">
        <f>S81+R81</f>
        <v/>
      </c>
      <c r="U81" s="88" t="n"/>
      <c r="V81" s="100" t="inlineStr">
        <is>
          <t>Quantity Exceeded from the Work order project Manager Approval Required</t>
        </is>
      </c>
      <c r="W81" s="88" t="n"/>
    </row>
    <row r="82" hidden="1" ht="110.4" customHeight="1" s="153">
      <c r="A82" s="4" t="inlineStr">
        <is>
          <t>Main BOQ</t>
        </is>
      </c>
      <c r="B82" s="4" t="inlineStr">
        <is>
          <t>Carpentry Work</t>
        </is>
      </c>
      <c r="C82" s="4" t="inlineStr">
        <is>
          <t>LOOSE FURNITURE</t>
        </is>
      </c>
      <c r="D82" s="4" t="inlineStr">
        <is>
          <t>Managers table E3 ALLEN TYPE</t>
        </is>
      </c>
      <c r="E82" s="4"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F82" s="4" t="inlineStr">
        <is>
          <t>Greenlam</t>
        </is>
      </c>
      <c r="G82" s="5" t="inlineStr">
        <is>
          <t>nos</t>
        </is>
      </c>
      <c r="H82" s="5" t="n">
        <v>15500</v>
      </c>
      <c r="I82" s="5" t="n">
        <v>1</v>
      </c>
      <c r="J82" s="5" t="n">
        <v>15500</v>
      </c>
      <c r="K82" s="5" t="n">
        <v>15500</v>
      </c>
      <c r="L82" s="91">
        <f>'Measurement Sheet'!J953</f>
        <v/>
      </c>
      <c r="M82" s="91" t="n"/>
      <c r="N82" s="5">
        <f>K82*L82</f>
        <v/>
      </c>
      <c r="O82" s="5" t="n"/>
      <c r="P82" s="90">
        <f>L82-I82</f>
        <v/>
      </c>
      <c r="Q82" s="90">
        <f>N82-J82</f>
        <v/>
      </c>
      <c r="R82" s="88">
        <f>IF(N82&gt;J82,(N82-J82),0)</f>
        <v/>
      </c>
      <c r="S82" s="88">
        <f>IF(N82&lt;J82,(N82-J82),0)</f>
        <v/>
      </c>
      <c r="T82" s="88">
        <f>S82+R82</f>
        <v/>
      </c>
      <c r="U82" s="88" t="n"/>
      <c r="V82" s="88" t="n"/>
      <c r="W82" s="88" t="n"/>
    </row>
    <row r="83" hidden="1" ht="110.4" customHeight="1" s="153">
      <c r="A83" s="4" t="inlineStr">
        <is>
          <t>Main BOQ</t>
        </is>
      </c>
      <c r="B83" s="4" t="inlineStr">
        <is>
          <t>Carpentry Work</t>
        </is>
      </c>
      <c r="C83" s="4" t="inlineStr">
        <is>
          <t>LOOSE FURNITURE</t>
        </is>
      </c>
      <c r="D83" s="4" t="inlineStr">
        <is>
          <t>Managers storage unit E4</t>
        </is>
      </c>
      <c r="E83" s="4"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F83" s="4" t="inlineStr">
        <is>
          <t>Greenlam</t>
        </is>
      </c>
      <c r="G83" s="5" t="inlineStr">
        <is>
          <t>nos</t>
        </is>
      </c>
      <c r="H83" s="5" t="n">
        <v>7500</v>
      </c>
      <c r="I83" s="5" t="n">
        <v>1</v>
      </c>
      <c r="J83" s="5" t="n">
        <v>7500</v>
      </c>
      <c r="K83" s="5" t="n">
        <v>7500</v>
      </c>
      <c r="L83" s="91">
        <f>'Measurement Sheet'!J959</f>
        <v/>
      </c>
      <c r="M83" s="91" t="n"/>
      <c r="N83" s="5">
        <f>K83*L83</f>
        <v/>
      </c>
      <c r="O83" s="5" t="n"/>
      <c r="P83" s="90">
        <f>L83-I83</f>
        <v/>
      </c>
      <c r="Q83" s="90">
        <f>N83-J83</f>
        <v/>
      </c>
      <c r="R83" s="88">
        <f>IF(N83&gt;J83,(N83-J83),0)</f>
        <v/>
      </c>
      <c r="S83" s="88">
        <f>IF(N83&lt;J83,(N83-J83),0)</f>
        <v/>
      </c>
      <c r="T83" s="88">
        <f>S83+R83</f>
        <v/>
      </c>
      <c r="U83" s="88" t="n"/>
      <c r="V83" s="88" t="n"/>
      <c r="W83" s="88" t="n"/>
    </row>
    <row r="84" hidden="1" ht="110.4" customHeight="1" s="153">
      <c r="A84" s="4" t="inlineStr">
        <is>
          <t>Main BOQ</t>
        </is>
      </c>
      <c r="B84" s="4" t="inlineStr">
        <is>
          <t>Carpentry Work</t>
        </is>
      </c>
      <c r="C84" s="4" t="inlineStr">
        <is>
          <t>LOOSE FURNITURE</t>
        </is>
      </c>
      <c r="D84" s="4" t="inlineStr">
        <is>
          <t>Back Office Table E5</t>
        </is>
      </c>
      <c r="E84"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F84" s="4" t="inlineStr">
        <is>
          <t>Greenlam</t>
        </is>
      </c>
      <c r="G84" s="5" t="inlineStr">
        <is>
          <t>nos</t>
        </is>
      </c>
      <c r="H84" s="5" t="n">
        <v>15000</v>
      </c>
      <c r="I84" s="5" t="n">
        <v>3</v>
      </c>
      <c r="J84" s="5" t="n">
        <v>45000</v>
      </c>
      <c r="K84" s="5" t="n">
        <v>15000</v>
      </c>
      <c r="L84" s="91">
        <f>'Measurement Sheet'!J965</f>
        <v/>
      </c>
      <c r="M84" s="91" t="n"/>
      <c r="N84" s="5">
        <f>K84*L84</f>
        <v/>
      </c>
      <c r="O84" s="5" t="n"/>
      <c r="P84" s="90">
        <f>L84-I84</f>
        <v/>
      </c>
      <c r="Q84" s="90">
        <f>N84-J84</f>
        <v/>
      </c>
      <c r="R84" s="88">
        <f>IF(N84&gt;J84,(N84-J84),0)</f>
        <v/>
      </c>
      <c r="S84" s="88">
        <f>IF(N84&lt;J84,(N84-J84),0)</f>
        <v/>
      </c>
      <c r="T84" s="88">
        <f>S84+R84</f>
        <v/>
      </c>
      <c r="U84" s="88" t="n"/>
      <c r="V84" s="100" t="inlineStr">
        <is>
          <t>Quantity Exceeded from the Work order project Manager Approval Required</t>
        </is>
      </c>
      <c r="W84" s="88" t="n"/>
    </row>
    <row r="85" hidden="1" ht="82.8" customHeight="1" s="153">
      <c r="A85" s="4" t="inlineStr">
        <is>
          <t>Main BOQ</t>
        </is>
      </c>
      <c r="B85" s="4" t="inlineStr">
        <is>
          <t>Carpentry Work</t>
        </is>
      </c>
      <c r="C85" s="4" t="inlineStr">
        <is>
          <t>LOOSE FURNITURE</t>
        </is>
      </c>
      <c r="D85" s="4" t="inlineStr">
        <is>
          <t>Meeting table E6</t>
        </is>
      </c>
      <c r="E85" s="4"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F85" s="4" t="inlineStr">
        <is>
          <t>Greenlam</t>
        </is>
      </c>
      <c r="G85" s="5" t="inlineStr">
        <is>
          <t>Nos</t>
        </is>
      </c>
      <c r="H85" s="5" t="n">
        <v>8500</v>
      </c>
      <c r="I85" s="5" t="n">
        <v>1</v>
      </c>
      <c r="J85" s="5" t="n">
        <v>8500</v>
      </c>
      <c r="K85" s="5" t="n">
        <v>8500</v>
      </c>
      <c r="L85" s="91">
        <f>'Measurement Sheet'!J971</f>
        <v/>
      </c>
      <c r="M85" s="91" t="n"/>
      <c r="N85" s="5">
        <f>K85*L85</f>
        <v/>
      </c>
      <c r="O85" s="5" t="n"/>
      <c r="P85" s="90">
        <f>L85-I85</f>
        <v/>
      </c>
      <c r="Q85" s="90">
        <f>N85-J85</f>
        <v/>
      </c>
      <c r="R85" s="88">
        <f>IF(N85&gt;J85,(N85-J85),0)</f>
        <v/>
      </c>
      <c r="S85" s="88">
        <f>IF(N85&lt;J85,(N85-J85),0)</f>
        <v/>
      </c>
      <c r="T85" s="88">
        <f>S85+R85</f>
        <v/>
      </c>
      <c r="U85" s="88" t="n"/>
      <c r="V85" s="88" t="n"/>
      <c r="W85" s="88" t="n"/>
    </row>
    <row r="86" ht="69" customHeight="1" s="153">
      <c r="A86" s="4" t="inlineStr">
        <is>
          <t>Main BOQ</t>
        </is>
      </c>
      <c r="B86" s="4" t="inlineStr">
        <is>
          <t>Carpentry Work</t>
        </is>
      </c>
      <c r="C86" s="4" t="inlineStr">
        <is>
          <t>LOOSE FURNITURE</t>
        </is>
      </c>
      <c r="D86" s="4" t="inlineStr">
        <is>
          <t>Running wooden ledge in pantry</t>
        </is>
      </c>
      <c r="E86" s="4"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F86" s="4" t="n"/>
      <c r="G86" s="5" t="inlineStr">
        <is>
          <t>rft</t>
        </is>
      </c>
      <c r="H86" s="5" t="n">
        <v>500</v>
      </c>
      <c r="I86" s="5" t="n">
        <v>9</v>
      </c>
      <c r="J86" s="5" t="n">
        <v>4500</v>
      </c>
      <c r="K86" s="5" t="n">
        <v>500</v>
      </c>
      <c r="L86" s="92" t="n"/>
      <c r="M86" s="92" t="n"/>
      <c r="N86" s="5">
        <f>K86*L86</f>
        <v/>
      </c>
      <c r="O86" s="5" t="n"/>
      <c r="P86" s="90">
        <f>L86-I86</f>
        <v/>
      </c>
      <c r="Q86" s="90">
        <f>N86-J86</f>
        <v/>
      </c>
      <c r="R86" s="88">
        <f>IF(N86&gt;J86,(N86-J86),0)</f>
        <v/>
      </c>
      <c r="S86" s="88">
        <f>IF(N86&lt;J86,(N86-J86),0)</f>
        <v/>
      </c>
      <c r="T86" s="88">
        <f>S86+R86</f>
        <v/>
      </c>
      <c r="U86" s="88" t="n"/>
      <c r="V86" s="88" t="n"/>
      <c r="W86" s="88" t="n"/>
    </row>
    <row r="87" hidden="1" ht="96.59999999999999" customHeight="1" s="153">
      <c r="A87" s="4" t="inlineStr">
        <is>
          <t>Main BOQ</t>
        </is>
      </c>
      <c r="B87" s="4" t="inlineStr">
        <is>
          <t>Carpentry Work</t>
        </is>
      </c>
      <c r="C87" s="4" t="inlineStr">
        <is>
          <t>LOOSE FURNITURE</t>
        </is>
      </c>
      <c r="D87" s="4" t="inlineStr">
        <is>
          <t>Storage unit big E9</t>
        </is>
      </c>
      <c r="E87"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F87" s="4" t="inlineStr">
        <is>
          <t>Greenlam</t>
        </is>
      </c>
      <c r="G87" s="5" t="inlineStr">
        <is>
          <t>nos</t>
        </is>
      </c>
      <c r="H87" s="5" t="n">
        <v>8500</v>
      </c>
      <c r="I87" s="5" t="n">
        <v>3</v>
      </c>
      <c r="J87" s="5" t="n">
        <v>25500</v>
      </c>
      <c r="K87" s="5" t="n">
        <v>8500</v>
      </c>
      <c r="L87" s="91">
        <f>'Measurement Sheet'!J978</f>
        <v/>
      </c>
      <c r="M87" s="91" t="n"/>
      <c r="N87" s="5">
        <f>K87*L87</f>
        <v/>
      </c>
      <c r="O87" s="5" t="n"/>
      <c r="P87" s="90">
        <f>L87-I87</f>
        <v/>
      </c>
      <c r="Q87" s="90">
        <f>N87-J87</f>
        <v/>
      </c>
      <c r="R87" s="88">
        <f>IF(N87&gt;J87,(N87-J87),0)</f>
        <v/>
      </c>
      <c r="S87" s="88">
        <f>IF(N87&lt;J87,(N87-J87),0)</f>
        <v/>
      </c>
      <c r="T87" s="88">
        <f>S87+R87</f>
        <v/>
      </c>
      <c r="U87" s="88" t="n"/>
      <c r="V87" s="100" t="inlineStr">
        <is>
          <t>Quantity Exceeded from the Work order project Manager Approval Required</t>
        </is>
      </c>
      <c r="W87" s="88" t="n"/>
    </row>
    <row r="88" hidden="1" ht="82.8" customHeight="1" s="153">
      <c r="A88" s="4" t="inlineStr">
        <is>
          <t>Main BOQ</t>
        </is>
      </c>
      <c r="B88" s="4" t="inlineStr">
        <is>
          <t>Carpentry Work</t>
        </is>
      </c>
      <c r="C88" s="4" t="inlineStr">
        <is>
          <t>LOOSE FURNITURE</t>
        </is>
      </c>
      <c r="D88" s="4" t="inlineStr">
        <is>
          <t>Xerox Table</t>
        </is>
      </c>
      <c r="E88" s="4"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F88" s="4" t="inlineStr">
        <is>
          <t>Greenlam</t>
        </is>
      </c>
      <c r="G88" s="5" t="inlineStr">
        <is>
          <t>Nos</t>
        </is>
      </c>
      <c r="H88" s="5" t="n">
        <v>6000</v>
      </c>
      <c r="I88" s="5" t="n">
        <v>1</v>
      </c>
      <c r="J88" s="5" t="n">
        <v>6000</v>
      </c>
      <c r="K88" s="5" t="n">
        <v>6000</v>
      </c>
      <c r="L88" s="91">
        <f>'Measurement Sheet'!J984</f>
        <v/>
      </c>
      <c r="M88" s="91" t="n"/>
      <c r="N88" s="5">
        <f>K88*L88</f>
        <v/>
      </c>
      <c r="O88" s="5" t="n"/>
      <c r="P88" s="90">
        <f>L88-I88</f>
        <v/>
      </c>
      <c r="Q88" s="90">
        <f>N88-J88</f>
        <v/>
      </c>
      <c r="R88" s="88">
        <f>IF(N88&gt;J88,(N88-J88),0)</f>
        <v/>
      </c>
      <c r="S88" s="88">
        <f>IF(N88&lt;J88,(N88-J88),0)</f>
        <v/>
      </c>
      <c r="T88" s="88">
        <f>S88+R88</f>
        <v/>
      </c>
      <c r="U88" s="88" t="n"/>
      <c r="V88" s="88" t="n"/>
      <c r="W88" s="88" t="n"/>
    </row>
    <row r="89" hidden="1" ht="41.4" customHeight="1" s="153">
      <c r="A89" s="4" t="inlineStr">
        <is>
          <t>Reimbursable Items</t>
        </is>
      </c>
      <c r="B89" s="4" t="inlineStr">
        <is>
          <t>Reimbursement of Vendor Elements</t>
        </is>
      </c>
      <c r="C89" s="4" t="inlineStr">
        <is>
          <t>VENDOR ITEMS PROCURED BY TKO (TAXES INCLUDED)</t>
        </is>
      </c>
      <c r="D89" s="4" t="inlineStr">
        <is>
          <t>Slotted Angle Rack</t>
        </is>
      </c>
      <c r="E89" s="4" t="inlineStr">
        <is>
          <t>S and I of slotted angle rack of size 2 feet 6 inch Length x 1 feet 6 inch breadth x 6 feet 0 inch height in 18 guage MS material of Godrej- Methodex make</t>
        </is>
      </c>
      <c r="F89" s="4" t="n"/>
      <c r="G89" s="5" t="inlineStr">
        <is>
          <t>No</t>
        </is>
      </c>
      <c r="H89" s="5" t="n">
        <v>10000</v>
      </c>
      <c r="I89" s="5" t="n">
        <v>2</v>
      </c>
      <c r="J89" s="5" t="n">
        <v>20000</v>
      </c>
      <c r="K89" s="5" t="n">
        <v>10000</v>
      </c>
      <c r="L89" s="92" t="n"/>
      <c r="M89" s="92" t="n"/>
      <c r="N89" s="5">
        <f>K89*L89</f>
        <v/>
      </c>
      <c r="O89" s="5" t="n"/>
      <c r="P89" s="90">
        <f>L89-I89</f>
        <v/>
      </c>
      <c r="Q89" s="90">
        <f>N89-J89</f>
        <v/>
      </c>
      <c r="R89" s="88">
        <f>IF(N89&gt;J89,(N89-J89),0)</f>
        <v/>
      </c>
      <c r="S89" s="88">
        <f>IF(N89&lt;J89,(N89-J89),0)</f>
        <v/>
      </c>
      <c r="T89" s="88">
        <f>S89+R89</f>
        <v/>
      </c>
      <c r="U89" s="88" t="n"/>
      <c r="V89" s="88" t="n"/>
      <c r="W89" s="88" t="n"/>
    </row>
    <row r="90" hidden="1" ht="41.4" customHeight="1" s="153">
      <c r="A90" s="4" t="inlineStr">
        <is>
          <t>Reimbursable Items</t>
        </is>
      </c>
      <c r="B90" s="4" t="inlineStr">
        <is>
          <t>Reimbursement of Vendor Elements</t>
        </is>
      </c>
      <c r="C90" s="4" t="inlineStr">
        <is>
          <t>VENDOR ITEMS PROCURED BY TKO (TAXES INCLUDED)</t>
        </is>
      </c>
      <c r="D90" s="4" t="inlineStr">
        <is>
          <t>Electricity bill for WIP periods</t>
        </is>
      </c>
      <c r="E90" s="4" t="inlineStr">
        <is>
          <t>Electricity bill for WIP period</t>
        </is>
      </c>
      <c r="F90" s="4" t="inlineStr">
        <is>
          <t>NA</t>
        </is>
      </c>
      <c r="G90" s="5" t="inlineStr">
        <is>
          <t>No</t>
        </is>
      </c>
      <c r="H90" s="5" t="n">
        <v>5000</v>
      </c>
      <c r="I90" s="5" t="n">
        <v>2</v>
      </c>
      <c r="J90" s="5" t="n">
        <v>10000</v>
      </c>
      <c r="K90" s="5" t="n">
        <v>5000</v>
      </c>
      <c r="L90" s="91">
        <f>'Measurement Sheet'!J991</f>
        <v/>
      </c>
      <c r="M90" s="91" t="n"/>
      <c r="N90" s="5">
        <f>K90*L90</f>
        <v/>
      </c>
      <c r="O90" s="5" t="n"/>
      <c r="P90" s="90">
        <f>L90-I90</f>
        <v/>
      </c>
      <c r="Q90" s="90">
        <f>N90-J90</f>
        <v/>
      </c>
      <c r="R90" s="88">
        <f>IF(N90&gt;J90,(N90-J90),0)</f>
        <v/>
      </c>
      <c r="S90" s="88">
        <f>IF(N90&lt;J90,(N90-J90),0)</f>
        <v/>
      </c>
      <c r="T90" s="88">
        <f>S90+R90</f>
        <v/>
      </c>
      <c r="U90" s="88" t="n"/>
      <c r="V90" s="88" t="n"/>
      <c r="W90" s="88" t="n"/>
    </row>
    <row r="91" ht="41.4" customHeight="1" s="153">
      <c r="A91" s="4" t="inlineStr">
        <is>
          <t>Main BOQ</t>
        </is>
      </c>
      <c r="B91" s="4" t="inlineStr">
        <is>
          <t>Electrical Works</t>
        </is>
      </c>
      <c r="C91" s="4" t="inlineStr">
        <is>
          <t>Other Electricals</t>
        </is>
      </c>
      <c r="D91" s="4" t="inlineStr">
        <is>
          <t>Data and voice cablings</t>
        </is>
      </c>
      <c r="E91" s="4" t="inlineStr">
        <is>
          <t>Provision and installation of networking components, networking rack, service component. Cost includes labor, installation and transportation. Make Commscope</t>
        </is>
      </c>
      <c r="F91" s="4" t="inlineStr">
        <is>
          <t>Polycab</t>
        </is>
      </c>
      <c r="G91" s="5" t="inlineStr">
        <is>
          <t>sft</t>
        </is>
      </c>
      <c r="H91" s="5" t="n">
        <v>90</v>
      </c>
      <c r="I91" s="5" t="n">
        <v>1266</v>
      </c>
      <c r="J91" s="5" t="n">
        <v>113940</v>
      </c>
      <c r="K91" s="5" t="n">
        <v>90</v>
      </c>
      <c r="L91" s="91">
        <f>'Measurement Sheet'!J997</f>
        <v/>
      </c>
      <c r="M91" s="91" t="n"/>
      <c r="N91" s="5">
        <f>K91*L91</f>
        <v/>
      </c>
      <c r="O91" s="5" t="n"/>
      <c r="P91" s="90">
        <f>L91-I91</f>
        <v/>
      </c>
      <c r="Q91" s="90">
        <f>N91-J91</f>
        <v/>
      </c>
      <c r="R91" s="88">
        <f>IF(N91&gt;J91,(N91-J91),0)</f>
        <v/>
      </c>
      <c r="S91" s="88">
        <f>IF(N91&lt;J91,(N91-J91),0)</f>
        <v/>
      </c>
      <c r="T91" s="88">
        <f>S91+R91</f>
        <v/>
      </c>
      <c r="U91" s="88" t="n"/>
      <c r="V91" s="88" t="n"/>
      <c r="W91" s="88" t="n"/>
    </row>
    <row r="92" ht="138" customHeight="1" s="153">
      <c r="A92" s="4" t="inlineStr">
        <is>
          <t>Main BOQ</t>
        </is>
      </c>
      <c r="B92" s="4" t="inlineStr">
        <is>
          <t>Carpentry Work</t>
        </is>
      </c>
      <c r="C92" s="4" t="inlineStr">
        <is>
          <t>PARTITIONS AND PANELLING</t>
        </is>
      </c>
      <c r="D92" s="4" t="inlineStr">
        <is>
          <t>Wooden Glass Partition</t>
        </is>
      </c>
      <c r="E92" s="4"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F92" s="109" t="inlineStr">
        <is>
          <t>Saint Gobain 
(10mm Thick Glass)
Samrat (Aluminium Framework : 2"x1")</t>
        </is>
      </c>
      <c r="G92" s="5" t="inlineStr">
        <is>
          <t>sft</t>
        </is>
      </c>
      <c r="H92" s="5" t="n">
        <v>380</v>
      </c>
      <c r="I92" s="5" t="n">
        <v>171</v>
      </c>
      <c r="J92" s="5" t="n">
        <v>64980</v>
      </c>
      <c r="K92" s="5" t="n">
        <v>380</v>
      </c>
      <c r="L92" s="91">
        <f>'Measurement Sheet'!J1003</f>
        <v/>
      </c>
      <c r="M92" s="91" t="n"/>
      <c r="N92" s="5">
        <f>K92*L92</f>
        <v/>
      </c>
      <c r="O92" s="5" t="n"/>
      <c r="P92" s="90">
        <f>L92-I92</f>
        <v/>
      </c>
      <c r="Q92" s="90">
        <f>N92-J92</f>
        <v/>
      </c>
      <c r="R92" s="88">
        <f>IF(N92&gt;J92,(N92-J92),0)</f>
        <v/>
      </c>
      <c r="S92" s="88">
        <f>IF(N92&lt;J92,(N92-J92),0)</f>
        <v/>
      </c>
      <c r="T92" s="88">
        <f>S92+R92</f>
        <v/>
      </c>
      <c r="U92" s="88" t="n"/>
      <c r="V92" s="88" t="n"/>
      <c r="W92" s="88" t="n"/>
    </row>
    <row r="93" hidden="1" ht="41.4" customHeight="1" s="153">
      <c r="A93" s="4" t="inlineStr">
        <is>
          <t>Main BOQ</t>
        </is>
      </c>
      <c r="B93" s="4" t="inlineStr">
        <is>
          <t>CIVIL WORKS</t>
        </is>
      </c>
      <c r="C93" s="4" t="inlineStr">
        <is>
          <t>PLUMBING WORKS AND SANITARY FITTINGS</t>
        </is>
      </c>
      <c r="D93" s="4" t="inlineStr">
        <is>
          <t>Soap Dish</t>
        </is>
      </c>
      <c r="E93" s="4" t="inlineStr">
        <is>
          <t>Providing and fixing of SS Soap Dish. Make: Jaquar,Hindware and Parryware</t>
        </is>
      </c>
      <c r="F93" s="4" t="inlineStr">
        <is>
          <t>Jaquar</t>
        </is>
      </c>
      <c r="G93" s="5" t="inlineStr">
        <is>
          <t>nos</t>
        </is>
      </c>
      <c r="H93" s="5" t="n">
        <v>625</v>
      </c>
      <c r="I93" s="5" t="n">
        <v>2</v>
      </c>
      <c r="J93" s="5" t="n">
        <v>1250</v>
      </c>
      <c r="K93" s="5" t="n">
        <v>625</v>
      </c>
      <c r="L93" s="91">
        <f>'Measurement Sheet'!J1011</f>
        <v/>
      </c>
      <c r="M93" s="91" t="n"/>
      <c r="N93" s="5">
        <f>K93*L93</f>
        <v/>
      </c>
      <c r="O93" s="5" t="n"/>
      <c r="P93" s="90">
        <f>L93-I93</f>
        <v/>
      </c>
      <c r="Q93" s="90">
        <f>N93-J93</f>
        <v/>
      </c>
      <c r="R93" s="88">
        <f>IF(N93&gt;J93,(N93-J93),0)</f>
        <v/>
      </c>
      <c r="S93" s="88">
        <f>IF(N93&lt;J93,(N93-J93),0)</f>
        <v/>
      </c>
      <c r="T93" s="88">
        <f>S93+R93</f>
        <v/>
      </c>
      <c r="U93" s="88" t="n"/>
      <c r="V93" s="88" t="n"/>
      <c r="W93" s="88" t="n"/>
    </row>
    <row r="94" hidden="1" ht="41.4" customHeight="1" s="153">
      <c r="A94" s="4" t="inlineStr">
        <is>
          <t>Main BOQ</t>
        </is>
      </c>
      <c r="B94" s="4" t="inlineStr">
        <is>
          <t>CIVIL WORKS</t>
        </is>
      </c>
      <c r="C94" s="4" t="inlineStr">
        <is>
          <t>PLUMBING WORKS AND SANITARY FITTINGS</t>
        </is>
      </c>
      <c r="D94" s="4" t="inlineStr">
        <is>
          <t>BIB Cock 2 way</t>
        </is>
      </c>
      <c r="E94" s="4" t="inlineStr">
        <is>
          <t>Providing and FixinG 2 way BIB Cock. Approved make: Jaguar Model code:FLR-CHR-5041N, Range
: Florentine</t>
        </is>
      </c>
      <c r="F94" s="4" t="inlineStr">
        <is>
          <t>Jaquar</t>
        </is>
      </c>
      <c r="G94" s="5" t="inlineStr">
        <is>
          <t>Nos</t>
        </is>
      </c>
      <c r="H94" s="5" t="n">
        <v>1750</v>
      </c>
      <c r="I94" s="5" t="n">
        <v>2</v>
      </c>
      <c r="J94" s="5" t="n">
        <v>3500</v>
      </c>
      <c r="K94" s="5" t="n">
        <v>1750</v>
      </c>
      <c r="L94" s="91">
        <f>'Measurement Sheet'!J1019</f>
        <v/>
      </c>
      <c r="M94" s="91" t="n"/>
      <c r="N94" s="5">
        <f>K94*L94</f>
        <v/>
      </c>
      <c r="O94" s="5" t="n"/>
      <c r="P94" s="90">
        <f>L94-I94</f>
        <v/>
      </c>
      <c r="Q94" s="90">
        <f>N94-J94</f>
        <v/>
      </c>
      <c r="R94" s="88">
        <f>IF(N94&gt;J94,(N94-J94),0)</f>
        <v/>
      </c>
      <c r="S94" s="88">
        <f>IF(N94&lt;J94,(N94-J94),0)</f>
        <v/>
      </c>
      <c r="T94" s="88">
        <f>S94+R94</f>
        <v/>
      </c>
      <c r="U94" s="88" t="n"/>
      <c r="V94" s="88" t="n"/>
      <c r="W94" s="88" t="n"/>
    </row>
    <row r="95" ht="66" customHeight="1" s="153">
      <c r="A95" s="4" t="inlineStr">
        <is>
          <t>Main BOQ</t>
        </is>
      </c>
      <c r="B95" s="4" t="inlineStr">
        <is>
          <t>Carpentry Work</t>
        </is>
      </c>
      <c r="C95" s="4" t="inlineStr">
        <is>
          <t>PARTITIONS AND PANELLING</t>
        </is>
      </c>
      <c r="D95" s="4" t="inlineStr">
        <is>
          <t>Aluminum Skirting</t>
        </is>
      </c>
      <c r="E95" s="4" t="inlineStr">
        <is>
          <t>Providing and fixing Bottomline _ Cubik _ Ebco make Alluminium skirting of 90mm height</t>
        </is>
      </c>
      <c r="F95" s="4" t="inlineStr">
        <is>
          <t>Make not provided</t>
        </is>
      </c>
      <c r="G95" s="5" t="inlineStr">
        <is>
          <t>Rft</t>
        </is>
      </c>
      <c r="H95" s="5" t="n">
        <v>90</v>
      </c>
      <c r="I95" s="5" t="n">
        <v>174</v>
      </c>
      <c r="J95" s="5" t="n">
        <v>15660</v>
      </c>
      <c r="K95" s="5" t="n">
        <v>90</v>
      </c>
      <c r="L95" s="91">
        <f>'Measurement Sheet'!J1063</f>
        <v/>
      </c>
      <c r="M95" s="91" t="n"/>
      <c r="N95" s="5">
        <f>K95*L95</f>
        <v/>
      </c>
      <c r="O95" s="5" t="n"/>
      <c r="P95" s="90">
        <f>L95-I95</f>
        <v/>
      </c>
      <c r="Q95" s="90">
        <f>N95-J95</f>
        <v/>
      </c>
      <c r="R95" s="88">
        <f>IF(N95&gt;J95,(N95-J95),0)</f>
        <v/>
      </c>
      <c r="S95" s="88">
        <f>IF(N95&lt;J95,(N95-J95),0)</f>
        <v/>
      </c>
      <c r="T95" s="88">
        <f>S95+R95</f>
        <v/>
      </c>
      <c r="U95" s="88" t="n"/>
      <c r="V95" s="100" t="inlineStr">
        <is>
          <t>Quantity Exceeded from the Work order project Manager Approval Required</t>
        </is>
      </c>
      <c r="W95" s="88" t="n"/>
    </row>
    <row r="96" hidden="1" ht="84" customHeight="1" s="153">
      <c r="A96" s="4" t="inlineStr">
        <is>
          <t>Main BOQ</t>
        </is>
      </c>
      <c r="B96" s="4" t="inlineStr">
        <is>
          <t>Carpentry Work</t>
        </is>
      </c>
      <c r="C96" s="4" t="inlineStr">
        <is>
          <t>PARTITIONS AND PANELLING</t>
        </is>
      </c>
      <c r="D96" s="4" t="inlineStr">
        <is>
          <t>Toilet WC Cubicle</t>
        </is>
      </c>
      <c r="E96" s="4"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F96" s="4" t="inlineStr">
        <is>
          <t>NA</t>
        </is>
      </c>
      <c r="G96" s="5" t="inlineStr">
        <is>
          <t>Nos</t>
        </is>
      </c>
      <c r="H96" s="5" t="n">
        <v>36108</v>
      </c>
      <c r="I96" s="5" t="n">
        <v>1</v>
      </c>
      <c r="J96" s="5" t="n">
        <v>36108</v>
      </c>
      <c r="K96" s="5" t="n">
        <v>36108</v>
      </c>
      <c r="L96" s="91">
        <f>'Measurement Sheet'!J1069</f>
        <v/>
      </c>
      <c r="M96" s="91" t="n"/>
      <c r="N96" s="5">
        <f>K96*L96</f>
        <v/>
      </c>
      <c r="O96" s="5" t="n"/>
      <c r="P96" s="90">
        <f>L96-I96</f>
        <v/>
      </c>
      <c r="Q96" s="90">
        <f>N96-J96</f>
        <v/>
      </c>
      <c r="R96" s="88">
        <f>IF(N96&gt;J96,(N96-J96),0)</f>
        <v/>
      </c>
      <c r="S96" s="88">
        <f>IF(N96&lt;J96,(N96-J96),0)</f>
        <v/>
      </c>
      <c r="T96" s="88">
        <f>S96+R96</f>
        <v/>
      </c>
      <c r="U96" s="88" t="n"/>
      <c r="V96" s="88" t="n"/>
      <c r="W96" s="88" t="n"/>
    </row>
    <row r="97" ht="124.2" customHeight="1" s="153">
      <c r="A97" s="4" t="inlineStr">
        <is>
          <t>Main BOQ</t>
        </is>
      </c>
      <c r="B97" s="4" t="inlineStr">
        <is>
          <t>CIVIL WORKS</t>
        </is>
      </c>
      <c r="C97" s="4" t="inlineStr">
        <is>
          <t>FLOORING AND DADO</t>
        </is>
      </c>
      <c r="D97" s="4" t="inlineStr">
        <is>
          <t>Kota Stone Flooring</t>
        </is>
      </c>
      <c r="E97"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F97" s="4" t="inlineStr">
        <is>
          <t>NA</t>
        </is>
      </c>
      <c r="G97" s="5" t="inlineStr">
        <is>
          <t>Sft</t>
        </is>
      </c>
      <c r="H97" s="5" t="n">
        <v>160</v>
      </c>
      <c r="I97" s="5" t="n">
        <v>170</v>
      </c>
      <c r="J97" s="5" t="n">
        <v>27200</v>
      </c>
      <c r="K97" s="5" t="n">
        <v>160</v>
      </c>
      <c r="L97" s="91">
        <f>'Measurement Sheet'!J1088</f>
        <v/>
      </c>
      <c r="M97" s="91" t="n"/>
      <c r="N97" s="5">
        <f>K97*L97</f>
        <v/>
      </c>
      <c r="O97" s="5" t="n"/>
      <c r="P97" s="90">
        <f>L97-I97</f>
        <v/>
      </c>
      <c r="Q97" s="90">
        <f>N97-J97</f>
        <v/>
      </c>
      <c r="R97" s="88">
        <f>IF(N97&gt;J97,(N97-J97),0)</f>
        <v/>
      </c>
      <c r="S97" s="88">
        <f>IF(N97&lt;J97,(N97-J97),0)</f>
        <v/>
      </c>
      <c r="T97" s="88">
        <f>S97+R97</f>
        <v/>
      </c>
      <c r="U97" s="88" t="n"/>
      <c r="V97" s="100" t="inlineStr">
        <is>
          <t>Quantity Exceeded from the Work order project Manager Approval Required</t>
        </is>
      </c>
      <c r="W97" s="88" t="n"/>
    </row>
    <row r="98" ht="43.2" customHeight="1" s="153">
      <c r="A98" s="4" t="inlineStr">
        <is>
          <t>Main BOQ</t>
        </is>
      </c>
      <c r="B98" s="4" t="inlineStr">
        <is>
          <t>CIVIL WORKS</t>
        </is>
      </c>
      <c r="C98" s="4" t="inlineStr">
        <is>
          <t>FLOORING AND DADO</t>
        </is>
      </c>
      <c r="D98" s="4" t="inlineStr">
        <is>
          <t>Wall Tiles</t>
        </is>
      </c>
      <c r="E98" s="4"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F98" s="4" t="inlineStr">
        <is>
          <t>Kajaria</t>
        </is>
      </c>
      <c r="G98" s="5" t="inlineStr">
        <is>
          <t>Sft</t>
        </is>
      </c>
      <c r="H98" s="5" t="n">
        <v>120</v>
      </c>
      <c r="I98" s="5" t="n">
        <v>630</v>
      </c>
      <c r="J98" s="5" t="n">
        <v>75600</v>
      </c>
      <c r="K98" s="5" t="n">
        <v>120</v>
      </c>
      <c r="L98" s="91">
        <f>'Measurement Sheet'!J1115</f>
        <v/>
      </c>
      <c r="M98" s="91" t="n"/>
      <c r="N98" s="5">
        <f>K98*L98</f>
        <v/>
      </c>
      <c r="O98" s="5" t="n"/>
      <c r="P98" s="90">
        <f>L98-I98</f>
        <v/>
      </c>
      <c r="Q98" s="90">
        <f>N98-J98</f>
        <v/>
      </c>
      <c r="R98" s="88">
        <f>IF(N98&gt;J98,(N98-J98),0)</f>
        <v/>
      </c>
      <c r="S98" s="88">
        <f>IF(N98&lt;J98,(N98-J98),0)</f>
        <v/>
      </c>
      <c r="T98" s="88">
        <f>S98+R98</f>
        <v/>
      </c>
      <c r="U98" s="88" t="n"/>
      <c r="V98" s="88" t="n"/>
      <c r="W98" s="88" t="n"/>
    </row>
    <row r="99" hidden="1" ht="110.4" customHeight="1" s="153">
      <c r="A99" s="4" t="inlineStr">
        <is>
          <t>Main BOQ</t>
        </is>
      </c>
      <c r="B99" s="4" t="inlineStr">
        <is>
          <t>Carpentry Work</t>
        </is>
      </c>
      <c r="C99" s="4" t="inlineStr">
        <is>
          <t>DOORS AND WINDOWS</t>
        </is>
      </c>
      <c r="D99" s="4" t="inlineStr">
        <is>
          <t>Sliding door</t>
        </is>
      </c>
      <c r="E99"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F99" s="4" t="inlineStr">
        <is>
          <t>Samrat</t>
        </is>
      </c>
      <c r="G99" s="5" t="inlineStr">
        <is>
          <t>nos</t>
        </is>
      </c>
      <c r="H99" s="5" t="n"/>
      <c r="I99" s="5" t="n"/>
      <c r="J99" s="5" t="n"/>
      <c r="K99" s="5" t="n">
        <v>11000</v>
      </c>
      <c r="L99" s="91">
        <f>'Measurement Sheet'!J1121</f>
        <v/>
      </c>
      <c r="M99" s="91" t="n"/>
      <c r="N99" s="5">
        <f>K99*L99</f>
        <v/>
      </c>
      <c r="O99" s="5" t="n"/>
      <c r="P99" s="90">
        <f>L99-I99</f>
        <v/>
      </c>
      <c r="Q99" s="90">
        <f>N99-J99</f>
        <v/>
      </c>
      <c r="R99" s="88">
        <f>IF(N99&gt;J99,(N99-J99),0)</f>
        <v/>
      </c>
      <c r="S99" s="88">
        <f>IF(N99&lt;J99,(N99-J99),0)</f>
        <v/>
      </c>
      <c r="T99" s="88">
        <f>S99+R99</f>
        <v/>
      </c>
      <c r="U99" s="110" t="inlineStr">
        <is>
          <t>Rate Approval Required</t>
        </is>
      </c>
      <c r="V99" s="105" t="inlineStr">
        <is>
          <t>Quantities Not in Work order Project Manager Approval required</t>
        </is>
      </c>
      <c r="W99" s="88" t="n"/>
    </row>
    <row r="100" ht="52.8" customHeight="1" s="153">
      <c r="A100" s="4" t="inlineStr">
        <is>
          <t>Non Standard</t>
        </is>
      </c>
      <c r="B100" s="4" t="inlineStr">
        <is>
          <t>Carpentry Work</t>
        </is>
      </c>
      <c r="C100" s="4" t="inlineStr">
        <is>
          <t>MISCELLANEOUS</t>
        </is>
      </c>
      <c r="D100" s="4" t="inlineStr">
        <is>
          <t>Corner Guard</t>
        </is>
      </c>
      <c r="E100" s="4" t="inlineStr">
        <is>
          <t>Corner Guard</t>
        </is>
      </c>
      <c r="F100" s="4" t="inlineStr">
        <is>
          <t>NA</t>
        </is>
      </c>
      <c r="G100" s="5" t="inlineStr">
        <is>
          <t>Rft</t>
        </is>
      </c>
      <c r="H100" s="5" t="n"/>
      <c r="I100" s="5" t="n"/>
      <c r="J100" s="5" t="n"/>
      <c r="K100" s="5" t="n">
        <v>65</v>
      </c>
      <c r="L100" s="91">
        <f>'Measurement Sheet'!J1142</f>
        <v/>
      </c>
      <c r="M100" s="91" t="n"/>
      <c r="N100" s="5">
        <f>K100*L100</f>
        <v/>
      </c>
      <c r="O100" s="5" t="n"/>
      <c r="P100" s="90">
        <f>L100-I100</f>
        <v/>
      </c>
      <c r="Q100" s="90">
        <f>N100-J100</f>
        <v/>
      </c>
      <c r="R100" s="88">
        <f>IF(N100&gt;J100,(N100-J100),0)</f>
        <v/>
      </c>
      <c r="S100" s="88">
        <f>IF(N100&lt;J100,(N100-J100),0)</f>
        <v/>
      </c>
      <c r="T100" s="88">
        <f>S100+R100</f>
        <v/>
      </c>
      <c r="U100" s="110" t="inlineStr">
        <is>
          <t>Rate Approval Required</t>
        </is>
      </c>
      <c r="V100" s="105" t="inlineStr">
        <is>
          <t>Quantities Not in Work order Project Manager Approval required</t>
        </is>
      </c>
      <c r="W100" s="88" t="n"/>
    </row>
    <row r="101" hidden="1" ht="52.8" customHeight="1" s="153">
      <c r="A101" s="4" t="inlineStr">
        <is>
          <t>Non-Standard</t>
        </is>
      </c>
      <c r="B101" s="4" t="inlineStr">
        <is>
          <t>Carpentry Work</t>
        </is>
      </c>
      <c r="C101" s="4" t="inlineStr">
        <is>
          <t>Carpentry Work</t>
        </is>
      </c>
      <c r="D101" s="4" t="inlineStr">
        <is>
          <t>Pantry Table</t>
        </is>
      </c>
      <c r="E101" s="4" t="inlineStr">
        <is>
          <t>Providing &amp; fixing the Pantry Table with MS Base, used in 25mm thick ply with both side laminet with top edge 2mm thik banding, MS Base with powder coated as per details given. ( Size - 4' x 3' )</t>
        </is>
      </c>
      <c r="F101" s="4" t="inlineStr">
        <is>
          <t>Samrat</t>
        </is>
      </c>
      <c r="G101" s="5" t="inlineStr">
        <is>
          <t>Nos</t>
        </is>
      </c>
      <c r="H101" s="5" t="n"/>
      <c r="I101" s="5" t="n"/>
      <c r="J101" s="5" t="n"/>
      <c r="K101" s="5" t="n">
        <v>12500</v>
      </c>
      <c r="L101" s="91">
        <f>'Measurement Sheet'!J1148</f>
        <v/>
      </c>
      <c r="M101" s="91" t="n"/>
      <c r="N101" s="5">
        <f>K101*L101</f>
        <v/>
      </c>
      <c r="O101" s="5" t="n"/>
      <c r="P101" s="90">
        <f>L101-I101</f>
        <v/>
      </c>
      <c r="Q101" s="90">
        <f>N101-J101</f>
        <v/>
      </c>
      <c r="R101" s="88">
        <f>IF(N101&gt;J101,(N101-J101),0)</f>
        <v/>
      </c>
      <c r="S101" s="88">
        <f>IF(N101&lt;J101,(N101-J101),0)</f>
        <v/>
      </c>
      <c r="T101" s="88">
        <f>S101+R101</f>
        <v/>
      </c>
      <c r="U101" s="110" t="inlineStr">
        <is>
          <t>Rate Approval Required</t>
        </is>
      </c>
      <c r="V101" s="105" t="inlineStr">
        <is>
          <t>Quantities Not in Work order Project Manager Approval required</t>
        </is>
      </c>
      <c r="W101" s="88" t="n"/>
    </row>
    <row r="102" ht="55.2" customHeight="1" s="153">
      <c r="A102" s="4" t="inlineStr">
        <is>
          <t>Main BOQ</t>
        </is>
      </c>
      <c r="B102" s="4" t="inlineStr">
        <is>
          <t>Carpentry Work</t>
        </is>
      </c>
      <c r="C102" s="4" t="inlineStr">
        <is>
          <t>PARTITIONS AND PANELLING</t>
        </is>
      </c>
      <c r="D102" s="126" t="inlineStr">
        <is>
          <t>ATM Door Back Room</t>
        </is>
      </c>
      <c r="E102" s="4" t="inlineStr">
        <is>
          <t>ATM back room door - Providing and fixing ATM back room door, made of 25mm commercial ply or HDHMR boards finished in 1mm high gloss laminate, with lock, magnet and all fittings, as per approved design.  Ply make- Century, Greenply, Kitply. Laminate</t>
        </is>
      </c>
      <c r="F102" s="4" t="inlineStr">
        <is>
          <t>Samrat</t>
        </is>
      </c>
      <c r="G102" s="5" t="inlineStr">
        <is>
          <t>Sft</t>
        </is>
      </c>
      <c r="H102" s="5" t="n"/>
      <c r="I102" s="5" t="n"/>
      <c r="J102" s="5" t="n"/>
      <c r="K102" s="5" t="n">
        <v>300</v>
      </c>
      <c r="L102" s="91">
        <f>'Measurement Sheet'!J1154</f>
        <v/>
      </c>
      <c r="M102" s="91" t="n"/>
      <c r="N102" s="5">
        <f>K102*L102</f>
        <v/>
      </c>
      <c r="O102" s="5" t="n"/>
      <c r="P102" s="90">
        <f>L102-I102</f>
        <v/>
      </c>
      <c r="Q102" s="90">
        <f>N102-J102</f>
        <v/>
      </c>
      <c r="R102" s="88">
        <f>IF(N102&gt;J102,(N102-J102),0)</f>
        <v/>
      </c>
      <c r="S102" s="88">
        <f>IF(N102&lt;J102,(N102-J102),0)</f>
        <v/>
      </c>
      <c r="T102" s="88">
        <f>S102+R102</f>
        <v/>
      </c>
      <c r="U102" s="110" t="inlineStr">
        <is>
          <t>Rate Approval Required</t>
        </is>
      </c>
      <c r="V102" s="105" t="inlineStr">
        <is>
          <t>Quantities Not in Work order Project Manager Approval required</t>
        </is>
      </c>
      <c r="W102" s="88" t="n"/>
    </row>
    <row r="103" ht="96.59999999999999" customHeight="1" s="153">
      <c r="A103" s="4" t="inlineStr">
        <is>
          <t>Main BOQ</t>
        </is>
      </c>
      <c r="B103" s="4" t="inlineStr">
        <is>
          <t>CIVIL WORKS</t>
        </is>
      </c>
      <c r="C103" s="4" t="inlineStr">
        <is>
          <t>FLOORING AND DADO</t>
        </is>
      </c>
      <c r="D103" s="4" t="inlineStr">
        <is>
          <t>External Flooring in Granite</t>
        </is>
      </c>
      <c r="E103"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F103" s="4" t="inlineStr">
        <is>
          <t>NA</t>
        </is>
      </c>
      <c r="G103" s="5" t="inlineStr">
        <is>
          <t>Sft</t>
        </is>
      </c>
      <c r="H103" s="5" t="n"/>
      <c r="I103" s="5" t="n"/>
      <c r="J103" s="5" t="n"/>
      <c r="K103" s="5" t="n">
        <v>350</v>
      </c>
      <c r="L103" s="91">
        <f>'Measurement Sheet'!J1165</f>
        <v/>
      </c>
      <c r="M103" s="91" t="n"/>
      <c r="N103" s="5">
        <f>K103*L103</f>
        <v/>
      </c>
      <c r="O103" s="5" t="n"/>
      <c r="P103" s="90">
        <f>L103-I103</f>
        <v/>
      </c>
      <c r="Q103" s="90">
        <f>N103-J103</f>
        <v/>
      </c>
      <c r="R103" s="88">
        <f>IF(N103&gt;J103,(N103-J103),0)</f>
        <v/>
      </c>
      <c r="S103" s="88">
        <f>IF(N103&lt;J103,(N103-J103),0)</f>
        <v/>
      </c>
      <c r="T103" s="88">
        <f>S103+R103</f>
        <v/>
      </c>
      <c r="U103" s="110" t="inlineStr">
        <is>
          <t>Rate Approval Required</t>
        </is>
      </c>
      <c r="V103" s="105" t="inlineStr">
        <is>
          <t>Quantities Not in Work order Project Manager Approval required</t>
        </is>
      </c>
      <c r="W103" s="88" t="n"/>
    </row>
    <row r="104" hidden="1" ht="69" customHeight="1" s="153">
      <c r="A104" s="4" t="inlineStr">
        <is>
          <t>Main BOQ</t>
        </is>
      </c>
      <c r="B104" s="4" t="inlineStr">
        <is>
          <t>Carpentry Work</t>
        </is>
      </c>
      <c r="C104" s="4" t="inlineStr">
        <is>
          <t>LOOSE FURNITURE</t>
        </is>
      </c>
      <c r="D104" s="4" t="inlineStr">
        <is>
          <t>Writing Ledge 33 inch X18 inch Glass top ALLEN Model</t>
        </is>
      </c>
      <c r="E104"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F104" s="4" t="inlineStr">
        <is>
          <t>Samrat</t>
        </is>
      </c>
      <c r="G104" s="5" t="inlineStr">
        <is>
          <t>nos</t>
        </is>
      </c>
      <c r="H104" s="5" t="n"/>
      <c r="I104" s="5" t="n"/>
      <c r="J104" s="5" t="n"/>
      <c r="K104" s="5" t="n">
        <v>5500</v>
      </c>
      <c r="L104" s="91">
        <f>'Measurement Sheet'!J1171</f>
        <v/>
      </c>
      <c r="M104" s="91" t="n"/>
      <c r="N104" s="5">
        <f>K104*L104</f>
        <v/>
      </c>
      <c r="O104" s="5" t="n"/>
      <c r="P104" s="90">
        <f>L104-I104</f>
        <v/>
      </c>
      <c r="Q104" s="90">
        <f>N104-J104</f>
        <v/>
      </c>
      <c r="R104" s="88">
        <f>IF(N104&gt;J104,(N104-J104),0)</f>
        <v/>
      </c>
      <c r="S104" s="88">
        <f>IF(N104&lt;J104,(N104-J104),0)</f>
        <v/>
      </c>
      <c r="T104" s="88">
        <f>S104+R104</f>
        <v/>
      </c>
      <c r="U104" s="110" t="inlineStr">
        <is>
          <t>Rate Approval Required</t>
        </is>
      </c>
      <c r="V104" s="105" t="inlineStr">
        <is>
          <t>Quantities Not in Work order Project Manager Approval required</t>
        </is>
      </c>
      <c r="W104" s="88" t="n"/>
    </row>
    <row r="105" ht="55.2" customHeight="1" s="153">
      <c r="A105" s="4" t="inlineStr">
        <is>
          <t>Non-Interior Work</t>
        </is>
      </c>
      <c r="B105" s="4" t="inlineStr">
        <is>
          <t>Non-Interior Works</t>
        </is>
      </c>
      <c r="C105" s="4" t="inlineStr">
        <is>
          <t>BRICK AND PLASTER WORKS</t>
        </is>
      </c>
      <c r="D105" s="4" t="inlineStr">
        <is>
          <t>MS Grill work for Strong Room Ceiling - applicable only in case no RCC is possible for ceiling</t>
        </is>
      </c>
      <c r="E105"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F105" s="4" t="inlineStr">
        <is>
          <t>NA</t>
        </is>
      </c>
      <c r="G105" s="5" t="inlineStr">
        <is>
          <t>Sft</t>
        </is>
      </c>
      <c r="H105" s="5" t="n"/>
      <c r="I105" s="5" t="n"/>
      <c r="J105" s="5" t="n"/>
      <c r="K105" s="5" t="n">
        <v>800</v>
      </c>
      <c r="L105" s="91">
        <f>'Measurement Sheet'!J1177</f>
        <v/>
      </c>
      <c r="M105" s="91" t="n"/>
      <c r="N105" s="5">
        <f>K105*L105</f>
        <v/>
      </c>
      <c r="O105" s="5" t="n"/>
      <c r="P105" s="90">
        <f>L105-I105</f>
        <v/>
      </c>
      <c r="Q105" s="90">
        <f>N105-J105</f>
        <v/>
      </c>
      <c r="R105" s="88">
        <f>IF(N105&gt;J105,(N105-J105),0)</f>
        <v/>
      </c>
      <c r="S105" s="88">
        <f>IF(N105&lt;J105,(N105-J105),0)</f>
        <v/>
      </c>
      <c r="T105" s="88">
        <f>S105+R105</f>
        <v/>
      </c>
      <c r="U105" s="110" t="inlineStr">
        <is>
          <t>Rate Approval Required</t>
        </is>
      </c>
      <c r="V105" s="105" t="inlineStr">
        <is>
          <t>Quantities Not in Work order Project Manager Approval required</t>
        </is>
      </c>
      <c r="W105" s="88" t="n"/>
    </row>
    <row r="106" hidden="1" ht="52.8" customHeight="1" s="153">
      <c r="A106" s="4" t="inlineStr">
        <is>
          <t>Non Standard</t>
        </is>
      </c>
      <c r="B106" s="4" t="inlineStr">
        <is>
          <t>Non-Interior Works</t>
        </is>
      </c>
      <c r="C106" s="4" t="inlineStr">
        <is>
          <t>METAL-WORK</t>
        </is>
      </c>
      <c r="D106" s="4" t="inlineStr">
        <is>
          <t>Ms Staircase</t>
        </is>
      </c>
      <c r="E106" s="4" t="inlineStr">
        <is>
          <t>MS Sataircase</t>
        </is>
      </c>
      <c r="F106" s="4" t="inlineStr">
        <is>
          <t>NA</t>
        </is>
      </c>
      <c r="G106" s="5" t="inlineStr">
        <is>
          <t>L/s</t>
        </is>
      </c>
      <c r="H106" s="5" t="n"/>
      <c r="I106" s="5" t="n"/>
      <c r="J106" s="5" t="n"/>
      <c r="K106" s="5" t="n">
        <v>70000</v>
      </c>
      <c r="L106" s="91">
        <f>'Measurement Sheet'!J1183</f>
        <v/>
      </c>
      <c r="M106" s="91" t="n"/>
      <c r="N106" s="5">
        <f>K106*L106</f>
        <v/>
      </c>
      <c r="O106" s="5" t="n"/>
      <c r="P106" s="90">
        <f>L106-I106</f>
        <v/>
      </c>
      <c r="Q106" s="90">
        <f>N106-J106</f>
        <v/>
      </c>
      <c r="R106" s="88">
        <f>IF(N106&gt;J106,(N106-J106),0)</f>
        <v/>
      </c>
      <c r="S106" s="88">
        <f>IF(N106&lt;J106,(N106-J106),0)</f>
        <v/>
      </c>
      <c r="T106" s="88">
        <f>S106+R106</f>
        <v/>
      </c>
      <c r="U106" s="110" t="inlineStr">
        <is>
          <t>Rate Approval Required</t>
        </is>
      </c>
      <c r="V106" s="105" t="inlineStr">
        <is>
          <t>Quantities Not in Work order Project Manager Approval required</t>
        </is>
      </c>
      <c r="W106" s="88" t="n"/>
    </row>
    <row r="107" hidden="1" ht="96.59999999999999" customHeight="1" s="153">
      <c r="A107" s="4" t="inlineStr">
        <is>
          <t>Main BOQ</t>
        </is>
      </c>
      <c r="B107" s="4" t="inlineStr">
        <is>
          <t>Carpentry Work</t>
        </is>
      </c>
      <c r="C107" s="4" t="inlineStr">
        <is>
          <t>LOOSE FURNITURE</t>
        </is>
      </c>
      <c r="D107" s="4" t="inlineStr">
        <is>
          <t>Pedestal unit E10</t>
        </is>
      </c>
      <c r="E107"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F107" s="4" t="inlineStr">
        <is>
          <t>Greenlam</t>
        </is>
      </c>
      <c r="G107" s="5" t="inlineStr">
        <is>
          <t>nos</t>
        </is>
      </c>
      <c r="H107" s="5" t="n"/>
      <c r="I107" s="5" t="n"/>
      <c r="J107" s="5" t="n"/>
      <c r="K107" s="5" t="n">
        <v>5000</v>
      </c>
      <c r="L107" s="91">
        <f>'Measurement Sheet'!J1189</f>
        <v/>
      </c>
      <c r="M107" s="91" t="n"/>
      <c r="N107" s="5">
        <f>K107*L107</f>
        <v/>
      </c>
      <c r="O107" s="5" t="n"/>
      <c r="P107" s="90">
        <f>L107-I107</f>
        <v/>
      </c>
      <c r="Q107" s="90">
        <f>N107-J107</f>
        <v/>
      </c>
      <c r="R107" s="88">
        <f>IF(N107&gt;J107,(N107-J107),0)</f>
        <v/>
      </c>
      <c r="S107" s="88">
        <f>IF(N107&lt;J107,(N107-J107),0)</f>
        <v/>
      </c>
      <c r="T107" s="88">
        <f>S107+R107</f>
        <v/>
      </c>
      <c r="U107" s="110" t="inlineStr">
        <is>
          <t>Rate Approval Required</t>
        </is>
      </c>
      <c r="V107" s="105" t="inlineStr">
        <is>
          <t>Quantities Not in Work order Project Manager Approval required</t>
        </is>
      </c>
      <c r="W107" s="88" t="n"/>
    </row>
    <row r="108" ht="179.4" customHeight="1" s="153">
      <c r="A108" s="4" t="inlineStr">
        <is>
          <t>Non-Interior Work</t>
        </is>
      </c>
      <c r="B108" s="4" t="inlineStr">
        <is>
          <t>Non-Interior Works</t>
        </is>
      </c>
      <c r="C108" s="4" t="inlineStr">
        <is>
          <t>BRICK AND PLASTER WORKS</t>
        </is>
      </c>
      <c r="D108" s="4" t="inlineStr">
        <is>
          <t>9 inch thick  walls in Siporex with both side plaster</t>
        </is>
      </c>
      <c r="E108"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F108" s="4" t="inlineStr">
        <is>
          <t>NA</t>
        </is>
      </c>
      <c r="G108" s="5" t="inlineStr">
        <is>
          <t>Sft</t>
        </is>
      </c>
      <c r="H108" s="5" t="n"/>
      <c r="I108" s="5" t="n"/>
      <c r="J108" s="5" t="n"/>
      <c r="K108" s="5" t="n">
        <v>180</v>
      </c>
      <c r="L108" s="91">
        <f>'Measurement Sheet'!J1198</f>
        <v/>
      </c>
      <c r="M108" s="91" t="n"/>
      <c r="N108" s="5">
        <f>K108*L108</f>
        <v/>
      </c>
      <c r="O108" s="5" t="n"/>
      <c r="P108" s="90">
        <f>L108-I108</f>
        <v/>
      </c>
      <c r="Q108" s="90">
        <f>N108-J108</f>
        <v/>
      </c>
      <c r="R108" s="88">
        <f>IF(N108&gt;J108,(N108-J108),0)</f>
        <v/>
      </c>
      <c r="S108" s="88">
        <f>IF(N108&lt;J108,(N108-J108),0)</f>
        <v/>
      </c>
      <c r="T108" s="88">
        <f>S108+R108</f>
        <v/>
      </c>
      <c r="U108" s="110" t="inlineStr">
        <is>
          <t>Rate Approval Required</t>
        </is>
      </c>
      <c r="V108" s="105" t="inlineStr">
        <is>
          <t>Quantities Not in Work order Project Manager Approval required</t>
        </is>
      </c>
      <c r="W108" s="88" t="n"/>
    </row>
    <row r="109" hidden="1" ht="165.6" customHeight="1" s="153">
      <c r="A109" s="4" t="inlineStr">
        <is>
          <t>Non-Interior Work</t>
        </is>
      </c>
      <c r="B109" s="4" t="inlineStr">
        <is>
          <t>Non-Interior Works</t>
        </is>
      </c>
      <c r="C109" s="4" t="inlineStr">
        <is>
          <t>BRICK AND PLASTER WORKS</t>
        </is>
      </c>
      <c r="D109" s="4" t="inlineStr">
        <is>
          <t>9 inch thk. RCC for Strong Room walls with both side plaster</t>
        </is>
      </c>
      <c r="E109"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F109" s="4" t="inlineStr">
        <is>
          <t>JK Super cement</t>
        </is>
      </c>
      <c r="G109" s="5" t="inlineStr">
        <is>
          <t>Cft</t>
        </is>
      </c>
      <c r="H109" s="5" t="n"/>
      <c r="I109" s="5" t="n"/>
      <c r="J109" s="5" t="n"/>
      <c r="K109" s="5" t="n">
        <v>625</v>
      </c>
      <c r="L109" s="91">
        <f>'Measurement Sheet'!J1213</f>
        <v/>
      </c>
      <c r="M109" s="91" t="n"/>
      <c r="N109" s="5">
        <f>K109*L109</f>
        <v/>
      </c>
      <c r="O109" s="5" t="n"/>
      <c r="P109" s="90">
        <f>L109-I109</f>
        <v/>
      </c>
      <c r="Q109" s="90">
        <f>N109-J109</f>
        <v/>
      </c>
      <c r="R109" s="88">
        <f>IF(N109&gt;J109,(N109-J109),0)</f>
        <v/>
      </c>
      <c r="S109" s="88">
        <f>IF(N109&lt;J109,(N109-J109),0)</f>
        <v/>
      </c>
      <c r="T109" s="88">
        <f>S109+R109</f>
        <v/>
      </c>
      <c r="U109" s="110" t="inlineStr">
        <is>
          <t>Rate Approval Required</t>
        </is>
      </c>
      <c r="V109" s="105" t="inlineStr">
        <is>
          <t>Quantities Not in Work order Project Manager Approval required</t>
        </is>
      </c>
      <c r="W109" s="88" t="n"/>
    </row>
    <row r="110" ht="52.8" customHeight="1" s="153">
      <c r="A110" s="4" t="inlineStr">
        <is>
          <t>Non Standard</t>
        </is>
      </c>
      <c r="B110" s="4" t="inlineStr">
        <is>
          <t>Non-Interior Works</t>
        </is>
      </c>
      <c r="C110" s="4" t="inlineStr">
        <is>
          <t>PARTITIONS AND PANELLING</t>
        </is>
      </c>
      <c r="D110" s="4" t="inlineStr">
        <is>
          <t>Ply Panelling</t>
        </is>
      </c>
      <c r="E110" s="4" t="inlineStr">
        <is>
          <t>Providing &amp; fixing Ply Panelling for Staircase &amp; ATM Ceiling</t>
        </is>
      </c>
      <c r="F110" s="4" t="inlineStr">
        <is>
          <t>Samrat</t>
        </is>
      </c>
      <c r="G110" s="5" t="inlineStr">
        <is>
          <t>Sq.ft</t>
        </is>
      </c>
      <c r="H110" s="5" t="n"/>
      <c r="I110" s="5" t="n"/>
      <c r="J110" s="5" t="n"/>
      <c r="K110" s="5" t="n">
        <v>185</v>
      </c>
      <c r="L110" s="91">
        <f>'Measurement Sheet'!J1236</f>
        <v/>
      </c>
      <c r="M110" s="91" t="n"/>
      <c r="N110" s="5">
        <f>K110*L110</f>
        <v/>
      </c>
      <c r="O110" s="5" t="n"/>
      <c r="P110" s="90">
        <f>L110-I110</f>
        <v/>
      </c>
      <c r="Q110" s="90">
        <f>N110-J110</f>
        <v/>
      </c>
      <c r="R110" s="88">
        <f>IF(N110&gt;J110,(N110-J110),0)</f>
        <v/>
      </c>
      <c r="S110" s="88">
        <f>IF(N110&lt;J110,(N110-J110),0)</f>
        <v/>
      </c>
      <c r="T110" s="88">
        <f>S110+R110</f>
        <v/>
      </c>
      <c r="U110" s="110" t="inlineStr">
        <is>
          <t>Rate Approval Required</t>
        </is>
      </c>
      <c r="V110" s="105" t="inlineStr">
        <is>
          <t>Quantities Not in Work order Project Manager Approval required</t>
        </is>
      </c>
      <c r="W110" s="88" t="n"/>
    </row>
    <row r="111" hidden="1" ht="52.8" customHeight="1" s="153">
      <c r="A111" s="4" t="inlineStr">
        <is>
          <t>Non Standard</t>
        </is>
      </c>
      <c r="B111" s="4" t="inlineStr">
        <is>
          <t>Non-Interior Works</t>
        </is>
      </c>
      <c r="C111" s="4" t="inlineStr">
        <is>
          <t>MISCELLANEOUS</t>
        </is>
      </c>
      <c r="D111" s="4" t="inlineStr">
        <is>
          <t>LABOUR MATHADI</t>
        </is>
      </c>
      <c r="E111" s="4" t="inlineStr">
        <is>
          <t>ADDITIONAL LABOUR CHARGES FOR MATHADI</t>
        </is>
      </c>
      <c r="F111" s="4" t="inlineStr">
        <is>
          <t>NA</t>
        </is>
      </c>
      <c r="G111" s="5" t="inlineStr">
        <is>
          <t>LS</t>
        </is>
      </c>
      <c r="H111" s="5" t="n"/>
      <c r="I111" s="5" t="n"/>
      <c r="J111" s="5" t="n"/>
      <c r="K111" s="5">
        <f>30000*1.2</f>
        <v/>
      </c>
      <c r="L111" s="91">
        <f>'Measurement Sheet'!J1242</f>
        <v/>
      </c>
      <c r="M111" s="91" t="n"/>
      <c r="N111" s="5">
        <f>K111*L111</f>
        <v/>
      </c>
      <c r="O111" s="5" t="n"/>
      <c r="P111" s="90">
        <f>L111-I111</f>
        <v/>
      </c>
      <c r="Q111" s="90">
        <f>N111-J111</f>
        <v/>
      </c>
      <c r="R111" s="88">
        <f>IF(N111&gt;J111,(N111-J111),0)</f>
        <v/>
      </c>
      <c r="S111" s="88">
        <f>IF(N111&lt;J111,(N111-J111),0)</f>
        <v/>
      </c>
      <c r="T111" s="88">
        <f>S111+R111</f>
        <v/>
      </c>
      <c r="U111" s="110" t="inlineStr">
        <is>
          <t>Rate Approval Required</t>
        </is>
      </c>
      <c r="V111" s="105" t="inlineStr">
        <is>
          <t>Quantities Not in Work order Project Manager Approval required</t>
        </is>
      </c>
      <c r="W111" s="88" t="n"/>
    </row>
    <row r="112" ht="220.8" customHeight="1" s="153">
      <c r="A112" s="4" t="inlineStr">
        <is>
          <t>Non-Interior Work</t>
        </is>
      </c>
      <c r="B112" s="4" t="inlineStr">
        <is>
          <t>Non-Interior Works</t>
        </is>
      </c>
      <c r="C112" s="4" t="inlineStr">
        <is>
          <t>BRICK AND PLASTER WORKS</t>
        </is>
      </c>
      <c r="D112" s="4" t="inlineStr">
        <is>
          <t>4.5 inch thick walls in Siporex with both side plaster</t>
        </is>
      </c>
      <c r="E112"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F112" s="4" t="inlineStr">
        <is>
          <t>NA</t>
        </is>
      </c>
      <c r="G112" s="5" t="inlineStr">
        <is>
          <t>Sq.ft</t>
        </is>
      </c>
      <c r="H112" s="5" t="n"/>
      <c r="I112" s="5" t="n"/>
      <c r="J112" s="5" t="n"/>
      <c r="K112" s="5" t="n">
        <v>140</v>
      </c>
      <c r="L112" s="91">
        <f>'Measurement Sheet'!J1257</f>
        <v/>
      </c>
      <c r="M112" s="91" t="n"/>
      <c r="N112" s="5">
        <f>K112*L112</f>
        <v/>
      </c>
      <c r="O112" s="5" t="n"/>
      <c r="P112" s="90">
        <f>L112-I112</f>
        <v/>
      </c>
      <c r="Q112" s="90">
        <f>N112-J112</f>
        <v/>
      </c>
      <c r="R112" s="88">
        <f>IF(N112&gt;J112,(N112-J112),0)</f>
        <v/>
      </c>
      <c r="S112" s="88">
        <f>IF(N112&lt;J112,(N112-J112),0)</f>
        <v/>
      </c>
      <c r="T112" s="88">
        <f>S112+R112</f>
        <v/>
      </c>
      <c r="U112" s="110" t="inlineStr">
        <is>
          <t>Rate Approval Required</t>
        </is>
      </c>
      <c r="V112" s="105" t="inlineStr">
        <is>
          <t>Quantities Not in Work order Project Manager Approval required</t>
        </is>
      </c>
      <c r="W112" s="88" t="n"/>
    </row>
    <row r="113" hidden="1" ht="52.8" customHeight="1" s="153">
      <c r="A113" s="4" t="inlineStr">
        <is>
          <t>Non Standard</t>
        </is>
      </c>
      <c r="B113" s="4" t="inlineStr">
        <is>
          <t>Non-Interior Works</t>
        </is>
      </c>
      <c r="C113" s="4" t="inlineStr">
        <is>
          <t>DOORS AND WINDOWS</t>
        </is>
      </c>
      <c r="D113" s="4" t="inlineStr">
        <is>
          <t xml:space="preserve">Aluminium Door Frame 50mmx 38mm ( Door Size - 1050 x 2400mm ) </t>
        </is>
      </c>
      <c r="E113" s="4" t="inlineStr">
        <is>
          <t xml:space="preserve">Aluminium Door Frame 50mmx 38mm ( Door Size - 1050 x 2400mm ) </t>
        </is>
      </c>
      <c r="F113" s="4" t="inlineStr">
        <is>
          <t>NA</t>
        </is>
      </c>
      <c r="G113" s="5" t="inlineStr">
        <is>
          <t>Nos</t>
        </is>
      </c>
      <c r="H113" s="5" t="n"/>
      <c r="I113" s="5" t="n"/>
      <c r="J113" s="5" t="n"/>
      <c r="K113" s="5" t="n">
        <v>10000</v>
      </c>
      <c r="L113" s="92" t="n">
        <v>2</v>
      </c>
      <c r="M113" s="92" t="n"/>
      <c r="N113" s="5">
        <f>K113*L113</f>
        <v/>
      </c>
      <c r="O113" s="5" t="n"/>
      <c r="P113" s="90">
        <f>L113-I113</f>
        <v/>
      </c>
      <c r="Q113" s="90">
        <f>N113-J113</f>
        <v/>
      </c>
      <c r="R113" s="88">
        <f>IF(N113&gt;J113,(N113-J113),0)</f>
        <v/>
      </c>
      <c r="S113" s="88">
        <f>IF(N113&lt;J113,(N113-J113),0)</f>
        <v/>
      </c>
      <c r="T113" s="88">
        <f>S113+R113</f>
        <v/>
      </c>
      <c r="U113" s="110" t="inlineStr">
        <is>
          <t>Rate Approval Required</t>
        </is>
      </c>
      <c r="V113" s="105" t="inlineStr">
        <is>
          <t>Quantities Not in Work order Project Manager Approval required</t>
        </is>
      </c>
      <c r="W113" s="88" t="n"/>
    </row>
    <row r="114" hidden="1" s="153">
      <c r="A114" s="4" t="n"/>
      <c r="B114" s="4" t="n"/>
      <c r="C114" s="4" t="n"/>
      <c r="D114" s="4" t="n"/>
      <c r="E114" s="4" t="n"/>
      <c r="F114" s="4" t="n"/>
      <c r="G114" s="5" t="n"/>
      <c r="H114" s="5" t="n"/>
      <c r="I114" s="5" t="n"/>
      <c r="J114" s="5" t="n"/>
      <c r="K114" s="5" t="n"/>
      <c r="L114" s="5" t="n"/>
      <c r="M114" s="5" t="n"/>
      <c r="N114" s="5">
        <f>K114*L114</f>
        <v/>
      </c>
      <c r="O114" s="5" t="n"/>
      <c r="P114" s="88" t="n"/>
      <c r="Q114" s="88" t="n"/>
      <c r="R114" s="88" t="n"/>
      <c r="S114" s="88" t="n"/>
      <c r="T114" s="88" t="n"/>
      <c r="U114" s="88" t="n"/>
      <c r="V114" s="88" t="n"/>
      <c r="W114" s="88" t="n"/>
    </row>
    <row r="115" ht="15" customHeight="1" s="153">
      <c r="A115" s="45" t="n"/>
      <c r="B115" s="45" t="n"/>
      <c r="C115" s="45" t="n"/>
      <c r="D115" s="45" t="n"/>
      <c r="E115" s="45" t="inlineStr">
        <is>
          <t>Total Qty</t>
        </is>
      </c>
      <c r="F115" s="45" t="n"/>
      <c r="G115" s="89" t="n"/>
      <c r="H115" s="89" t="n"/>
      <c r="I115" s="89" t="n"/>
      <c r="J115" s="89">
        <f>SUBTOTAL(9,J4:J114)</f>
        <v/>
      </c>
      <c r="K115" s="45" t="n"/>
      <c r="L115" s="93" t="n"/>
      <c r="M115" s="93" t="n"/>
      <c r="N115" s="89">
        <f>SUBTOTAL(9,N4:N114)</f>
        <v/>
      </c>
      <c r="O115" s="45" t="n"/>
      <c r="P115" s="88" t="n"/>
      <c r="Q115" s="88" t="n"/>
      <c r="R115" s="88" t="n"/>
      <c r="S115" s="88" t="n"/>
      <c r="T115" s="88" t="n"/>
      <c r="U115" s="88" t="n"/>
      <c r="V115" s="88" t="n"/>
      <c r="W115" s="88" t="n"/>
    </row>
  </sheetData>
  <autoFilter ref="A3:W114">
    <filterColumn colId="6" hiddenButton="0" showButton="1">
      <filters>
        <filter val="MTR"/>
        <filter val="rft"/>
        <filter val="Sft"/>
        <filter val="Sq.ft"/>
        <filter val="Sqf"/>
        <filter val="sqft"/>
      </filters>
    </filterColumn>
  </autoFilter>
  <mergeCells count="3">
    <mergeCell ref="P2:Q2"/>
    <mergeCell ref="K2:N2"/>
    <mergeCell ref="H2:J2"/>
  </mergeCells>
  <pageMargins left="0.7" right="0.7" top="0.75" bottom="0.75" header="0.3" footer="0.3"/>
  <pageSetup orientation="portrait" scale="41"/>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fitToPage="1"/>
  </sheetPr>
  <dimension ref="A1:R1257"/>
  <sheetViews>
    <sheetView tabSelected="1" view="pageBreakPreview" zoomScale="85" zoomScaleNormal="83" zoomScaleSheetLayoutView="85" workbookViewId="0">
      <pane ySplit="2" topLeftCell="A3" activePane="bottomLeft" state="frozen"/>
      <selection pane="bottomLeft" activeCell="N10" sqref="N10"/>
    </sheetView>
  </sheetViews>
  <sheetFormatPr baseColWidth="8" defaultColWidth="9.33203125" defaultRowHeight="13.8"/>
  <cols>
    <col width="8.6640625" customWidth="1" style="153" min="1" max="1"/>
    <col width="26.33203125" customWidth="1" style="153" min="2" max="2"/>
    <col width="50.77734375" customWidth="1" style="153" min="3" max="3"/>
    <col width="6.88671875" bestFit="1" customWidth="1" style="153" min="4" max="4"/>
    <col width="9.88671875" bestFit="1" customWidth="1" style="22" min="5" max="5"/>
    <col width="9.77734375" customWidth="1" style="23" min="6" max="9"/>
    <col width="12.88671875" customWidth="1" style="23" min="10" max="10"/>
    <col width="9.77734375" customWidth="1" style="23" min="11" max="14"/>
    <col width="12.88671875" customWidth="1" style="23" min="15" max="15"/>
    <col width="19.6640625" customWidth="1" style="153" min="16" max="16"/>
    <col width="10.109375" bestFit="1" customWidth="1" style="2" min="17" max="17"/>
    <col width="9.33203125" customWidth="1" style="37" min="18" max="18"/>
  </cols>
  <sheetData>
    <row r="1" ht="16.2" customFormat="1" customHeight="1" s="2">
      <c r="A1" s="149" t="inlineStr">
        <is>
          <t>SR NO</t>
        </is>
      </c>
      <c r="B1" s="149" t="inlineStr">
        <is>
          <t>SUB CATEGORY</t>
        </is>
      </c>
      <c r="C1" s="149" t="inlineStr">
        <is>
          <t>Particulars</t>
        </is>
      </c>
      <c r="D1" s="150" t="inlineStr">
        <is>
          <t>UNIT</t>
        </is>
      </c>
      <c r="E1" s="148" t="inlineStr">
        <is>
          <t>BOQ Qty</t>
        </is>
      </c>
      <c r="F1" s="151" t="inlineStr">
        <is>
          <t>DIMENSION</t>
        </is>
      </c>
      <c r="G1" s="155" t="n"/>
      <c r="H1" s="155" t="n"/>
      <c r="I1" s="156" t="n"/>
      <c r="J1" s="148" t="inlineStr">
        <is>
          <t>QTY</t>
        </is>
      </c>
      <c r="K1" s="151" t="inlineStr">
        <is>
          <t>Photographic Dimension</t>
        </is>
      </c>
      <c r="L1" s="155" t="n"/>
      <c r="M1" s="155" t="n"/>
      <c r="N1" s="156" t="n"/>
      <c r="O1" s="148" t="inlineStr">
        <is>
          <t>QTY</t>
        </is>
      </c>
      <c r="P1" s="148" t="inlineStr">
        <is>
          <t>REMRAKS</t>
        </is>
      </c>
      <c r="R1" s="37" t="n"/>
    </row>
    <row r="2" ht="16.2" customFormat="1" customHeight="1" s="2">
      <c r="A2" s="171" t="n"/>
      <c r="B2" s="171" t="n"/>
      <c r="C2" s="171" t="n"/>
      <c r="D2" s="171" t="n"/>
      <c r="E2" s="171" t="n"/>
      <c r="F2" s="148" t="inlineStr">
        <is>
          <t>Nos</t>
        </is>
      </c>
      <c r="G2" s="148" t="inlineStr">
        <is>
          <t>L</t>
        </is>
      </c>
      <c r="H2" s="148" t="inlineStr">
        <is>
          <t>B</t>
        </is>
      </c>
      <c r="I2" s="148" t="inlineStr">
        <is>
          <t>D/H</t>
        </is>
      </c>
      <c r="J2" s="171" t="n"/>
      <c r="K2" s="148" t="inlineStr">
        <is>
          <t>Nos</t>
        </is>
      </c>
      <c r="L2" s="148" t="inlineStr">
        <is>
          <t>L</t>
        </is>
      </c>
      <c r="M2" s="148" t="inlineStr">
        <is>
          <t>B</t>
        </is>
      </c>
      <c r="N2" s="148" t="inlineStr">
        <is>
          <t>D/H</t>
        </is>
      </c>
      <c r="O2" s="171" t="n"/>
      <c r="P2" s="171" t="n"/>
      <c r="R2" s="37" t="n"/>
    </row>
    <row r="3" ht="16.2" customFormat="1" customHeight="1" s="2">
      <c r="A3" s="149" t="n"/>
      <c r="B3" s="149" t="n"/>
      <c r="C3" s="149" t="n"/>
      <c r="D3" s="150" t="n"/>
      <c r="E3" s="148" t="n"/>
      <c r="F3" s="148" t="n"/>
      <c r="G3" s="148" t="n"/>
      <c r="H3" s="148" t="n"/>
      <c r="I3" s="148" t="n"/>
      <c r="J3" s="148" t="n"/>
      <c r="K3" s="148" t="n">
        <v/>
      </c>
      <c r="L3" s="148" t="n">
        <v/>
      </c>
      <c r="M3" s="148" t="n">
        <v/>
      </c>
      <c r="N3" s="148" t="n">
        <v/>
      </c>
      <c r="O3" s="148" t="n">
        <v/>
      </c>
      <c r="P3" s="148" t="n"/>
      <c r="R3" s="37" t="n"/>
    </row>
    <row r="4" customFormat="1" s="2">
      <c r="A4" s="6" t="n">
        <v>1</v>
      </c>
      <c r="B4" s="4" t="inlineStr">
        <is>
          <t>Diesel for DG</t>
        </is>
      </c>
      <c r="C4" s="4" t="inlineStr">
        <is>
          <t>Reimbursement of Diesel for DG</t>
        </is>
      </c>
      <c r="D4" s="5" t="inlineStr">
        <is>
          <t>L.sum</t>
        </is>
      </c>
      <c r="E4" s="16" t="n">
        <v>1</v>
      </c>
      <c r="F4" s="16" t="n"/>
      <c r="G4" s="16" t="n"/>
      <c r="H4" s="17" t="n"/>
      <c r="I4" s="17" t="n"/>
      <c r="J4" s="17" t="n"/>
      <c r="K4" s="16" t="n">
        <v/>
      </c>
      <c r="L4" s="16" t="n">
        <v/>
      </c>
      <c r="M4" s="17" t="n">
        <v/>
      </c>
      <c r="N4" s="17" t="n">
        <v/>
      </c>
      <c r="O4" s="17" t="n">
        <v/>
      </c>
      <c r="P4" s="7" t="n"/>
      <c r="R4" s="37" t="n"/>
    </row>
    <row r="5" customFormat="1" s="2">
      <c r="A5" s="6" t="n"/>
      <c r="B5" s="4" t="n"/>
      <c r="C5" s="4" t="n"/>
      <c r="D5" s="5" t="n"/>
      <c r="E5" s="16" t="n"/>
      <c r="F5" s="16" t="n"/>
      <c r="G5" s="16" t="n"/>
      <c r="H5" s="17" t="n"/>
      <c r="I5" s="17" t="n"/>
      <c r="J5" s="17">
        <f>PRODUCT(F5:I5)</f>
        <v/>
      </c>
      <c r="K5" s="16" t="n">
        <v/>
      </c>
      <c r="L5" s="16" t="n">
        <v/>
      </c>
      <c r="M5" s="17" t="n">
        <v/>
      </c>
      <c r="N5" s="17" t="n">
        <v/>
      </c>
      <c r="O5" s="17" t="n">
        <v/>
      </c>
      <c r="P5" s="7" t="n"/>
      <c r="R5" s="37" t="n"/>
    </row>
    <row r="6" customFormat="1" s="2">
      <c r="A6" s="6" t="n"/>
      <c r="B6" s="4" t="n"/>
      <c r="C6" s="4" t="inlineStr">
        <is>
          <t>Bill Attached</t>
        </is>
      </c>
      <c r="D6" s="5" t="inlineStr">
        <is>
          <t>L/s</t>
        </is>
      </c>
      <c r="E6" s="16" t="n"/>
      <c r="F6" s="16" t="n">
        <v>1</v>
      </c>
      <c r="G6" s="16" t="n"/>
      <c r="H6" s="17" t="n"/>
      <c r="I6" s="17" t="n"/>
      <c r="J6" s="17">
        <f>PRODUCT(F6:I6)</f>
        <v/>
      </c>
      <c r="K6" s="16" t="n">
        <v>1</v>
      </c>
      <c r="L6" s="16" t="n">
        <v/>
      </c>
      <c r="M6" s="17" t="n">
        <v/>
      </c>
      <c r="N6" s="17" t="n">
        <v/>
      </c>
      <c r="O6" s="17" t="n">
        <v/>
      </c>
      <c r="P6" s="7" t="inlineStr">
        <is>
          <t>Bill required</t>
        </is>
      </c>
      <c r="R6" s="37" t="n"/>
    </row>
    <row r="7" customFormat="1" s="2">
      <c r="A7" s="6" t="n"/>
      <c r="B7" s="4" t="n"/>
      <c r="C7" s="4" t="n"/>
      <c r="D7" s="5" t="n"/>
      <c r="E7" s="16" t="n"/>
      <c r="F7" s="16" t="n"/>
      <c r="G7" s="16" t="n"/>
      <c r="H7" s="17" t="n"/>
      <c r="I7" s="17" t="n"/>
      <c r="J7" s="17">
        <f>PRODUCT(F7:I7)</f>
        <v/>
      </c>
      <c r="K7" s="16" t="n">
        <v/>
      </c>
      <c r="L7" s="16" t="n">
        <v/>
      </c>
      <c r="M7" s="17" t="n">
        <v/>
      </c>
      <c r="N7" s="17" t="n">
        <v/>
      </c>
      <c r="O7" s="17" t="n">
        <v/>
      </c>
      <c r="P7" s="7" t="n"/>
      <c r="R7" s="37" t="n"/>
    </row>
    <row r="8" customFormat="1" s="2">
      <c r="A8" s="111" t="n"/>
      <c r="B8" s="111" t="n"/>
      <c r="C8" s="112" t="inlineStr">
        <is>
          <t>Total Qty</t>
        </is>
      </c>
      <c r="D8" s="113" t="n"/>
      <c r="E8" s="114" t="n"/>
      <c r="F8" s="114" t="n"/>
      <c r="G8" s="114" t="n"/>
      <c r="H8" s="115" t="n"/>
      <c r="I8" s="115" t="n"/>
      <c r="J8" s="115">
        <f>SUM(J5:J7)</f>
        <v/>
      </c>
      <c r="K8" s="114" t="n">
        <v/>
      </c>
      <c r="L8" s="114" t="n">
        <v/>
      </c>
      <c r="M8" s="115" t="n">
        <v/>
      </c>
      <c r="N8" s="115" t="n">
        <v/>
      </c>
      <c r="O8" s="115" t="n">
        <v/>
      </c>
      <c r="P8" s="116" t="n"/>
      <c r="R8" s="37" t="n"/>
    </row>
    <row r="9" customFormat="1" s="2">
      <c r="A9" s="6" t="n"/>
      <c r="B9" s="4" t="n"/>
      <c r="C9" s="4" t="n"/>
      <c r="D9" s="5" t="n"/>
      <c r="E9" s="16" t="n"/>
      <c r="F9" s="16" t="n"/>
      <c r="G9" s="16" t="n"/>
      <c r="H9" s="17" t="n"/>
      <c r="I9" s="17" t="n"/>
      <c r="J9" s="17" t="n"/>
      <c r="K9" s="16" t="n">
        <v/>
      </c>
      <c r="L9" s="16" t="n">
        <v/>
      </c>
      <c r="M9" s="17" t="n">
        <v/>
      </c>
      <c r="N9" s="17" t="n">
        <v/>
      </c>
      <c r="O9" s="17" t="n">
        <v/>
      </c>
      <c r="P9" s="7" t="n"/>
      <c r="R9" s="37" t="n"/>
    </row>
    <row r="10" ht="69" customFormat="1" customHeight="1" s="2">
      <c r="A10" s="6">
        <f>A4+1</f>
        <v/>
      </c>
      <c r="B10" s="4" t="inlineStr">
        <is>
          <t>Softboard in Managers cabin-cubicle , 5S and Customer area Notice Board</t>
        </is>
      </c>
      <c r="C10" s="4" t="inlineStr">
        <is>
          <t>Providing and fixing soft board incl of 6mm ply base backing and 12mm thk. crock sheet which is wrapped all around with fabric [Burgandy for regular office areas and royal blue for Private banking].The edge trims to be finished in 19mmx 6mm lipping p</t>
        </is>
      </c>
      <c r="D10" s="5" t="inlineStr">
        <is>
          <t>Sft</t>
        </is>
      </c>
      <c r="E10" s="16" t="n">
        <v>60</v>
      </c>
      <c r="F10" s="16" t="n"/>
      <c r="G10" s="16" t="n"/>
      <c r="H10" s="17" t="n"/>
      <c r="I10" s="17" t="n"/>
      <c r="J10" s="17" t="n"/>
      <c r="K10" s="16" t="n">
        <v/>
      </c>
      <c r="L10" s="16" t="n">
        <v/>
      </c>
      <c r="M10" s="17" t="n">
        <v/>
      </c>
      <c r="N10" s="17" t="n">
        <v/>
      </c>
      <c r="O10" s="17" t="n">
        <v/>
      </c>
      <c r="P10" s="7" t="n"/>
      <c r="R10" s="37" t="n"/>
    </row>
    <row r="11" customFormat="1" s="2">
      <c r="A11" s="6" t="n"/>
      <c r="B11" s="4" t="n"/>
      <c r="C11" s="4" t="n"/>
      <c r="D11" s="5" t="n"/>
      <c r="E11" s="16" t="n"/>
      <c r="F11" s="16" t="n"/>
      <c r="G11" s="16" t="n"/>
      <c r="H11" s="17" t="n"/>
      <c r="I11" s="17" t="n"/>
      <c r="J11" s="17">
        <f>PRODUCT(F11:I11)</f>
        <v/>
      </c>
      <c r="K11" s="16" t="n">
        <v/>
      </c>
      <c r="L11" s="16" t="n">
        <v/>
      </c>
      <c r="M11" s="17" t="n">
        <v/>
      </c>
      <c r="N11" s="17" t="n">
        <v/>
      </c>
      <c r="O11" s="17" t="n">
        <v/>
      </c>
      <c r="P11" s="7" t="n"/>
      <c r="R11" s="37" t="n"/>
    </row>
    <row r="12" customFormat="1" s="2">
      <c r="A12" s="6" t="n"/>
      <c r="B12" s="4" t="n"/>
      <c r="C12" s="4" t="inlineStr">
        <is>
          <t>Branch Area - Wall</t>
        </is>
      </c>
      <c r="D12" s="5" t="inlineStr">
        <is>
          <t>Sq.ft</t>
        </is>
      </c>
      <c r="E12" s="16" t="n"/>
      <c r="F12" s="16" t="n">
        <v>1</v>
      </c>
      <c r="G12" s="16" t="n">
        <v>5</v>
      </c>
      <c r="H12" s="17" t="n"/>
      <c r="I12" s="17" t="n">
        <v>4</v>
      </c>
      <c r="J12" s="17">
        <f>PRODUCT(F12:I12)</f>
        <v/>
      </c>
      <c r="K12" s="16" t="n">
        <v>1</v>
      </c>
      <c r="L12" s="16" t="n">
        <v/>
      </c>
      <c r="M12" s="17" t="n">
        <v/>
      </c>
      <c r="N12" s="17" t="n">
        <v/>
      </c>
      <c r="O12" s="17" t="n">
        <v/>
      </c>
      <c r="P12" s="7" t="n"/>
      <c r="R12" s="37" t="n"/>
    </row>
    <row r="13" customFormat="1" s="2">
      <c r="A13" s="6" t="n"/>
      <c r="B13" s="4" t="n"/>
      <c r="C13" s="4" t="inlineStr">
        <is>
          <t>JL Cabin - Wall</t>
        </is>
      </c>
      <c r="D13" s="5" t="inlineStr">
        <is>
          <t>Sq.ft</t>
        </is>
      </c>
      <c r="E13" s="16" t="n"/>
      <c r="F13" s="16" t="n">
        <v>1</v>
      </c>
      <c r="G13" s="16" t="n">
        <v>3.25</v>
      </c>
      <c r="H13" s="17" t="n"/>
      <c r="I13" s="17" t="n">
        <v>4</v>
      </c>
      <c r="J13" s="17">
        <f>PRODUCT(F13:I13)</f>
        <v/>
      </c>
      <c r="K13" s="16" t="n">
        <v>1</v>
      </c>
      <c r="L13" s="16" t="n">
        <v/>
      </c>
      <c r="M13" s="17" t="n">
        <v/>
      </c>
      <c r="N13" s="17" t="n">
        <v/>
      </c>
      <c r="O13" s="17" t="n">
        <v/>
      </c>
      <c r="P13" s="7" t="n"/>
      <c r="R13" s="37" t="n"/>
    </row>
    <row r="14" customFormat="1" s="2">
      <c r="A14" s="6" t="n"/>
      <c r="B14" s="4" t="n"/>
      <c r="C14" s="4" t="inlineStr">
        <is>
          <t>ATM Area - Wall</t>
        </is>
      </c>
      <c r="D14" s="5" t="inlineStr">
        <is>
          <t>Sq.ft</t>
        </is>
      </c>
      <c r="E14" s="16" t="n"/>
      <c r="F14" s="16" t="n">
        <v>1</v>
      </c>
      <c r="G14" s="16" t="n">
        <v>4</v>
      </c>
      <c r="H14" s="17" t="n"/>
      <c r="I14" s="17" t="n">
        <v>3</v>
      </c>
      <c r="J14" s="17">
        <f>PRODUCT(F14:I14)</f>
        <v/>
      </c>
      <c r="K14" s="16" t="n">
        <v>1</v>
      </c>
      <c r="L14" s="16" t="n">
        <v/>
      </c>
      <c r="M14" s="17" t="n">
        <v/>
      </c>
      <c r="N14" s="17" t="n">
        <v/>
      </c>
      <c r="O14" s="17" t="n">
        <v/>
      </c>
      <c r="P14" s="7" t="n"/>
      <c r="R14" s="37" t="n"/>
    </row>
    <row r="15" customFormat="1" s="2">
      <c r="A15" s="6" t="n"/>
      <c r="B15" s="4" t="n"/>
      <c r="C15" s="4" t="inlineStr">
        <is>
          <t>BM Cabin - Table</t>
        </is>
      </c>
      <c r="D15" s="5" t="inlineStr">
        <is>
          <t>Sq.ft</t>
        </is>
      </c>
      <c r="E15" s="16" t="n"/>
      <c r="F15" s="16" t="n">
        <v>1</v>
      </c>
      <c r="G15" s="16" t="n">
        <v>3.5</v>
      </c>
      <c r="H15" s="17" t="n"/>
      <c r="I15" s="17" t="n">
        <v>1.5</v>
      </c>
      <c r="J15" s="17">
        <f>PRODUCT(F15:I15)</f>
        <v/>
      </c>
      <c r="K15" s="16" t="n">
        <v>1</v>
      </c>
      <c r="L15" s="16" t="n">
        <v/>
      </c>
      <c r="M15" s="17" t="n">
        <v/>
      </c>
      <c r="N15" s="17" t="n">
        <v/>
      </c>
      <c r="O15" s="17" t="n">
        <v/>
      </c>
      <c r="P15" s="7" t="n"/>
      <c r="R15" s="37" t="n"/>
    </row>
    <row r="16" customFormat="1" s="2">
      <c r="A16" s="6" t="n"/>
      <c r="B16" s="4" t="n"/>
      <c r="C16" s="4" t="n"/>
      <c r="D16" s="5" t="n"/>
      <c r="E16" s="16" t="n"/>
      <c r="F16" s="16" t="n"/>
      <c r="G16" s="16" t="n"/>
      <c r="H16" s="17" t="n"/>
      <c r="I16" s="17" t="n"/>
      <c r="J16" s="17">
        <f>PRODUCT(F16:I16)</f>
        <v/>
      </c>
      <c r="K16" s="16" t="n">
        <v/>
      </c>
      <c r="L16" s="16" t="n">
        <v/>
      </c>
      <c r="M16" s="17" t="n">
        <v/>
      </c>
      <c r="N16" s="17" t="n">
        <v/>
      </c>
      <c r="O16" s="17" t="n">
        <v/>
      </c>
      <c r="P16" s="7" t="n"/>
      <c r="R16" s="37" t="n"/>
    </row>
    <row r="17" customFormat="1" s="2">
      <c r="A17" s="111" t="n"/>
      <c r="B17" s="111" t="n"/>
      <c r="C17" s="112" t="inlineStr">
        <is>
          <t>Total Qty</t>
        </is>
      </c>
      <c r="D17" s="113" t="n"/>
      <c r="E17" s="114" t="n"/>
      <c r="F17" s="114" t="n"/>
      <c r="G17" s="114" t="n"/>
      <c r="H17" s="115" t="n"/>
      <c r="I17" s="115" t="n"/>
      <c r="J17" s="115">
        <f>ROUND(SUM(J11:J16),)</f>
        <v/>
      </c>
      <c r="K17" s="114" t="n">
        <v/>
      </c>
      <c r="L17" s="114" t="n">
        <v/>
      </c>
      <c r="M17" s="115" t="n">
        <v/>
      </c>
      <c r="N17" s="115" t="n">
        <v/>
      </c>
      <c r="O17" s="115" t="n">
        <v/>
      </c>
      <c r="P17" s="116" t="n"/>
      <c r="R17" s="37" t="n"/>
    </row>
    <row r="18">
      <c r="A18" s="117" t="n"/>
      <c r="B18" s="117" t="n"/>
      <c r="C18" s="117" t="n"/>
      <c r="D18" s="117" t="n"/>
      <c r="E18" s="118" t="n"/>
      <c r="F18" s="119" t="n"/>
      <c r="G18" s="119" t="n"/>
      <c r="H18" s="119" t="n"/>
      <c r="I18" s="119" t="n"/>
      <c r="J18" s="119" t="n"/>
      <c r="K18" s="119" t="n">
        <v/>
      </c>
      <c r="L18" s="119" t="n">
        <v/>
      </c>
      <c r="M18" s="119" t="n">
        <v/>
      </c>
      <c r="N18" s="119" t="n">
        <v/>
      </c>
      <c r="O18" s="119" t="n">
        <v/>
      </c>
      <c r="P18" s="117" t="n"/>
    </row>
    <row r="19" customFormat="1" s="2">
      <c r="A19" s="6">
        <f>A10+1</f>
        <v/>
      </c>
      <c r="B19" s="4" t="inlineStr">
        <is>
          <t>Rubber Mat in UPS room</t>
        </is>
      </c>
      <c r="C19" s="4" t="inlineStr">
        <is>
          <t>Rubber Mat in UPS room, 20mm thickness.</t>
        </is>
      </c>
      <c r="D19" s="5" t="inlineStr">
        <is>
          <t>Sft</t>
        </is>
      </c>
      <c r="E19" s="16" t="n">
        <v>27</v>
      </c>
      <c r="F19" s="16" t="n"/>
      <c r="G19" s="16" t="n"/>
      <c r="H19" s="17" t="n"/>
      <c r="I19" s="17" t="n"/>
      <c r="J19" s="17" t="n"/>
      <c r="K19" s="16" t="n">
        <v/>
      </c>
      <c r="L19" s="16" t="n">
        <v/>
      </c>
      <c r="M19" s="17" t="n">
        <v/>
      </c>
      <c r="N19" s="17" t="n">
        <v/>
      </c>
      <c r="O19" s="17" t="n">
        <v/>
      </c>
      <c r="P19" s="88" t="n"/>
    </row>
    <row r="20" customFormat="1" s="2">
      <c r="A20" s="6" t="n"/>
      <c r="B20" s="4" t="n"/>
      <c r="C20" s="14" t="inlineStr">
        <is>
          <t>Electrical Room</t>
        </is>
      </c>
      <c r="D20" s="5" t="n"/>
      <c r="E20" s="16" t="n"/>
      <c r="F20" s="16" t="n"/>
      <c r="G20" s="16" t="n"/>
      <c r="H20" s="17" t="n"/>
      <c r="I20" s="17" t="n"/>
      <c r="J20" s="17">
        <f>PRODUCT(F20:I20)</f>
        <v/>
      </c>
      <c r="K20" s="16" t="n">
        <v/>
      </c>
      <c r="L20" s="16" t="n">
        <v/>
      </c>
      <c r="M20" s="17" t="n">
        <v/>
      </c>
      <c r="N20" s="17" t="n">
        <v/>
      </c>
      <c r="O20" s="17" t="n">
        <v/>
      </c>
      <c r="P20" s="88" t="n"/>
    </row>
    <row r="21" customFormat="1" s="2">
      <c r="A21" s="6" t="n"/>
      <c r="B21" s="4" t="n"/>
      <c r="C21" s="4" t="inlineStr">
        <is>
          <t>Floor Area</t>
        </is>
      </c>
      <c r="D21" s="5" t="inlineStr">
        <is>
          <t>Sq.ft</t>
        </is>
      </c>
      <c r="E21" s="16" t="n"/>
      <c r="F21" s="16" t="n">
        <v>1</v>
      </c>
      <c r="G21" s="16" t="n">
        <v>8.33</v>
      </c>
      <c r="H21" s="17" t="n"/>
      <c r="I21" s="17" t="n">
        <v>3.5</v>
      </c>
      <c r="J21" s="17">
        <f>PRODUCT(F21:I21)</f>
        <v/>
      </c>
      <c r="K21" s="16" t="n">
        <v>1</v>
      </c>
      <c r="L21" s="16" t="n">
        <v/>
      </c>
      <c r="M21" s="17" t="n">
        <v/>
      </c>
      <c r="N21" s="17" t="n">
        <v/>
      </c>
      <c r="O21" s="17" t="n">
        <v/>
      </c>
      <c r="P21" s="88" t="n"/>
    </row>
    <row r="22" customFormat="1" s="2">
      <c r="A22" s="6" t="n"/>
      <c r="B22" s="4" t="n"/>
      <c r="C22" s="4" t="n"/>
      <c r="D22" s="5" t="n"/>
      <c r="E22" s="16" t="n"/>
      <c r="F22" s="16" t="n"/>
      <c r="G22" s="16" t="n"/>
      <c r="H22" s="17" t="n"/>
      <c r="I22" s="17" t="n"/>
      <c r="J22" s="17">
        <f>PRODUCT(F22:I22)</f>
        <v/>
      </c>
      <c r="K22" s="16" t="n">
        <v/>
      </c>
      <c r="L22" s="16" t="n">
        <v/>
      </c>
      <c r="M22" s="17" t="n">
        <v/>
      </c>
      <c r="N22" s="17" t="n">
        <v/>
      </c>
      <c r="O22" s="17" t="n">
        <v/>
      </c>
      <c r="P22" s="88" t="n"/>
    </row>
    <row r="23" customFormat="1" s="2">
      <c r="A23" s="111" t="n"/>
      <c r="B23" s="111" t="n"/>
      <c r="C23" s="112" t="inlineStr">
        <is>
          <t>Total Qty</t>
        </is>
      </c>
      <c r="D23" s="113" t="n"/>
      <c r="E23" s="114" t="n"/>
      <c r="F23" s="114" t="n"/>
      <c r="G23" s="114" t="n"/>
      <c r="H23" s="115" t="n"/>
      <c r="I23" s="115" t="n"/>
      <c r="J23" s="115">
        <f>ROUND(SUM(J20:J22),)</f>
        <v/>
      </c>
      <c r="K23" s="114" t="n">
        <v/>
      </c>
      <c r="L23" s="114" t="n">
        <v/>
      </c>
      <c r="M23" s="115" t="n">
        <v/>
      </c>
      <c r="N23" s="115" t="n">
        <v/>
      </c>
      <c r="O23" s="115" t="n">
        <v/>
      </c>
      <c r="P23" s="88" t="n"/>
    </row>
    <row r="24" customFormat="1" s="2">
      <c r="A24" s="6" t="n"/>
      <c r="B24" s="4" t="n"/>
      <c r="C24" s="4" t="n"/>
      <c r="D24" s="5" t="n"/>
      <c r="E24" s="16" t="n"/>
      <c r="F24" s="16" t="n"/>
      <c r="G24" s="16" t="n"/>
      <c r="H24" s="17" t="n"/>
      <c r="I24" s="17" t="n"/>
      <c r="J24" s="17" t="n"/>
      <c r="K24" s="16" t="n">
        <v/>
      </c>
      <c r="L24" s="16" t="n">
        <v/>
      </c>
      <c r="M24" s="17" t="n">
        <v/>
      </c>
      <c r="N24" s="17" t="n">
        <v/>
      </c>
      <c r="O24" s="17" t="n">
        <v/>
      </c>
      <c r="P24" s="88" t="n"/>
    </row>
    <row r="25" ht="27.6" customFormat="1" customHeight="1" s="2">
      <c r="A25" s="6">
        <f>A19+1</f>
        <v/>
      </c>
      <c r="B25" s="4" t="inlineStr">
        <is>
          <t>Master Switch</t>
        </is>
      </c>
      <c r="C25" s="4" t="inlineStr">
        <is>
          <t>Provision and installation of master switch nearest to the entrance of the premises, as per the specifications.</t>
        </is>
      </c>
      <c r="D25" s="5" t="inlineStr">
        <is>
          <t>Nos</t>
        </is>
      </c>
      <c r="E25" s="16" t="n">
        <v>1</v>
      </c>
      <c r="F25" s="16" t="n"/>
      <c r="G25" s="16" t="n"/>
      <c r="H25" s="17" t="n"/>
      <c r="I25" s="17" t="n"/>
      <c r="J25" s="17" t="n"/>
      <c r="K25" s="16" t="n">
        <v/>
      </c>
      <c r="L25" s="16" t="n">
        <v/>
      </c>
      <c r="M25" s="17" t="n">
        <v/>
      </c>
      <c r="N25" s="17" t="n">
        <v/>
      </c>
      <c r="O25" s="17" t="n">
        <v/>
      </c>
      <c r="P25" s="88" t="n"/>
    </row>
    <row r="26" customFormat="1" s="2">
      <c r="A26" s="6" t="n"/>
      <c r="B26" s="4" t="n"/>
      <c r="C26" s="14" t="inlineStr">
        <is>
          <t>Branch Area</t>
        </is>
      </c>
      <c r="D26" s="5" t="n"/>
      <c r="E26" s="16" t="n"/>
      <c r="F26" s="16" t="n"/>
      <c r="G26" s="16" t="n"/>
      <c r="H26" s="17" t="n"/>
      <c r="I26" s="17" t="n"/>
      <c r="J26" s="17">
        <f>PRODUCT(F26:I26)</f>
        <v/>
      </c>
      <c r="K26" s="16" t="n">
        <v/>
      </c>
      <c r="L26" s="16" t="n">
        <v/>
      </c>
      <c r="M26" s="17" t="n">
        <v/>
      </c>
      <c r="N26" s="17" t="n">
        <v/>
      </c>
      <c r="O26" s="17" t="n">
        <v/>
      </c>
      <c r="P26" s="88" t="n"/>
    </row>
    <row r="27" customFormat="1" s="2">
      <c r="A27" s="6" t="n"/>
      <c r="B27" s="4" t="n"/>
      <c r="C27" s="4" t="inlineStr">
        <is>
          <t>Master Switch</t>
        </is>
      </c>
      <c r="D27" s="5" t="inlineStr">
        <is>
          <t>Nos</t>
        </is>
      </c>
      <c r="E27" s="16" t="n"/>
      <c r="F27" s="16" t="n">
        <v>1</v>
      </c>
      <c r="G27" s="16" t="n"/>
      <c r="H27" s="17" t="n"/>
      <c r="I27" s="17" t="n"/>
      <c r="J27" s="17">
        <f>PRODUCT(F27:I27)</f>
        <v/>
      </c>
      <c r="K27" s="16" t="n">
        <v>1</v>
      </c>
      <c r="L27" s="16" t="n">
        <v/>
      </c>
      <c r="M27" s="17" t="n">
        <v/>
      </c>
      <c r="N27" s="17" t="n">
        <v/>
      </c>
      <c r="O27" s="17" t="n">
        <v/>
      </c>
      <c r="P27" s="88" t="n"/>
    </row>
    <row r="28" customFormat="1" s="2">
      <c r="A28" s="6" t="n"/>
      <c r="B28" s="4" t="n"/>
      <c r="C28" s="4" t="n"/>
      <c r="D28" s="5" t="n"/>
      <c r="E28" s="16" t="n"/>
      <c r="F28" s="16" t="n"/>
      <c r="G28" s="16" t="n"/>
      <c r="H28" s="17" t="n"/>
      <c r="I28" s="17" t="n"/>
      <c r="J28" s="17">
        <f>PRODUCT(F28:I28)</f>
        <v/>
      </c>
      <c r="K28" s="16" t="n">
        <v/>
      </c>
      <c r="L28" s="16" t="n">
        <v/>
      </c>
      <c r="M28" s="17" t="n">
        <v/>
      </c>
      <c r="N28" s="17" t="n">
        <v/>
      </c>
      <c r="O28" s="17" t="n">
        <v/>
      </c>
      <c r="P28" s="88" t="n"/>
    </row>
    <row r="29" customFormat="1" s="2">
      <c r="A29" s="111" t="n"/>
      <c r="B29" s="111" t="n"/>
      <c r="C29" s="112" t="inlineStr">
        <is>
          <t>Total Qty</t>
        </is>
      </c>
      <c r="D29" s="113" t="n"/>
      <c r="E29" s="114" t="n"/>
      <c r="F29" s="114" t="n"/>
      <c r="G29" s="114" t="n"/>
      <c r="H29" s="115" t="n"/>
      <c r="I29" s="115" t="n"/>
      <c r="J29" s="115">
        <f>ROUND(SUM(J26:J28),)</f>
        <v/>
      </c>
      <c r="K29" s="114" t="n">
        <v/>
      </c>
      <c r="L29" s="114" t="n">
        <v/>
      </c>
      <c r="M29" s="115" t="n">
        <v/>
      </c>
      <c r="N29" s="115" t="n">
        <v/>
      </c>
      <c r="O29" s="115" t="n">
        <v/>
      </c>
      <c r="P29" s="88" t="n"/>
    </row>
    <row r="30" customFormat="1" s="2">
      <c r="A30" s="6" t="n"/>
      <c r="B30" s="4" t="n"/>
      <c r="C30" s="4" t="n"/>
      <c r="D30" s="5" t="n"/>
      <c r="E30" s="16" t="n"/>
      <c r="F30" s="16" t="n"/>
      <c r="G30" s="16" t="n"/>
      <c r="H30" s="17" t="n"/>
      <c r="I30" s="17" t="n"/>
      <c r="J30" s="17" t="n"/>
      <c r="K30" s="16" t="n">
        <v/>
      </c>
      <c r="L30" s="16" t="n">
        <v/>
      </c>
      <c r="M30" s="17" t="n">
        <v/>
      </c>
      <c r="N30" s="17" t="n">
        <v/>
      </c>
      <c r="O30" s="17" t="n">
        <v/>
      </c>
      <c r="P30" s="88" t="n"/>
    </row>
    <row r="31" ht="69" customFormat="1" customHeight="1" s="2">
      <c r="A31" s="6">
        <f>A25+1</f>
        <v/>
      </c>
      <c r="B31" s="4" t="inlineStr">
        <is>
          <t>ATM backdrop</t>
        </is>
      </c>
      <c r="C31" s="4" t="inlineStr">
        <is>
          <t>ATM wall design in Grey and white with 40mm commercial ply and laminate in high gloss finish and Rehau make edge banding as per approve design. Rs.7000 for one ATM and Rs.5000 for every additional machines. Quantity not to exceed 1 no. per site.</t>
        </is>
      </c>
      <c r="D31" s="7" t="inlineStr">
        <is>
          <t>Nos</t>
        </is>
      </c>
      <c r="E31" s="17" t="n">
        <v>1</v>
      </c>
      <c r="F31" s="16" t="n"/>
      <c r="G31" s="16" t="n"/>
      <c r="H31" s="17" t="n"/>
      <c r="I31" s="17" t="n"/>
      <c r="J31" s="17" t="n"/>
      <c r="K31" s="16" t="n">
        <v/>
      </c>
      <c r="L31" s="16" t="n">
        <v/>
      </c>
      <c r="M31" s="17" t="n">
        <v/>
      </c>
      <c r="N31" s="17" t="n">
        <v/>
      </c>
      <c r="O31" s="17" t="n">
        <v/>
      </c>
      <c r="P31" s="88" t="n"/>
    </row>
    <row r="32" customFormat="1" s="2">
      <c r="A32" s="6" t="n"/>
      <c r="B32" s="4" t="n"/>
      <c r="C32" s="14" t="inlineStr">
        <is>
          <t>ATM Area</t>
        </is>
      </c>
      <c r="D32" s="5" t="n"/>
      <c r="E32" s="16" t="n"/>
      <c r="F32" s="16" t="n"/>
      <c r="G32" s="16" t="n"/>
      <c r="H32" s="17" t="n"/>
      <c r="I32" s="17" t="n"/>
      <c r="J32" s="17">
        <f>PRODUCT(F32:I32)</f>
        <v/>
      </c>
      <c r="K32" s="16" t="n">
        <v/>
      </c>
      <c r="L32" s="16" t="n">
        <v/>
      </c>
      <c r="M32" s="17" t="n">
        <v/>
      </c>
      <c r="N32" s="17" t="n">
        <v/>
      </c>
      <c r="O32" s="17" t="n">
        <v/>
      </c>
      <c r="P32" s="88" t="n"/>
    </row>
    <row r="33" customFormat="1" s="2">
      <c r="A33" s="6" t="n"/>
      <c r="B33" s="4" t="n"/>
      <c r="C33" s="4" t="inlineStr">
        <is>
          <t>1st ATM Wall design</t>
        </is>
      </c>
      <c r="D33" s="5" t="inlineStr">
        <is>
          <t>Nos</t>
        </is>
      </c>
      <c r="E33" s="16" t="n"/>
      <c r="F33" s="16" t="n">
        <v>1</v>
      </c>
      <c r="G33" s="16" t="n"/>
      <c r="H33" s="17" t="n"/>
      <c r="I33" s="17" t="n"/>
      <c r="J33" s="17">
        <f>PRODUCT(F33:I33)</f>
        <v/>
      </c>
      <c r="K33" s="16" t="n">
        <v>1</v>
      </c>
      <c r="L33" s="16" t="n">
        <v/>
      </c>
      <c r="M33" s="17" t="n">
        <v/>
      </c>
      <c r="N33" s="17" t="n">
        <v/>
      </c>
      <c r="O33" s="17" t="n">
        <v/>
      </c>
      <c r="P33" s="88" t="n"/>
    </row>
    <row r="34" customFormat="1" s="2">
      <c r="A34" s="6" t="n"/>
      <c r="B34" s="4" t="n"/>
      <c r="C34" s="4" t="n"/>
      <c r="D34" s="5" t="n"/>
      <c r="E34" s="16" t="n"/>
      <c r="F34" s="16" t="n"/>
      <c r="G34" s="16" t="n"/>
      <c r="H34" s="17" t="n"/>
      <c r="I34" s="17" t="n"/>
      <c r="J34" s="17">
        <f>PRODUCT(F34:I34)</f>
        <v/>
      </c>
      <c r="K34" s="16" t="n">
        <v/>
      </c>
      <c r="L34" s="16" t="n">
        <v/>
      </c>
      <c r="M34" s="17" t="n">
        <v/>
      </c>
      <c r="N34" s="17" t="n">
        <v/>
      </c>
      <c r="O34" s="17" t="n">
        <v/>
      </c>
      <c r="P34" s="7" t="n"/>
    </row>
    <row r="35" customFormat="1" s="2">
      <c r="A35" s="111" t="n"/>
      <c r="B35" s="111" t="n"/>
      <c r="C35" s="112" t="inlineStr">
        <is>
          <t>Total Qty</t>
        </is>
      </c>
      <c r="D35" s="113" t="n"/>
      <c r="E35" s="114" t="n"/>
      <c r="F35" s="114" t="n"/>
      <c r="G35" s="114" t="n"/>
      <c r="H35" s="115" t="n"/>
      <c r="I35" s="115" t="n"/>
      <c r="J35" s="115">
        <f>ROUND(SUM(J32:J34),)</f>
        <v/>
      </c>
      <c r="K35" s="114" t="n">
        <v/>
      </c>
      <c r="L35" s="114" t="n">
        <v/>
      </c>
      <c r="M35" s="115" t="n">
        <v/>
      </c>
      <c r="N35" s="115" t="n">
        <v/>
      </c>
      <c r="O35" s="115" t="n">
        <v/>
      </c>
      <c r="P35" s="116" t="n"/>
    </row>
    <row r="36" customFormat="1" s="2">
      <c r="A36" s="6" t="n"/>
      <c r="B36" s="4" t="n"/>
      <c r="C36" s="4" t="n"/>
      <c r="D36" s="5" t="n"/>
      <c r="E36" s="16" t="n"/>
      <c r="F36" s="16" t="n"/>
      <c r="G36" s="16" t="n"/>
      <c r="H36" s="17" t="n"/>
      <c r="I36" s="17" t="n"/>
      <c r="J36" s="17" t="n"/>
      <c r="K36" s="16" t="n">
        <v/>
      </c>
      <c r="L36" s="16" t="n">
        <v/>
      </c>
      <c r="M36" s="17" t="n">
        <v/>
      </c>
      <c r="N36" s="17" t="n">
        <v/>
      </c>
      <c r="O36" s="17" t="n">
        <v/>
      </c>
      <c r="P36" s="7" t="n"/>
    </row>
    <row r="37" ht="55.2" customFormat="1" customHeight="1" s="2">
      <c r="A37" s="6">
        <f>A31+1</f>
        <v/>
      </c>
      <c r="B37" s="4" t="inlineStr">
        <is>
          <t>ATM Backdrop for additional machines</t>
        </is>
      </c>
      <c r="C37" s="4" t="inlineStr">
        <is>
          <t>ATM wall design in Grey and white with 40mm commercial ply and laminate in high gloss finish and Rehau make edge banding as per approve design, for every additional machines</t>
        </is>
      </c>
      <c r="D37" s="5" t="inlineStr">
        <is>
          <t>Nos</t>
        </is>
      </c>
      <c r="E37" s="16" t="n">
        <v>1</v>
      </c>
      <c r="F37" s="16" t="n"/>
      <c r="G37" s="16" t="n"/>
      <c r="H37" s="16" t="n"/>
      <c r="I37" s="16" t="n"/>
      <c r="J37" s="16" t="n"/>
      <c r="K37" s="16" t="n">
        <v/>
      </c>
      <c r="L37" s="16" t="n">
        <v/>
      </c>
      <c r="M37" s="16" t="n">
        <v/>
      </c>
      <c r="N37" s="16" t="n">
        <v/>
      </c>
      <c r="O37" s="16" t="n">
        <v/>
      </c>
      <c r="P37" s="5" t="n"/>
    </row>
    <row r="38" customFormat="1" s="2">
      <c r="A38" s="6" t="n"/>
      <c r="B38" s="4" t="n"/>
      <c r="C38" s="14" t="inlineStr">
        <is>
          <t>ATM Area</t>
        </is>
      </c>
      <c r="D38" s="5" t="n"/>
      <c r="E38" s="16" t="n"/>
      <c r="F38" s="16" t="n"/>
      <c r="G38" s="16" t="n"/>
      <c r="H38" s="17" t="n"/>
      <c r="I38" s="17" t="n"/>
      <c r="J38" s="17">
        <f>PRODUCT(F38:I38)</f>
        <v/>
      </c>
      <c r="K38" s="16" t="n">
        <v/>
      </c>
      <c r="L38" s="16" t="n">
        <v/>
      </c>
      <c r="M38" s="17" t="n">
        <v/>
      </c>
      <c r="N38" s="17" t="n">
        <v/>
      </c>
      <c r="O38" s="17" t="n">
        <v/>
      </c>
      <c r="P38" s="7" t="n"/>
    </row>
    <row r="39" customFormat="1" s="2">
      <c r="A39" s="6" t="n"/>
      <c r="B39" s="4" t="n"/>
      <c r="C39" s="4" t="inlineStr">
        <is>
          <t>2nd ATM Wall design</t>
        </is>
      </c>
      <c r="D39" s="5" t="inlineStr">
        <is>
          <t>Nos</t>
        </is>
      </c>
      <c r="E39" s="16" t="n"/>
      <c r="F39" s="16" t="n">
        <v>1</v>
      </c>
      <c r="G39" s="16" t="n"/>
      <c r="H39" s="17" t="n"/>
      <c r="I39" s="17" t="n"/>
      <c r="J39" s="17">
        <f>PRODUCT(F39:I39)</f>
        <v/>
      </c>
      <c r="K39" s="16" t="n">
        <v>1</v>
      </c>
      <c r="L39" s="16" t="n">
        <v/>
      </c>
      <c r="M39" s="17" t="n">
        <v/>
      </c>
      <c r="N39" s="17" t="n">
        <v/>
      </c>
      <c r="O39" s="17" t="n">
        <v/>
      </c>
      <c r="P39" s="7" t="n"/>
    </row>
    <row r="40" customFormat="1" s="2">
      <c r="A40" s="6" t="n"/>
      <c r="B40" s="4" t="n"/>
      <c r="C40" s="4" t="n"/>
      <c r="D40" s="5" t="n"/>
      <c r="E40" s="16" t="n"/>
      <c r="F40" s="16" t="n"/>
      <c r="G40" s="16" t="n"/>
      <c r="H40" s="17" t="n"/>
      <c r="I40" s="17" t="n"/>
      <c r="J40" s="17">
        <f>PRODUCT(F40:I40)</f>
        <v/>
      </c>
      <c r="K40" s="16" t="n">
        <v/>
      </c>
      <c r="L40" s="16" t="n">
        <v/>
      </c>
      <c r="M40" s="17" t="n">
        <v/>
      </c>
      <c r="N40" s="17" t="n">
        <v/>
      </c>
      <c r="O40" s="17" t="n">
        <v/>
      </c>
      <c r="P40" s="7" t="n"/>
    </row>
    <row r="41" customFormat="1" s="2">
      <c r="A41" s="111" t="n"/>
      <c r="B41" s="111" t="n"/>
      <c r="C41" s="112" t="inlineStr">
        <is>
          <t>Total Qty</t>
        </is>
      </c>
      <c r="D41" s="113" t="n"/>
      <c r="E41" s="114" t="n"/>
      <c r="F41" s="114" t="n"/>
      <c r="G41" s="114" t="n"/>
      <c r="H41" s="115" t="n"/>
      <c r="I41" s="115" t="n"/>
      <c r="J41" s="115">
        <f>ROUND(SUM(J38:J40),)</f>
        <v/>
      </c>
      <c r="K41" s="114" t="n">
        <v/>
      </c>
      <c r="L41" s="114" t="n">
        <v/>
      </c>
      <c r="M41" s="115" t="n">
        <v/>
      </c>
      <c r="N41" s="115" t="n">
        <v/>
      </c>
      <c r="O41" s="115" t="n">
        <v/>
      </c>
      <c r="P41" s="116" t="n"/>
    </row>
    <row r="42" customFormat="1" s="2">
      <c r="A42" s="6" t="n"/>
      <c r="B42" s="4" t="n"/>
      <c r="C42" s="4" t="n"/>
      <c r="D42" s="5" t="n"/>
      <c r="E42" s="16" t="n"/>
      <c r="F42" s="16" t="n"/>
      <c r="G42" s="16" t="n"/>
      <c r="H42" s="17" t="n"/>
      <c r="I42" s="17" t="n"/>
      <c r="J42" s="17" t="n"/>
      <c r="K42" s="16" t="n">
        <v/>
      </c>
      <c r="L42" s="16" t="n">
        <v/>
      </c>
      <c r="M42" s="17" t="n">
        <v/>
      </c>
      <c r="N42" s="17" t="n">
        <v/>
      </c>
      <c r="O42" s="17" t="n">
        <v/>
      </c>
      <c r="P42" s="7" t="n"/>
    </row>
    <row r="43" ht="41.4" customFormat="1" customHeight="1" s="2">
      <c r="A43" s="6">
        <f>A37+1</f>
        <v/>
      </c>
      <c r="B43" s="4" t="inlineStr">
        <is>
          <t>Wall Mounted Fan</t>
        </is>
      </c>
      <c r="C43" s="4" t="inlineStr">
        <is>
          <t>Providing and fixing wall mounted metal FAN 18 inch make orient, havells and almourd.orient, havells and almounard</t>
        </is>
      </c>
      <c r="D43" s="5" t="inlineStr">
        <is>
          <t>nos</t>
        </is>
      </c>
      <c r="E43" s="16" t="n">
        <v>2</v>
      </c>
      <c r="F43" s="16" t="n"/>
      <c r="G43" s="16" t="n"/>
      <c r="H43" s="16" t="n"/>
      <c r="I43" s="16" t="n"/>
      <c r="J43" s="16" t="n"/>
      <c r="K43" s="16" t="n">
        <v/>
      </c>
      <c r="L43" s="16" t="n">
        <v/>
      </c>
      <c r="M43" s="16" t="n">
        <v/>
      </c>
      <c r="N43" s="16" t="n">
        <v/>
      </c>
      <c r="O43" s="16" t="n">
        <v/>
      </c>
      <c r="P43" s="120" t="inlineStr">
        <is>
          <t>Not provided</t>
        </is>
      </c>
    </row>
    <row r="44" customFormat="1" s="2">
      <c r="A44" s="6" t="n"/>
      <c r="B44" s="4" t="n"/>
      <c r="C44" s="14" t="inlineStr">
        <is>
          <t>Strong Room</t>
        </is>
      </c>
      <c r="D44" s="5" t="n"/>
      <c r="E44" s="16" t="n"/>
      <c r="F44" s="16" t="n"/>
      <c r="G44" s="16" t="n"/>
      <c r="H44" s="17" t="n"/>
      <c r="I44" s="17" t="n"/>
      <c r="J44" s="17">
        <f>PRODUCT(F44:I44)</f>
        <v/>
      </c>
      <c r="K44" s="16" t="n">
        <v/>
      </c>
      <c r="L44" s="16" t="n">
        <v/>
      </c>
      <c r="M44" s="17" t="n">
        <v/>
      </c>
      <c r="N44" s="17" t="n">
        <v/>
      </c>
      <c r="O44" s="17" t="n">
        <v/>
      </c>
      <c r="P44" s="7" t="n"/>
    </row>
    <row r="45" customFormat="1" s="2">
      <c r="A45" s="6" t="n"/>
      <c r="B45" s="4" t="n"/>
      <c r="C45" s="4" t="inlineStr">
        <is>
          <t>Wall Fan</t>
        </is>
      </c>
      <c r="D45" s="5" t="inlineStr">
        <is>
          <t>Nos</t>
        </is>
      </c>
      <c r="E45" s="16" t="n"/>
      <c r="F45" s="16" t="n">
        <v>1</v>
      </c>
      <c r="G45" s="16" t="n"/>
      <c r="H45" s="17" t="n"/>
      <c r="I45" s="17" t="n"/>
      <c r="J45" s="17">
        <f>PRODUCT(F45:I45)</f>
        <v/>
      </c>
      <c r="K45" s="16" t="n">
        <v>1</v>
      </c>
      <c r="L45" s="16" t="n">
        <v/>
      </c>
      <c r="M45" s="17" t="n">
        <v/>
      </c>
      <c r="N45" s="17" t="n">
        <v/>
      </c>
      <c r="O45" s="17" t="n">
        <v/>
      </c>
      <c r="P45" s="7" t="n"/>
    </row>
    <row r="46" customFormat="1" s="2">
      <c r="A46" s="6" t="n"/>
      <c r="B46" s="4" t="n"/>
      <c r="C46" s="14" t="inlineStr">
        <is>
          <t>Pantry Area</t>
        </is>
      </c>
      <c r="D46" s="5" t="n"/>
      <c r="E46" s="16" t="n"/>
      <c r="F46" s="16" t="n"/>
      <c r="G46" s="16" t="n"/>
      <c r="H46" s="17" t="n"/>
      <c r="I46" s="17" t="n"/>
      <c r="J46" s="17" t="n"/>
      <c r="K46" s="16" t="n">
        <v/>
      </c>
      <c r="L46" s="16" t="n">
        <v/>
      </c>
      <c r="M46" s="17" t="n">
        <v/>
      </c>
      <c r="N46" s="17" t="n">
        <v/>
      </c>
      <c r="O46" s="17" t="n">
        <v/>
      </c>
      <c r="P46" s="7" t="n"/>
    </row>
    <row r="47" customFormat="1" s="2">
      <c r="A47" s="6" t="n"/>
      <c r="B47" s="4" t="n"/>
      <c r="C47" s="4" t="inlineStr">
        <is>
          <t>Wall Fan</t>
        </is>
      </c>
      <c r="D47" s="5" t="inlineStr">
        <is>
          <t>Nos</t>
        </is>
      </c>
      <c r="E47" s="16" t="n"/>
      <c r="F47" s="16" t="n">
        <v>1</v>
      </c>
      <c r="G47" s="16" t="n"/>
      <c r="H47" s="17" t="n"/>
      <c r="I47" s="17" t="n"/>
      <c r="J47" s="17">
        <f>PRODUCT(F47:I47)</f>
        <v/>
      </c>
      <c r="K47" s="16" t="n">
        <v>1</v>
      </c>
      <c r="L47" s="16" t="n">
        <v/>
      </c>
      <c r="M47" s="17" t="n">
        <v/>
      </c>
      <c r="N47" s="17" t="n">
        <v/>
      </c>
      <c r="O47" s="17" t="n">
        <v/>
      </c>
      <c r="P47" s="7" t="n"/>
    </row>
    <row r="48" customFormat="1" s="2">
      <c r="A48" s="6" t="n"/>
      <c r="B48" s="4" t="n"/>
      <c r="C48" s="4" t="n"/>
      <c r="D48" s="5" t="n"/>
      <c r="E48" s="16" t="n"/>
      <c r="F48" s="16" t="n"/>
      <c r="G48" s="16" t="n"/>
      <c r="H48" s="17" t="n"/>
      <c r="I48" s="17" t="n"/>
      <c r="J48" s="17">
        <f>PRODUCT(F48:I48)</f>
        <v/>
      </c>
      <c r="K48" s="16" t="n">
        <v/>
      </c>
      <c r="L48" s="16" t="n">
        <v/>
      </c>
      <c r="M48" s="17" t="n">
        <v/>
      </c>
      <c r="N48" s="17" t="n">
        <v/>
      </c>
      <c r="O48" s="17" t="n">
        <v/>
      </c>
      <c r="P48" s="7" t="n"/>
    </row>
    <row r="49" customFormat="1" s="2">
      <c r="A49" s="111" t="n"/>
      <c r="B49" s="111" t="n"/>
      <c r="C49" s="112" t="inlineStr">
        <is>
          <t>Total Qty</t>
        </is>
      </c>
      <c r="D49" s="113" t="n"/>
      <c r="E49" s="114" t="n"/>
      <c r="F49" s="114" t="n"/>
      <c r="G49" s="114" t="n"/>
      <c r="H49" s="115" t="n"/>
      <c r="I49" s="115" t="n"/>
      <c r="J49" s="115">
        <f>ROUND(SUM(J44:J48),)</f>
        <v/>
      </c>
      <c r="K49" s="114" t="n">
        <v/>
      </c>
      <c r="L49" s="114" t="n">
        <v/>
      </c>
      <c r="M49" s="115" t="n">
        <v/>
      </c>
      <c r="N49" s="115" t="n">
        <v/>
      </c>
      <c r="O49" s="115" t="n">
        <v/>
      </c>
    </row>
    <row r="50">
      <c r="A50" s="117" t="n"/>
      <c r="B50" s="117" t="n"/>
      <c r="C50" s="117" t="n"/>
      <c r="D50" s="117" t="n"/>
      <c r="E50" s="118" t="n"/>
      <c r="F50" s="119" t="n"/>
      <c r="G50" s="119" t="n"/>
      <c r="H50" s="119" t="n"/>
      <c r="I50" s="119" t="n"/>
      <c r="J50" s="119" t="n"/>
      <c r="K50" s="119" t="n">
        <v/>
      </c>
      <c r="L50" s="119" t="n">
        <v/>
      </c>
      <c r="M50" s="119" t="n">
        <v/>
      </c>
      <c r="N50" s="119" t="n">
        <v/>
      </c>
      <c r="O50" s="119" t="n">
        <v/>
      </c>
      <c r="P50" s="117" t="n"/>
    </row>
    <row r="51" ht="27.6" customFormat="1" customHeight="1" s="2">
      <c r="A51" s="6">
        <f>A43+1</f>
        <v/>
      </c>
      <c r="B51" s="4" t="inlineStr">
        <is>
          <t>Aluminium Foldable Ladder</t>
        </is>
      </c>
      <c r="C51" s="4" t="inlineStr">
        <is>
          <t>8 feet aluminium foladable Ladder As per sample approved . As per approved make</t>
        </is>
      </c>
      <c r="D51" s="5" t="inlineStr">
        <is>
          <t>nos</t>
        </is>
      </c>
      <c r="E51" s="16" t="n">
        <v>1</v>
      </c>
      <c r="F51" s="16" t="n"/>
      <c r="G51" s="16" t="n"/>
      <c r="H51" s="16" t="n"/>
      <c r="I51" s="16" t="n"/>
      <c r="J51" s="16" t="n"/>
      <c r="K51" s="16" t="n">
        <v/>
      </c>
      <c r="L51" s="16" t="n">
        <v/>
      </c>
      <c r="M51" s="16" t="n">
        <v/>
      </c>
      <c r="N51" s="16" t="n">
        <v/>
      </c>
      <c r="O51" s="16" t="n">
        <v/>
      </c>
      <c r="P51" s="5" t="n"/>
    </row>
    <row r="52" customFormat="1" s="2">
      <c r="A52" s="6" t="n"/>
      <c r="B52" s="4" t="n"/>
      <c r="C52" s="14" t="n"/>
      <c r="D52" s="5" t="n"/>
      <c r="E52" s="16" t="n"/>
      <c r="F52" s="16" t="n"/>
      <c r="G52" s="16" t="n"/>
      <c r="H52" s="17" t="n"/>
      <c r="I52" s="17" t="n"/>
      <c r="J52" s="17">
        <f>PRODUCT(F52:I52)</f>
        <v/>
      </c>
      <c r="K52" s="16" t="n">
        <v/>
      </c>
      <c r="L52" s="16" t="n">
        <v/>
      </c>
      <c r="M52" s="17" t="n">
        <v/>
      </c>
      <c r="N52" s="17" t="n">
        <v/>
      </c>
      <c r="O52" s="17" t="n">
        <v/>
      </c>
      <c r="P52" s="7" t="n"/>
    </row>
    <row r="53" customFormat="1" s="2">
      <c r="A53" s="6" t="n"/>
      <c r="B53" s="4" t="n"/>
      <c r="C53" s="4" t="inlineStr">
        <is>
          <t>As Per Site</t>
        </is>
      </c>
      <c r="D53" s="5" t="inlineStr">
        <is>
          <t>Nos</t>
        </is>
      </c>
      <c r="E53" s="16" t="n"/>
      <c r="F53" s="16" t="n">
        <v>1</v>
      </c>
      <c r="G53" s="16" t="n"/>
      <c r="H53" s="17" t="n"/>
      <c r="I53" s="17" t="n"/>
      <c r="J53" s="17">
        <f>PRODUCT(F53:I53)</f>
        <v/>
      </c>
      <c r="K53" s="16" t="n">
        <v>1</v>
      </c>
      <c r="L53" s="16" t="n">
        <v/>
      </c>
      <c r="M53" s="17" t="n">
        <v/>
      </c>
      <c r="N53" s="17" t="n">
        <v/>
      </c>
      <c r="O53" s="17" t="n">
        <v/>
      </c>
      <c r="P53" s="7" t="n"/>
    </row>
    <row r="54" customFormat="1" s="2">
      <c r="A54" s="6" t="n"/>
      <c r="B54" s="4" t="n"/>
      <c r="C54" s="4" t="n"/>
      <c r="D54" s="5" t="n"/>
      <c r="E54" s="16" t="n"/>
      <c r="F54" s="16" t="n"/>
      <c r="G54" s="16" t="n"/>
      <c r="H54" s="17" t="n"/>
      <c r="I54" s="17" t="n"/>
      <c r="J54" s="17">
        <f>PRODUCT(F54:I54)</f>
        <v/>
      </c>
      <c r="K54" s="16" t="n">
        <v/>
      </c>
      <c r="L54" s="16" t="n">
        <v/>
      </c>
      <c r="M54" s="17" t="n">
        <v/>
      </c>
      <c r="N54" s="17" t="n">
        <v/>
      </c>
      <c r="O54" s="17" t="n">
        <v/>
      </c>
      <c r="P54" s="7" t="n"/>
    </row>
    <row r="55" customFormat="1" s="2">
      <c r="A55" s="111" t="n"/>
      <c r="B55" s="111" t="n"/>
      <c r="C55" s="112" t="inlineStr">
        <is>
          <t>Total Qty</t>
        </is>
      </c>
      <c r="D55" s="113" t="n"/>
      <c r="E55" s="114" t="n"/>
      <c r="F55" s="114" t="n"/>
      <c r="G55" s="114" t="n"/>
      <c r="H55" s="115" t="n"/>
      <c r="I55" s="115" t="n"/>
      <c r="J55" s="115">
        <f>ROUND(SUM(J52:J54),)</f>
        <v/>
      </c>
      <c r="K55" s="114" t="n">
        <v/>
      </c>
      <c r="L55" s="114" t="n">
        <v/>
      </c>
      <c r="M55" s="115" t="n">
        <v/>
      </c>
      <c r="N55" s="115" t="n">
        <v/>
      </c>
      <c r="O55" s="115" t="n">
        <v/>
      </c>
      <c r="P55" s="116" t="n"/>
    </row>
    <row r="56" customFormat="1" s="2">
      <c r="A56" s="6" t="n"/>
      <c r="B56" s="4" t="n"/>
      <c r="C56" s="4" t="n"/>
      <c r="D56" s="5" t="n"/>
      <c r="E56" s="16" t="n"/>
      <c r="F56" s="16" t="n"/>
      <c r="G56" s="16" t="n"/>
      <c r="H56" s="17" t="n"/>
      <c r="I56" s="17" t="n"/>
      <c r="J56" s="17" t="n"/>
      <c r="K56" s="16" t="n">
        <v/>
      </c>
      <c r="L56" s="16" t="n">
        <v/>
      </c>
      <c r="M56" s="17" t="n">
        <v/>
      </c>
      <c r="N56" s="17" t="n">
        <v/>
      </c>
      <c r="O56" s="17" t="n">
        <v/>
      </c>
      <c r="P56" s="7" t="n"/>
    </row>
    <row r="57" ht="41.4" customFormat="1" customHeight="1" s="2">
      <c r="A57" s="6">
        <f>A51+1</f>
        <v/>
      </c>
      <c r="B57" s="4" t="inlineStr">
        <is>
          <t>FLOWER POT</t>
        </is>
      </c>
      <c r="C57" s="4" t="inlineStr">
        <is>
          <t>Providing and fixing of Clay Flower pot 12 to 20 for branch lobby area with neceessary accessories, including IGBC approved indoor plant.</t>
        </is>
      </c>
      <c r="D57" s="5" t="inlineStr">
        <is>
          <t>No</t>
        </is>
      </c>
      <c r="E57" s="16" t="n">
        <v>5</v>
      </c>
      <c r="F57" s="16" t="n"/>
      <c r="G57" s="16" t="n"/>
      <c r="H57" s="17" t="n"/>
      <c r="I57" s="17" t="n"/>
      <c r="J57" s="17" t="n"/>
      <c r="K57" s="16" t="n">
        <v/>
      </c>
      <c r="L57" s="16" t="n">
        <v/>
      </c>
      <c r="M57" s="17" t="n">
        <v/>
      </c>
      <c r="N57" s="17" t="n">
        <v/>
      </c>
      <c r="O57" s="17" t="n">
        <v/>
      </c>
      <c r="P57" s="120" t="inlineStr">
        <is>
          <t>Not provided</t>
        </is>
      </c>
    </row>
    <row r="58" customFormat="1" s="2">
      <c r="A58" s="6" t="n"/>
      <c r="B58" s="4" t="n"/>
      <c r="C58" s="14" t="n"/>
      <c r="D58" s="5" t="n"/>
      <c r="E58" s="16" t="n"/>
      <c r="F58" s="16" t="n"/>
      <c r="G58" s="16" t="n"/>
      <c r="H58" s="17" t="n"/>
      <c r="I58" s="17" t="n"/>
      <c r="J58" s="17">
        <f>PRODUCT(F58:I58)</f>
        <v/>
      </c>
      <c r="K58" s="16" t="n">
        <v/>
      </c>
      <c r="L58" s="16" t="n">
        <v/>
      </c>
      <c r="M58" s="17" t="n">
        <v/>
      </c>
      <c r="N58" s="17" t="n">
        <v/>
      </c>
      <c r="O58" s="17" t="n">
        <v/>
      </c>
      <c r="P58" s="7" t="n"/>
    </row>
    <row r="59" customFormat="1" s="2">
      <c r="A59" s="6" t="n"/>
      <c r="B59" s="4" t="n"/>
      <c r="C59" s="4" t="inlineStr">
        <is>
          <t>As Per Site</t>
        </is>
      </c>
      <c r="D59" s="5" t="inlineStr">
        <is>
          <t>Nos</t>
        </is>
      </c>
      <c r="E59" s="16" t="n"/>
      <c r="F59" s="16" t="n">
        <v>5</v>
      </c>
      <c r="G59" s="16" t="n"/>
      <c r="H59" s="17" t="n"/>
      <c r="I59" s="17" t="n"/>
      <c r="J59" s="17">
        <f>PRODUCT(F59:I59)</f>
        <v/>
      </c>
      <c r="K59" s="16" t="n">
        <v>5</v>
      </c>
      <c r="L59" s="16" t="n">
        <v/>
      </c>
      <c r="M59" s="17" t="n">
        <v/>
      </c>
      <c r="N59" s="17" t="n">
        <v/>
      </c>
      <c r="O59" s="17" t="n">
        <v/>
      </c>
      <c r="P59" s="7" t="n"/>
    </row>
    <row r="60" customFormat="1" s="2">
      <c r="A60" s="6" t="n"/>
      <c r="B60" s="4" t="n"/>
      <c r="C60" s="4" t="n"/>
      <c r="D60" s="5" t="n"/>
      <c r="E60" s="16" t="n"/>
      <c r="F60" s="16" t="n"/>
      <c r="G60" s="16" t="n"/>
      <c r="H60" s="17" t="n"/>
      <c r="I60" s="17" t="n"/>
      <c r="J60" s="17">
        <f>PRODUCT(F60:I60)</f>
        <v/>
      </c>
      <c r="K60" s="16" t="n">
        <v/>
      </c>
      <c r="L60" s="16" t="n">
        <v/>
      </c>
      <c r="M60" s="17" t="n">
        <v/>
      </c>
      <c r="N60" s="17" t="n">
        <v/>
      </c>
      <c r="O60" s="17" t="n">
        <v/>
      </c>
      <c r="P60" s="7" t="n"/>
    </row>
    <row r="61" customFormat="1" s="2">
      <c r="A61" s="111" t="n"/>
      <c r="B61" s="111" t="n"/>
      <c r="C61" s="112" t="inlineStr">
        <is>
          <t>Total Qty</t>
        </is>
      </c>
      <c r="D61" s="113" t="n"/>
      <c r="E61" s="114" t="n"/>
      <c r="F61" s="114" t="n"/>
      <c r="G61" s="114" t="n"/>
      <c r="H61" s="115" t="n"/>
      <c r="I61" s="115" t="n"/>
      <c r="J61" s="115">
        <f>ROUND(SUM(J58:J60),)</f>
        <v/>
      </c>
      <c r="K61" s="114" t="n">
        <v/>
      </c>
      <c r="L61" s="114" t="n">
        <v/>
      </c>
      <c r="M61" s="115" t="n">
        <v/>
      </c>
      <c r="N61" s="115" t="n">
        <v/>
      </c>
      <c r="O61" s="115" t="n">
        <v/>
      </c>
    </row>
    <row r="62" customFormat="1" s="2">
      <c r="A62" s="6" t="n"/>
      <c r="B62" s="4" t="n"/>
      <c r="C62" s="4" t="n"/>
      <c r="D62" s="5" t="n"/>
      <c r="E62" s="16" t="n"/>
      <c r="F62" s="16" t="n"/>
      <c r="G62" s="16" t="n"/>
      <c r="H62" s="17" t="n"/>
      <c r="I62" s="17" t="n"/>
      <c r="J62" s="17" t="n"/>
      <c r="K62" s="16" t="n">
        <v/>
      </c>
      <c r="L62" s="16" t="n">
        <v/>
      </c>
      <c r="M62" s="17" t="n">
        <v/>
      </c>
      <c r="N62" s="17" t="n">
        <v/>
      </c>
      <c r="O62" s="17" t="n">
        <v/>
      </c>
      <c r="P62" s="7" t="n"/>
    </row>
    <row r="63" ht="27.6" customFormat="1" customHeight="1" s="2">
      <c r="A63" s="6">
        <f>A57+1</f>
        <v/>
      </c>
      <c r="B63" s="4" t="inlineStr">
        <is>
          <t>Lacqured Glass new</t>
        </is>
      </c>
      <c r="C63" s="4" t="inlineStr">
        <is>
          <t>Providing and fixing Lacqured glass in Fusion Orange colour for Theme wall. Make - Saint Gobain, Asahi</t>
        </is>
      </c>
      <c r="D63" s="5" t="inlineStr">
        <is>
          <t>sqft</t>
        </is>
      </c>
      <c r="E63" s="16" t="n">
        <v>56</v>
      </c>
      <c r="F63" s="16" t="n"/>
      <c r="G63" s="16" t="n"/>
      <c r="H63" s="17" t="n"/>
      <c r="I63" s="17" t="n"/>
      <c r="J63" s="17" t="n"/>
      <c r="K63" s="16" t="n">
        <v/>
      </c>
      <c r="L63" s="16" t="n">
        <v/>
      </c>
      <c r="M63" s="17" t="n">
        <v/>
      </c>
      <c r="N63" s="17" t="n">
        <v/>
      </c>
      <c r="O63" s="17" t="n">
        <v/>
      </c>
      <c r="P63" s="7" t="n"/>
    </row>
    <row r="64" customFormat="1" s="2">
      <c r="A64" s="6" t="n"/>
      <c r="B64" s="4" t="n"/>
      <c r="C64" s="14" t="inlineStr">
        <is>
          <t>Branch Area</t>
        </is>
      </c>
      <c r="D64" s="5" t="n"/>
      <c r="E64" s="16" t="n"/>
      <c r="F64" s="16" t="n"/>
      <c r="G64" s="16" t="n"/>
      <c r="H64" s="17" t="n"/>
      <c r="I64" s="17" t="n"/>
      <c r="J64" s="17">
        <f>PRODUCT(F64:I64)</f>
        <v/>
      </c>
      <c r="K64" s="16" t="n">
        <v/>
      </c>
      <c r="L64" s="16" t="n">
        <v/>
      </c>
      <c r="M64" s="17" t="n">
        <v/>
      </c>
      <c r="N64" s="17" t="n">
        <v/>
      </c>
      <c r="O64" s="17" t="n">
        <v/>
      </c>
      <c r="P64" s="7" t="n"/>
    </row>
    <row r="65" customFormat="1" s="2">
      <c r="A65" s="6" t="n"/>
      <c r="B65" s="4" t="n"/>
      <c r="C65" s="4" t="inlineStr">
        <is>
          <t>Logo Wall</t>
        </is>
      </c>
      <c r="D65" s="5" t="inlineStr">
        <is>
          <t>Sq.ft</t>
        </is>
      </c>
      <c r="E65" s="16" t="n"/>
      <c r="F65" s="16" t="n">
        <v>1</v>
      </c>
      <c r="G65" s="16" t="n">
        <v>6</v>
      </c>
      <c r="H65" s="17" t="n"/>
      <c r="I65" s="17" t="n">
        <v>8</v>
      </c>
      <c r="J65" s="17">
        <f>PRODUCT(F65:I65)</f>
        <v/>
      </c>
      <c r="K65" s="16" t="n">
        <v>1</v>
      </c>
      <c r="L65" s="16" t="n">
        <v/>
      </c>
      <c r="M65" s="17" t="n">
        <v/>
      </c>
      <c r="N65" s="17" t="n">
        <v/>
      </c>
      <c r="O65" s="17" t="n">
        <v/>
      </c>
      <c r="P65" s="7" t="n"/>
    </row>
    <row r="66" customFormat="1" s="2">
      <c r="A66" s="6" t="n"/>
      <c r="B66" s="4" t="n"/>
      <c r="C66" s="4" t="inlineStr">
        <is>
          <t>Column Area</t>
        </is>
      </c>
      <c r="D66" s="5" t="inlineStr">
        <is>
          <t>Sq.ft</t>
        </is>
      </c>
      <c r="E66" s="16" t="n"/>
      <c r="F66" s="16" t="n">
        <v>2</v>
      </c>
      <c r="G66" s="16">
        <f>3+7.5/12</f>
        <v/>
      </c>
      <c r="H66" s="17" t="n"/>
      <c r="I66" s="17" t="n">
        <v>4.33</v>
      </c>
      <c r="J66" s="17">
        <f>PRODUCT(F66:I66)</f>
        <v/>
      </c>
      <c r="K66" s="16" t="n">
        <v>2</v>
      </c>
      <c r="L66" s="16" t="n">
        <v/>
      </c>
      <c r="M66" s="17" t="n">
        <v/>
      </c>
      <c r="N66" s="17" t="n">
        <v/>
      </c>
      <c r="O66" s="17" t="n">
        <v/>
      </c>
      <c r="P66" s="7" t="n"/>
    </row>
    <row r="67" customFormat="1" s="2">
      <c r="A67" s="6" t="n"/>
      <c r="B67" s="4" t="n"/>
      <c r="C67" s="4" t="inlineStr">
        <is>
          <t>Column Area</t>
        </is>
      </c>
      <c r="D67" s="5" t="inlineStr">
        <is>
          <t>Sq.ft</t>
        </is>
      </c>
      <c r="E67" s="16" t="n"/>
      <c r="F67" s="16" t="n">
        <v>1</v>
      </c>
      <c r="G67" s="16" t="n">
        <v>1.25</v>
      </c>
      <c r="H67" s="17" t="n"/>
      <c r="I67" s="16">
        <f>3+7.5/12</f>
        <v/>
      </c>
      <c r="J67" s="17">
        <f>PRODUCT(F67:I67)</f>
        <v/>
      </c>
      <c r="K67" s="16" t="n">
        <v>1</v>
      </c>
      <c r="L67" s="16" t="n">
        <v/>
      </c>
      <c r="M67" s="17" t="n">
        <v/>
      </c>
      <c r="N67" s="16" t="n">
        <v/>
      </c>
      <c r="O67" s="17" t="n">
        <v/>
      </c>
      <c r="P67" s="7" t="n"/>
    </row>
    <row r="68" customFormat="1" s="2">
      <c r="A68" s="6" t="n"/>
      <c r="B68" s="4" t="n"/>
      <c r="C68" s="4" t="n"/>
      <c r="D68" s="5" t="n"/>
      <c r="E68" s="16" t="n"/>
      <c r="F68" s="16" t="n"/>
      <c r="G68" s="16" t="n"/>
      <c r="H68" s="17" t="n"/>
      <c r="I68" s="17" t="n"/>
      <c r="J68" s="17">
        <f>PRODUCT(F68:I68)</f>
        <v/>
      </c>
      <c r="K68" s="16" t="n">
        <v/>
      </c>
      <c r="L68" s="16" t="n">
        <v/>
      </c>
      <c r="M68" s="17" t="n">
        <v/>
      </c>
      <c r="N68" s="17" t="n">
        <v/>
      </c>
      <c r="O68" s="17" t="n">
        <v/>
      </c>
      <c r="P68" s="7" t="n"/>
    </row>
    <row r="69" customFormat="1" s="2">
      <c r="A69" s="111" t="n"/>
      <c r="B69" s="111" t="n"/>
      <c r="C69" s="112" t="inlineStr">
        <is>
          <t>Total Qty</t>
        </is>
      </c>
      <c r="D69" s="113" t="n"/>
      <c r="E69" s="114" t="n"/>
      <c r="F69" s="114" t="n"/>
      <c r="G69" s="114" t="n"/>
      <c r="H69" s="115" t="n"/>
      <c r="I69" s="115" t="n"/>
      <c r="J69" s="115">
        <f>ROUND(SUM(J64:J68),)</f>
        <v/>
      </c>
      <c r="K69" s="114" t="n">
        <v/>
      </c>
      <c r="L69" s="114" t="n">
        <v/>
      </c>
      <c r="M69" s="115" t="n">
        <v/>
      </c>
      <c r="N69" s="115" t="n">
        <v/>
      </c>
      <c r="O69" s="115" t="n">
        <v/>
      </c>
      <c r="P69" s="116" t="n"/>
    </row>
    <row r="70" customFormat="1" s="2">
      <c r="A70" s="6" t="n"/>
      <c r="B70" s="4" t="n"/>
      <c r="C70" s="4" t="n"/>
      <c r="D70" s="5" t="n"/>
      <c r="E70" s="16" t="n"/>
      <c r="F70" s="16" t="n"/>
      <c r="G70" s="16" t="n"/>
      <c r="H70" s="17" t="n"/>
      <c r="I70" s="17" t="n"/>
      <c r="J70" s="17" t="n"/>
      <c r="K70" s="16" t="n">
        <v/>
      </c>
      <c r="L70" s="16" t="n">
        <v/>
      </c>
      <c r="M70" s="17" t="n">
        <v/>
      </c>
      <c r="N70" s="17" t="n">
        <v/>
      </c>
      <c r="O70" s="17" t="n">
        <v/>
      </c>
      <c r="P70" s="7" t="n"/>
    </row>
    <row r="71" ht="27.6" customFormat="1" customHeight="1" s="2">
      <c r="A71" s="6">
        <f>A63+1</f>
        <v/>
      </c>
      <c r="B71" s="4" t="inlineStr">
        <is>
          <t>IGBC planters</t>
        </is>
      </c>
      <c r="C71" s="4" t="inlineStr">
        <is>
          <t>Plant as per IGBC list, 2 feet height of plant, 10 inch height plastic pot with plastic tray</t>
        </is>
      </c>
      <c r="D71" s="5" t="inlineStr">
        <is>
          <t>Each</t>
        </is>
      </c>
      <c r="E71" s="16" t="n">
        <v>13</v>
      </c>
      <c r="F71" s="16" t="n"/>
      <c r="G71" s="16" t="n"/>
      <c r="H71" s="16" t="n"/>
      <c r="I71" s="16" t="n"/>
      <c r="J71" s="16" t="n"/>
      <c r="K71" s="16" t="n">
        <v/>
      </c>
      <c r="L71" s="16" t="n">
        <v/>
      </c>
      <c r="M71" s="16" t="n">
        <v/>
      </c>
      <c r="N71" s="16" t="n">
        <v/>
      </c>
      <c r="O71" s="16" t="n">
        <v/>
      </c>
      <c r="P71" s="120" t="inlineStr">
        <is>
          <t>Not provided</t>
        </is>
      </c>
    </row>
    <row r="72" customFormat="1" s="2">
      <c r="A72" s="6" t="n"/>
      <c r="B72" s="4" t="n"/>
      <c r="C72" s="14" t="n"/>
      <c r="D72" s="5" t="n"/>
      <c r="E72" s="16" t="n"/>
      <c r="F72" s="16" t="n"/>
      <c r="G72" s="16" t="n"/>
      <c r="H72" s="17" t="n"/>
      <c r="I72" s="17" t="n"/>
      <c r="J72" s="17">
        <f>PRODUCT(F72:I72)</f>
        <v/>
      </c>
      <c r="K72" s="16" t="n">
        <v/>
      </c>
      <c r="L72" s="16" t="n">
        <v/>
      </c>
      <c r="M72" s="17" t="n">
        <v/>
      </c>
      <c r="N72" s="17" t="n">
        <v/>
      </c>
      <c r="O72" s="17" t="n">
        <v/>
      </c>
      <c r="P72" s="7" t="n"/>
    </row>
    <row r="73" customFormat="1" s="2">
      <c r="A73" s="6" t="n"/>
      <c r="B73" s="4" t="n"/>
      <c r="C73" s="4" t="inlineStr">
        <is>
          <t>As Per Site</t>
        </is>
      </c>
      <c r="D73" s="5" t="inlineStr">
        <is>
          <t>Nos</t>
        </is>
      </c>
      <c r="E73" s="16" t="n"/>
      <c r="F73" s="16" t="n">
        <v>13</v>
      </c>
      <c r="G73" s="16" t="n"/>
      <c r="H73" s="17" t="n"/>
      <c r="I73" s="17" t="n"/>
      <c r="J73" s="17">
        <f>PRODUCT(F73:I73)</f>
        <v/>
      </c>
      <c r="K73" s="16" t="n">
        <v>13</v>
      </c>
      <c r="L73" s="16" t="n">
        <v/>
      </c>
      <c r="M73" s="17" t="n">
        <v/>
      </c>
      <c r="N73" s="17" t="n">
        <v/>
      </c>
      <c r="O73" s="17" t="n">
        <v/>
      </c>
    </row>
    <row r="74" customFormat="1" s="2">
      <c r="A74" s="6" t="n"/>
      <c r="B74" s="4" t="n"/>
      <c r="C74" s="4" t="n"/>
      <c r="D74" s="5" t="n"/>
      <c r="E74" s="16" t="n"/>
      <c r="F74" s="16" t="n"/>
      <c r="G74" s="16" t="n"/>
      <c r="H74" s="17" t="n"/>
      <c r="I74" s="17" t="n"/>
      <c r="J74" s="17">
        <f>PRODUCT(F74:I74)</f>
        <v/>
      </c>
      <c r="K74" s="16" t="n">
        <v/>
      </c>
      <c r="L74" s="16" t="n">
        <v/>
      </c>
      <c r="M74" s="17" t="n">
        <v/>
      </c>
      <c r="N74" s="17" t="n">
        <v/>
      </c>
      <c r="O74" s="17" t="n">
        <v/>
      </c>
      <c r="P74" s="7" t="n"/>
    </row>
    <row r="75" customFormat="1" s="2">
      <c r="A75" s="111" t="n"/>
      <c r="B75" s="111" t="n"/>
      <c r="C75" s="112" t="inlineStr">
        <is>
          <t>Total Qty</t>
        </is>
      </c>
      <c r="D75" s="113" t="n"/>
      <c r="E75" s="114" t="n"/>
      <c r="F75" s="114" t="n"/>
      <c r="G75" s="114" t="n"/>
      <c r="H75" s="115" t="n"/>
      <c r="I75" s="115" t="n"/>
      <c r="J75" s="115">
        <f>ROUND(SUM(J72:J74),)</f>
        <v/>
      </c>
      <c r="K75" s="114" t="n">
        <v/>
      </c>
      <c r="L75" s="114" t="n">
        <v/>
      </c>
      <c r="M75" s="115" t="n">
        <v/>
      </c>
      <c r="N75" s="115" t="n">
        <v/>
      </c>
      <c r="O75" s="115" t="n">
        <v/>
      </c>
      <c r="P75" s="116" t="n"/>
    </row>
    <row r="76" customFormat="1" s="2">
      <c r="A76" s="6" t="n"/>
      <c r="B76" s="4" t="n"/>
      <c r="C76" s="4" t="n"/>
      <c r="D76" s="5" t="n"/>
      <c r="E76" s="16" t="n"/>
      <c r="F76" s="16" t="n"/>
      <c r="G76" s="16" t="n"/>
      <c r="H76" s="17" t="n"/>
      <c r="I76" s="17" t="n"/>
      <c r="J76" s="17" t="n"/>
      <c r="K76" s="16" t="n">
        <v/>
      </c>
      <c r="L76" s="16" t="n">
        <v/>
      </c>
      <c r="M76" s="17" t="n">
        <v/>
      </c>
      <c r="N76" s="17" t="n">
        <v/>
      </c>
      <c r="O76" s="17" t="n">
        <v/>
      </c>
      <c r="P76" s="7" t="n"/>
    </row>
    <row r="77" ht="55.2" customFormat="1" customHeight="1" s="2">
      <c r="A77" s="6">
        <f>A71+1</f>
        <v/>
      </c>
      <c r="B77" s="4" t="inlineStr">
        <is>
          <t>Electricals as per Electrical Annexure 1 attached with this BOQ</t>
        </is>
      </c>
      <c r="C77" s="4" t="inlineStr">
        <is>
          <t>Electrical work inclusive of power points, light points,
A.C. cabling and distribution boards, fire detection and provision of conduits for networking, LED, raceway. BEE rated items for green certification</t>
        </is>
      </c>
      <c r="D77" s="5" t="inlineStr">
        <is>
          <t>Sft</t>
        </is>
      </c>
      <c r="E77" s="16" t="n">
        <v>1266</v>
      </c>
      <c r="F77" s="16" t="n"/>
      <c r="G77" s="16" t="n"/>
      <c r="H77" s="16" t="n"/>
      <c r="I77" s="16" t="n"/>
      <c r="J77" s="16" t="n"/>
      <c r="K77" s="16" t="n">
        <v/>
      </c>
      <c r="L77" s="16" t="n">
        <v/>
      </c>
      <c r="M77" s="16" t="n">
        <v/>
      </c>
      <c r="N77" s="16" t="n">
        <v/>
      </c>
      <c r="O77" s="16" t="n">
        <v/>
      </c>
      <c r="P77" s="5" t="n"/>
    </row>
    <row r="78" customFormat="1" s="2">
      <c r="A78" s="6" t="n"/>
      <c r="B78" s="4" t="n"/>
      <c r="C78" s="14" t="n"/>
      <c r="D78" s="5" t="n"/>
      <c r="E78" s="16" t="n"/>
      <c r="F78" s="16" t="n"/>
      <c r="G78" s="16" t="n"/>
      <c r="H78" s="17" t="n"/>
      <c r="I78" s="17" t="n"/>
      <c r="J78" s="17">
        <f>PRODUCT(F78:I78)</f>
        <v/>
      </c>
      <c r="K78" s="16" t="n">
        <v/>
      </c>
      <c r="L78" s="16" t="n">
        <v/>
      </c>
      <c r="M78" s="17" t="n">
        <v/>
      </c>
      <c r="N78" s="17" t="n">
        <v/>
      </c>
      <c r="O78" s="17" t="n">
        <v/>
      </c>
      <c r="P78" s="7" t="n"/>
    </row>
    <row r="79" customFormat="1" s="2">
      <c r="A79" s="6" t="n"/>
      <c r="B79" s="4" t="n"/>
      <c r="C79" s="4" t="inlineStr">
        <is>
          <t>As Per Drawingg Area</t>
        </is>
      </c>
      <c r="D79" s="5" t="inlineStr">
        <is>
          <t>Sq.ft</t>
        </is>
      </c>
      <c r="E79" s="16" t="n"/>
      <c r="F79" s="16" t="n">
        <v>1</v>
      </c>
      <c r="G79" s="16" t="n">
        <v>1266</v>
      </c>
      <c r="H79" s="17" t="n"/>
      <c r="I79" s="17" t="n"/>
      <c r="J79" s="17">
        <f>PRODUCT(F79:I79)</f>
        <v/>
      </c>
      <c r="K79" s="16" t="n">
        <v>1</v>
      </c>
      <c r="L79" s="16" t="n">
        <v/>
      </c>
      <c r="M79" s="17" t="n">
        <v/>
      </c>
      <c r="N79" s="17" t="n">
        <v/>
      </c>
      <c r="O79" s="17" t="n">
        <v/>
      </c>
      <c r="P79" s="7" t="n"/>
    </row>
    <row r="80" customFormat="1" s="2">
      <c r="A80" s="6" t="n"/>
      <c r="B80" s="4" t="n"/>
      <c r="C80" s="4" t="n"/>
      <c r="D80" s="5" t="n"/>
      <c r="E80" s="16" t="n"/>
      <c r="F80" s="16" t="n"/>
      <c r="G80" s="16" t="n"/>
      <c r="H80" s="17" t="n"/>
      <c r="I80" s="17" t="n"/>
      <c r="J80" s="17">
        <f>PRODUCT(F80:I80)</f>
        <v/>
      </c>
      <c r="K80" s="16" t="n">
        <v/>
      </c>
      <c r="L80" s="16" t="n">
        <v/>
      </c>
      <c r="M80" s="17" t="n">
        <v/>
      </c>
      <c r="N80" s="17" t="n">
        <v/>
      </c>
      <c r="O80" s="17" t="n">
        <v/>
      </c>
      <c r="P80" s="7" t="n"/>
    </row>
    <row r="81" customFormat="1" s="2">
      <c r="A81" s="111" t="n"/>
      <c r="B81" s="111" t="n"/>
      <c r="C81" s="112" t="inlineStr">
        <is>
          <t>Total Qty</t>
        </is>
      </c>
      <c r="D81" s="113" t="n"/>
      <c r="E81" s="114" t="n"/>
      <c r="F81" s="114" t="n"/>
      <c r="G81" s="114" t="n"/>
      <c r="H81" s="115" t="n"/>
      <c r="I81" s="115" t="n"/>
      <c r="J81" s="115">
        <f>ROUND(SUM(J78:J80),)</f>
        <v/>
      </c>
      <c r="K81" s="114" t="n">
        <v/>
      </c>
      <c r="L81" s="114" t="n">
        <v/>
      </c>
      <c r="M81" s="115" t="n">
        <v/>
      </c>
      <c r="N81" s="115" t="n">
        <v/>
      </c>
      <c r="O81" s="115" t="n">
        <v/>
      </c>
      <c r="P81" s="116" t="n"/>
    </row>
    <row r="82">
      <c r="A82" s="117" t="n"/>
      <c r="B82" s="117" t="n"/>
      <c r="C82" s="117" t="n"/>
      <c r="D82" s="117" t="n"/>
      <c r="E82" s="118" t="n"/>
      <c r="F82" s="119" t="n"/>
      <c r="G82" s="119" t="n"/>
      <c r="H82" s="119" t="n"/>
      <c r="I82" s="119" t="n"/>
      <c r="J82" s="119" t="n"/>
      <c r="K82" s="119" t="n">
        <v/>
      </c>
      <c r="L82" s="119" t="n">
        <v/>
      </c>
      <c r="M82" s="119" t="n">
        <v/>
      </c>
      <c r="N82" s="119" t="n">
        <v/>
      </c>
      <c r="O82" s="119" t="n">
        <v/>
      </c>
      <c r="P82" s="117" t="n"/>
    </row>
    <row r="83" ht="138" customFormat="1" customHeight="1" s="2">
      <c r="A83" s="6">
        <f>A77+1</f>
        <v/>
      </c>
      <c r="B83" s="4" t="inlineStr">
        <is>
          <t>Internal CPVC Plumbing work. [ Toilets and Pantry ]</t>
        </is>
      </c>
      <c r="C83" s="4"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D83" s="7" t="inlineStr">
        <is>
          <t>Lsum</t>
        </is>
      </c>
      <c r="E83" s="17" t="n">
        <v>3</v>
      </c>
      <c r="F83" s="16" t="n"/>
      <c r="G83" s="16" t="n"/>
      <c r="H83" s="16" t="n"/>
      <c r="I83" s="16" t="n"/>
      <c r="J83" s="16" t="n"/>
      <c r="K83" s="16" t="n">
        <v/>
      </c>
      <c r="L83" s="16" t="n">
        <v/>
      </c>
      <c r="M83" s="16" t="n">
        <v/>
      </c>
      <c r="N83" s="16" t="n">
        <v/>
      </c>
      <c r="O83" s="16" t="n">
        <v/>
      </c>
      <c r="P83" s="5" t="n"/>
    </row>
    <row r="84" customFormat="1" s="2">
      <c r="A84" s="6" t="n"/>
      <c r="B84" s="4" t="n"/>
      <c r="C84" s="14" t="inlineStr">
        <is>
          <t>Gents Toilet</t>
        </is>
      </c>
      <c r="D84" s="5" t="n"/>
      <c r="E84" s="16" t="n"/>
      <c r="F84" s="16" t="n"/>
      <c r="G84" s="16" t="n"/>
      <c r="H84" s="17" t="n"/>
      <c r="I84" s="17" t="n"/>
      <c r="J84" s="17">
        <f>PRODUCT(F84:I84)</f>
        <v/>
      </c>
      <c r="K84" s="16" t="n">
        <v/>
      </c>
      <c r="L84" s="16" t="n">
        <v/>
      </c>
      <c r="M84" s="17" t="n">
        <v/>
      </c>
      <c r="N84" s="17" t="n">
        <v/>
      </c>
      <c r="O84" s="17" t="n">
        <v/>
      </c>
      <c r="P84" s="7" t="n"/>
    </row>
    <row r="85" customFormat="1" s="2">
      <c r="A85" s="6" t="n"/>
      <c r="B85" s="4" t="n"/>
      <c r="C85" s="4" t="inlineStr">
        <is>
          <t>CPVC Point</t>
        </is>
      </c>
      <c r="D85" s="5" t="inlineStr">
        <is>
          <t>L/s</t>
        </is>
      </c>
      <c r="E85" s="16" t="n"/>
      <c r="F85" s="16" t="n">
        <v>1</v>
      </c>
      <c r="G85" s="16" t="n"/>
      <c r="H85" s="17" t="n"/>
      <c r="I85" s="17" t="n"/>
      <c r="J85" s="17">
        <f>PRODUCT(F85:I85)</f>
        <v/>
      </c>
      <c r="K85" s="16" t="n">
        <v>1</v>
      </c>
      <c r="L85" s="16" t="n">
        <v/>
      </c>
      <c r="M85" s="17" t="n">
        <v/>
      </c>
      <c r="N85" s="17" t="n">
        <v/>
      </c>
      <c r="O85" s="17" t="n">
        <v/>
      </c>
      <c r="P85" s="7" t="n"/>
    </row>
    <row r="86" customFormat="1" s="2">
      <c r="A86" s="6" t="n"/>
      <c r="B86" s="4" t="n"/>
      <c r="C86" s="14" t="inlineStr">
        <is>
          <t>Ladies Toiilet</t>
        </is>
      </c>
      <c r="D86" s="5" t="n"/>
      <c r="E86" s="16" t="n"/>
      <c r="F86" s="16" t="n"/>
      <c r="G86" s="16" t="n"/>
      <c r="H86" s="17" t="n"/>
      <c r="I86" s="17" t="n"/>
      <c r="J86" s="17" t="n"/>
      <c r="K86" s="16" t="n">
        <v/>
      </c>
      <c r="L86" s="16" t="n">
        <v/>
      </c>
      <c r="M86" s="17" t="n">
        <v/>
      </c>
      <c r="N86" s="17" t="n">
        <v/>
      </c>
      <c r="O86" s="17" t="n">
        <v/>
      </c>
      <c r="P86" s="7" t="n"/>
    </row>
    <row r="87" customFormat="1" s="2">
      <c r="A87" s="6" t="n"/>
      <c r="B87" s="4" t="n"/>
      <c r="C87" s="4" t="inlineStr">
        <is>
          <t>CPVC Point</t>
        </is>
      </c>
      <c r="D87" s="5" t="inlineStr">
        <is>
          <t>L/s</t>
        </is>
      </c>
      <c r="E87" s="16" t="n"/>
      <c r="F87" s="16" t="n">
        <v>1</v>
      </c>
      <c r="G87" s="16" t="n"/>
      <c r="H87" s="17" t="n"/>
      <c r="I87" s="17" t="n"/>
      <c r="J87" s="17">
        <f>PRODUCT(F87:I87)</f>
        <v/>
      </c>
      <c r="K87" s="16" t="n">
        <v>1</v>
      </c>
      <c r="L87" s="16" t="n">
        <v/>
      </c>
      <c r="M87" s="17" t="n">
        <v/>
      </c>
      <c r="N87" s="17" t="n">
        <v/>
      </c>
      <c r="O87" s="17" t="n">
        <v/>
      </c>
      <c r="P87" s="7" t="n"/>
    </row>
    <row r="88" customFormat="1" s="2">
      <c r="A88" s="6" t="n"/>
      <c r="B88" s="4" t="n"/>
      <c r="C88" s="14" t="inlineStr">
        <is>
          <t>Pantry Area</t>
        </is>
      </c>
      <c r="D88" s="5" t="n"/>
      <c r="E88" s="16" t="n"/>
      <c r="F88" s="16" t="n"/>
      <c r="G88" s="16" t="n"/>
      <c r="H88" s="17" t="n"/>
      <c r="I88" s="17" t="n"/>
      <c r="J88" s="17" t="n"/>
      <c r="K88" s="16" t="n">
        <v/>
      </c>
      <c r="L88" s="16" t="n">
        <v/>
      </c>
      <c r="M88" s="17" t="n">
        <v/>
      </c>
      <c r="N88" s="17" t="n">
        <v/>
      </c>
      <c r="O88" s="17" t="n">
        <v/>
      </c>
      <c r="P88" s="7" t="n"/>
    </row>
    <row r="89" customFormat="1" s="2">
      <c r="A89" s="6" t="n"/>
      <c r="B89" s="4" t="n"/>
      <c r="C89" s="4" t="inlineStr">
        <is>
          <t>CPVC Point</t>
        </is>
      </c>
      <c r="D89" s="5" t="inlineStr">
        <is>
          <t>L/s</t>
        </is>
      </c>
      <c r="E89" s="16" t="n"/>
      <c r="F89" s="16" t="n">
        <v>1</v>
      </c>
      <c r="G89" s="16" t="n"/>
      <c r="H89" s="17" t="n"/>
      <c r="I89" s="17" t="n"/>
      <c r="J89" s="17">
        <f>PRODUCT(F89:I89)</f>
        <v/>
      </c>
      <c r="K89" s="16" t="n">
        <v>1</v>
      </c>
      <c r="L89" s="16" t="n">
        <v/>
      </c>
      <c r="M89" s="17" t="n">
        <v/>
      </c>
      <c r="N89" s="17" t="n">
        <v/>
      </c>
      <c r="O89" s="17" t="n">
        <v/>
      </c>
      <c r="P89" s="7" t="n"/>
    </row>
    <row r="90" customFormat="1" s="2">
      <c r="A90" s="6" t="n"/>
      <c r="B90" s="4" t="n"/>
      <c r="C90" s="4" t="n"/>
      <c r="D90" s="5" t="n"/>
      <c r="E90" s="16" t="n"/>
      <c r="F90" s="16" t="n"/>
      <c r="G90" s="16" t="n"/>
      <c r="H90" s="17" t="n"/>
      <c r="I90" s="17" t="n"/>
      <c r="J90" s="17">
        <f>PRODUCT(F90:I90)</f>
        <v/>
      </c>
      <c r="K90" s="16" t="n">
        <v/>
      </c>
      <c r="L90" s="16" t="n">
        <v/>
      </c>
      <c r="M90" s="17" t="n">
        <v/>
      </c>
      <c r="N90" s="17" t="n">
        <v/>
      </c>
      <c r="O90" s="17" t="n">
        <v/>
      </c>
      <c r="P90" s="7" t="n"/>
    </row>
    <row r="91" customFormat="1" s="2">
      <c r="A91" s="111" t="n"/>
      <c r="B91" s="111" t="n"/>
      <c r="C91" s="112" t="inlineStr">
        <is>
          <t>Total Qty</t>
        </is>
      </c>
      <c r="D91" s="113" t="n"/>
      <c r="E91" s="114" t="n"/>
      <c r="F91" s="114" t="n"/>
      <c r="G91" s="114" t="n"/>
      <c r="H91" s="115" t="n"/>
      <c r="I91" s="115" t="n"/>
      <c r="J91" s="115">
        <f>ROUND(SUM(J84:J90),)</f>
        <v/>
      </c>
      <c r="K91" s="114" t="n">
        <v/>
      </c>
      <c r="L91" s="114" t="n">
        <v/>
      </c>
      <c r="M91" s="115" t="n">
        <v/>
      </c>
      <c r="N91" s="115" t="n">
        <v/>
      </c>
      <c r="O91" s="115" t="n">
        <v/>
      </c>
      <c r="P91" s="116" t="n"/>
    </row>
    <row r="92" customFormat="1" s="2">
      <c r="A92" s="6" t="n"/>
      <c r="B92" s="4" t="n"/>
      <c r="C92" s="4" t="n"/>
      <c r="D92" s="5" t="n"/>
      <c r="E92" s="16" t="n"/>
      <c r="F92" s="16" t="n"/>
      <c r="G92" s="16" t="n"/>
      <c r="H92" s="17" t="n"/>
      <c r="I92" s="17" t="n"/>
      <c r="J92" s="17" t="n"/>
      <c r="K92" s="16" t="n">
        <v/>
      </c>
      <c r="L92" s="16" t="n">
        <v/>
      </c>
      <c r="M92" s="17" t="n">
        <v/>
      </c>
      <c r="N92" s="17" t="n">
        <v/>
      </c>
      <c r="O92" s="17" t="n">
        <v/>
      </c>
      <c r="P92" s="7" t="n"/>
    </row>
    <row r="93" ht="124.2" customFormat="1" customHeight="1" s="2">
      <c r="A93" s="6">
        <f>A83+1</f>
        <v/>
      </c>
      <c r="B93" s="4" t="inlineStr">
        <is>
          <t>Water-proofing of toilet sunk and Pantry</t>
        </is>
      </c>
      <c r="C93" s="4" t="inlineStr">
        <is>
          <t>WATER PROOFING IN TOILETS FLOOR &amp;WALLS UPTO 2ft Ht : PROVIDING OF WATER PROOFING-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D93" s="7" t="inlineStr">
        <is>
          <t>Sft</t>
        </is>
      </c>
      <c r="E93" s="17" t="n">
        <v>259</v>
      </c>
      <c r="F93" s="16" t="n"/>
      <c r="G93" s="16" t="n"/>
      <c r="H93" s="16" t="n"/>
      <c r="I93" s="16" t="n"/>
      <c r="J93" s="16" t="n"/>
      <c r="K93" s="16" t="n">
        <v/>
      </c>
      <c r="L93" s="16" t="n">
        <v/>
      </c>
      <c r="M93" s="16" t="n">
        <v/>
      </c>
      <c r="N93" s="16" t="n">
        <v/>
      </c>
      <c r="O93" s="16" t="n">
        <v/>
      </c>
      <c r="P93" s="5" t="n"/>
    </row>
    <row r="94" customFormat="1" s="2">
      <c r="A94" s="6" t="n"/>
      <c r="B94" s="4" t="n"/>
      <c r="C94" s="14" t="inlineStr">
        <is>
          <t>Gents Toilet</t>
        </is>
      </c>
      <c r="D94" s="7" t="n"/>
      <c r="E94" s="17" t="n"/>
      <c r="F94" s="16" t="n"/>
      <c r="G94" s="16" t="n"/>
      <c r="H94" s="16" t="n"/>
      <c r="I94" s="16" t="n"/>
      <c r="J94" s="16">
        <f>PRODUCT(F94:I94)</f>
        <v/>
      </c>
      <c r="K94" s="16" t="n">
        <v/>
      </c>
      <c r="L94" s="16" t="n">
        <v/>
      </c>
      <c r="M94" s="16" t="n">
        <v/>
      </c>
      <c r="N94" s="16" t="n">
        <v/>
      </c>
      <c r="O94" s="16" t="n">
        <v/>
      </c>
      <c r="P94" s="5" t="n"/>
    </row>
    <row r="95" customFormat="1" s="2">
      <c r="A95" s="6" t="n"/>
      <c r="B95" s="4" t="n"/>
      <c r="C95" s="4" t="inlineStr">
        <is>
          <t>Floor Area</t>
        </is>
      </c>
      <c r="D95" s="7" t="inlineStr">
        <is>
          <t>Sq.ft</t>
        </is>
      </c>
      <c r="E95" s="17" t="n"/>
      <c r="F95" s="16" t="n">
        <v>1</v>
      </c>
      <c r="G95" s="16">
        <f>(8.83+9.92)/2</f>
        <v/>
      </c>
      <c r="H95" s="16" t="n">
        <v>4.17</v>
      </c>
      <c r="I95" s="16" t="n"/>
      <c r="J95" s="16">
        <f>PRODUCT(F95:I95)</f>
        <v/>
      </c>
      <c r="K95" s="16" t="n">
        <v>1</v>
      </c>
      <c r="L95" s="16" t="n">
        <v/>
      </c>
      <c r="M95" s="16" t="n">
        <v/>
      </c>
      <c r="N95" s="16" t="n">
        <v/>
      </c>
      <c r="O95" s="16" t="n">
        <v/>
      </c>
      <c r="P95" s="5" t="n"/>
    </row>
    <row r="96" customFormat="1" s="2">
      <c r="A96" s="6" t="n"/>
      <c r="B96" s="4" t="n"/>
      <c r="C96" s="4" t="inlineStr">
        <is>
          <t>Add Door Sill</t>
        </is>
      </c>
      <c r="D96" s="7" t="inlineStr">
        <is>
          <t>Sq.ft</t>
        </is>
      </c>
      <c r="E96" s="17" t="n"/>
      <c r="F96" s="16" t="n">
        <v>1</v>
      </c>
      <c r="G96" s="16" t="n">
        <v>2.5</v>
      </c>
      <c r="H96" s="16" t="n">
        <v>0.5</v>
      </c>
      <c r="I96" s="16" t="n"/>
      <c r="J96" s="16">
        <f>PRODUCT(F96:I96)</f>
        <v/>
      </c>
      <c r="K96" s="16" t="n">
        <v>1</v>
      </c>
      <c r="L96" s="16" t="n">
        <v/>
      </c>
      <c r="M96" s="16" t="n">
        <v/>
      </c>
      <c r="N96" s="16" t="n">
        <v/>
      </c>
      <c r="O96" s="16" t="n">
        <v/>
      </c>
      <c r="P96" s="5" t="n"/>
    </row>
    <row r="97" customFormat="1" s="2">
      <c r="A97" s="6" t="n"/>
      <c r="B97" s="4" t="n"/>
      <c r="C97" s="4" t="inlineStr">
        <is>
          <t xml:space="preserve">Add Vertical </t>
        </is>
      </c>
      <c r="D97" s="7" t="inlineStr">
        <is>
          <t>Sq.ft</t>
        </is>
      </c>
      <c r="E97" s="17" t="n"/>
      <c r="F97" s="16" t="n">
        <v>1</v>
      </c>
      <c r="G97" s="16" t="n">
        <v>8.83</v>
      </c>
      <c r="H97" s="16" t="n"/>
      <c r="I97" s="16" t="n">
        <v>3.28</v>
      </c>
      <c r="J97" s="16">
        <f>PRODUCT(F97:I97)</f>
        <v/>
      </c>
      <c r="K97" s="16" t="n">
        <v>1</v>
      </c>
      <c r="L97" s="16" t="n">
        <v/>
      </c>
      <c r="M97" s="16" t="n">
        <v/>
      </c>
      <c r="N97" s="16" t="n">
        <v/>
      </c>
      <c r="O97" s="16" t="n">
        <v/>
      </c>
      <c r="P97" s="5" t="n"/>
    </row>
    <row r="98" customFormat="1" s="2">
      <c r="A98" s="6" t="n"/>
      <c r="B98" s="4" t="n"/>
      <c r="C98" s="4" t="inlineStr">
        <is>
          <t xml:space="preserve">Add Vertical </t>
        </is>
      </c>
      <c r="D98" s="7" t="inlineStr">
        <is>
          <t>Sq.ft</t>
        </is>
      </c>
      <c r="E98" s="17" t="n"/>
      <c r="F98" s="16" t="n">
        <v>1</v>
      </c>
      <c r="G98" s="16" t="n">
        <v>9.92</v>
      </c>
      <c r="H98" s="16" t="n"/>
      <c r="I98" s="16" t="n">
        <v>3.28</v>
      </c>
      <c r="J98" s="16">
        <f>PRODUCT(F98:I98)</f>
        <v/>
      </c>
      <c r="K98" s="16" t="n">
        <v>1</v>
      </c>
      <c r="L98" s="16" t="n">
        <v/>
      </c>
      <c r="M98" s="16" t="n">
        <v/>
      </c>
      <c r="N98" s="16" t="n">
        <v/>
      </c>
      <c r="O98" s="16" t="n">
        <v/>
      </c>
      <c r="P98" s="5" t="n"/>
    </row>
    <row r="99" customFormat="1" s="2">
      <c r="A99" s="6" t="n"/>
      <c r="B99" s="4" t="n"/>
      <c r="C99" s="4" t="inlineStr">
        <is>
          <t xml:space="preserve">Add Vertical </t>
        </is>
      </c>
      <c r="D99" s="7" t="inlineStr">
        <is>
          <t>Sq.ft</t>
        </is>
      </c>
      <c r="E99" s="17" t="n"/>
      <c r="F99" s="16" t="n">
        <v>1</v>
      </c>
      <c r="G99" s="16" t="n">
        <v>4</v>
      </c>
      <c r="H99" s="16" t="n"/>
      <c r="I99" s="16" t="n">
        <v>3.28</v>
      </c>
      <c r="J99" s="16">
        <f>PRODUCT(F99:I99)</f>
        <v/>
      </c>
      <c r="K99" s="16" t="n">
        <v>1</v>
      </c>
      <c r="L99" s="16" t="n">
        <v/>
      </c>
      <c r="M99" s="16" t="n">
        <v/>
      </c>
      <c r="N99" s="16" t="n">
        <v/>
      </c>
      <c r="O99" s="16" t="n">
        <v/>
      </c>
      <c r="P99" s="5" t="n"/>
    </row>
    <row r="100" customFormat="1" s="2">
      <c r="A100" s="6" t="n"/>
      <c r="B100" s="4" t="n"/>
      <c r="C100" s="4" t="inlineStr">
        <is>
          <t xml:space="preserve">Add Vertical </t>
        </is>
      </c>
      <c r="D100" s="7" t="inlineStr">
        <is>
          <t>Sq.ft</t>
        </is>
      </c>
      <c r="E100" s="17" t="n"/>
      <c r="F100" s="16" t="n">
        <v>1</v>
      </c>
      <c r="G100" s="16" t="n">
        <v>4.08</v>
      </c>
      <c r="H100" s="16" t="n"/>
      <c r="I100" s="16" t="n">
        <v>3.28</v>
      </c>
      <c r="J100" s="16">
        <f>PRODUCT(F100:I100)</f>
        <v/>
      </c>
      <c r="K100" s="16" t="n">
        <v>1</v>
      </c>
      <c r="L100" s="16" t="n">
        <v/>
      </c>
      <c r="M100" s="16" t="n">
        <v/>
      </c>
      <c r="N100" s="16" t="n">
        <v/>
      </c>
      <c r="O100" s="16" t="n">
        <v/>
      </c>
      <c r="P100" s="5" t="n"/>
    </row>
    <row r="101" customFormat="1" s="2">
      <c r="A101" s="6" t="n"/>
      <c r="B101" s="4" t="n"/>
      <c r="C101" s="4" t="inlineStr">
        <is>
          <t>Door Area Less ( - )</t>
        </is>
      </c>
      <c r="D101" s="7" t="inlineStr">
        <is>
          <t>Sq.ft</t>
        </is>
      </c>
      <c r="E101" s="17" t="n"/>
      <c r="F101" s="16" t="n">
        <v>-1</v>
      </c>
      <c r="G101" s="16" t="n">
        <v>2.5</v>
      </c>
      <c r="H101" s="16" t="n"/>
      <c r="I101" s="16" t="n">
        <v>3.28</v>
      </c>
      <c r="J101" s="16">
        <f>PRODUCT(F101:I101)</f>
        <v/>
      </c>
      <c r="K101" s="16" t="n">
        <v>-1</v>
      </c>
      <c r="L101" s="16" t="n">
        <v/>
      </c>
      <c r="M101" s="16" t="n">
        <v/>
      </c>
      <c r="N101" s="16" t="n">
        <v/>
      </c>
      <c r="O101" s="16" t="n">
        <v/>
      </c>
      <c r="P101" s="5" t="n"/>
    </row>
    <row r="102" customFormat="1" s="2">
      <c r="A102" s="6" t="n"/>
      <c r="B102" s="4" t="n"/>
      <c r="C102" s="4" t="inlineStr">
        <is>
          <t>Add Door Jamb</t>
        </is>
      </c>
      <c r="D102" s="7" t="inlineStr">
        <is>
          <t>Sq.ft</t>
        </is>
      </c>
      <c r="E102" s="17" t="n"/>
      <c r="F102" s="16" t="n">
        <v>2</v>
      </c>
      <c r="G102" s="16" t="n">
        <v>0.5</v>
      </c>
      <c r="H102" s="16" t="n"/>
      <c r="I102" s="16" t="n">
        <v>3.28</v>
      </c>
      <c r="J102" s="16">
        <f>PRODUCT(F102:I102)</f>
        <v/>
      </c>
      <c r="K102" s="16" t="n">
        <v>2</v>
      </c>
      <c r="L102" s="16" t="n">
        <v/>
      </c>
      <c r="M102" s="16" t="n">
        <v/>
      </c>
      <c r="N102" s="16" t="n">
        <v/>
      </c>
      <c r="O102" s="16" t="n">
        <v/>
      </c>
      <c r="P102" s="5" t="n"/>
    </row>
    <row r="103" customFormat="1" s="2">
      <c r="A103" s="6" t="n"/>
      <c r="B103" s="4" t="n"/>
      <c r="C103" s="14" t="inlineStr">
        <is>
          <t>Toilet Passage Area</t>
        </is>
      </c>
      <c r="D103" s="7" t="n"/>
      <c r="E103" s="17" t="n"/>
      <c r="F103" s="16" t="n"/>
      <c r="G103" s="16" t="n"/>
      <c r="H103" s="16" t="n"/>
      <c r="I103" s="16" t="n"/>
      <c r="J103" s="16">
        <f>PRODUCT(F103:I103)</f>
        <v/>
      </c>
      <c r="K103" s="16" t="n">
        <v/>
      </c>
      <c r="L103" s="16" t="n">
        <v/>
      </c>
      <c r="M103" s="16" t="n">
        <v/>
      </c>
      <c r="N103" s="16" t="n">
        <v/>
      </c>
      <c r="O103" s="16" t="n">
        <v/>
      </c>
      <c r="P103" s="5" t="n"/>
    </row>
    <row r="104" customFormat="1" s="2">
      <c r="A104" s="6" t="n"/>
      <c r="B104" s="4" t="n"/>
      <c r="C104" s="4" t="inlineStr">
        <is>
          <t>Floor Area</t>
        </is>
      </c>
      <c r="D104" s="7" t="inlineStr">
        <is>
          <t>Sq.ft</t>
        </is>
      </c>
      <c r="E104" s="17" t="n"/>
      <c r="F104" s="16" t="n">
        <v>1</v>
      </c>
      <c r="G104" s="16" t="n">
        <v>3.25</v>
      </c>
      <c r="H104" s="16" t="n">
        <v>3.92</v>
      </c>
      <c r="I104" s="16" t="n"/>
      <c r="J104" s="16">
        <f>PRODUCT(E104:I104)</f>
        <v/>
      </c>
      <c r="K104" s="16" t="n">
        <v>1</v>
      </c>
      <c r="L104" s="16" t="n">
        <v/>
      </c>
      <c r="M104" s="16" t="n">
        <v/>
      </c>
      <c r="N104" s="16" t="n">
        <v/>
      </c>
      <c r="O104" s="16" t="n">
        <v/>
      </c>
      <c r="P104" s="5" t="n"/>
    </row>
    <row r="105" customFormat="1" s="2">
      <c r="A105" s="6" t="n"/>
      <c r="B105" s="4" t="n"/>
      <c r="C105" s="4" t="inlineStr">
        <is>
          <t>Add Door Sill</t>
        </is>
      </c>
      <c r="D105" s="7" t="inlineStr">
        <is>
          <t>Sq.ft</t>
        </is>
      </c>
      <c r="E105" s="17" t="n"/>
      <c r="F105" s="16" t="n">
        <v>1</v>
      </c>
      <c r="G105" s="16" t="n">
        <v>2.5</v>
      </c>
      <c r="H105" s="16" t="n">
        <v>0.5</v>
      </c>
      <c r="I105" s="16" t="n"/>
      <c r="J105" s="16">
        <f>PRODUCT(E105:I105)</f>
        <v/>
      </c>
      <c r="K105" s="16" t="n">
        <v>1</v>
      </c>
      <c r="L105" s="16" t="n">
        <v/>
      </c>
      <c r="M105" s="16" t="n">
        <v/>
      </c>
      <c r="N105" s="16" t="n">
        <v/>
      </c>
      <c r="O105" s="16" t="n">
        <v/>
      </c>
      <c r="P105" s="5" t="n"/>
    </row>
    <row r="106" customFormat="1" s="2">
      <c r="A106" s="6" t="n"/>
      <c r="B106" s="4" t="n"/>
      <c r="C106" s="4" t="inlineStr">
        <is>
          <t xml:space="preserve">Add Vertical </t>
        </is>
      </c>
      <c r="D106" s="7" t="inlineStr">
        <is>
          <t>Sq.ft</t>
        </is>
      </c>
      <c r="E106" s="17" t="n"/>
      <c r="F106" s="16" t="n">
        <v>2</v>
      </c>
      <c r="G106" s="16">
        <f>G104</f>
        <v/>
      </c>
      <c r="H106" s="16" t="n"/>
      <c r="I106" s="16" t="n">
        <v>3.28</v>
      </c>
      <c r="J106" s="16">
        <f>PRODUCT(E106:I106)</f>
        <v/>
      </c>
      <c r="K106" s="16" t="n">
        <v>2</v>
      </c>
      <c r="L106" s="16" t="n">
        <v/>
      </c>
      <c r="M106" s="16" t="n">
        <v/>
      </c>
      <c r="N106" s="16" t="n">
        <v/>
      </c>
      <c r="O106" s="16" t="n">
        <v/>
      </c>
      <c r="P106" s="5" t="n"/>
    </row>
    <row r="107" customFormat="1" s="2">
      <c r="A107" s="6" t="n"/>
      <c r="B107" s="4" t="n"/>
      <c r="C107" s="4" t="inlineStr">
        <is>
          <t xml:space="preserve">Add Vertical </t>
        </is>
      </c>
      <c r="D107" s="7" t="inlineStr">
        <is>
          <t>Sq.ft</t>
        </is>
      </c>
      <c r="E107" s="17" t="n"/>
      <c r="F107" s="16" t="n">
        <v>2</v>
      </c>
      <c r="G107" s="16">
        <f>H104</f>
        <v/>
      </c>
      <c r="H107" s="16" t="n"/>
      <c r="I107" s="16" t="n">
        <v>3.28</v>
      </c>
      <c r="J107" s="16">
        <f>PRODUCT(E107:I107)</f>
        <v/>
      </c>
      <c r="K107" s="16" t="n">
        <v>2</v>
      </c>
      <c r="L107" s="16" t="n">
        <v/>
      </c>
      <c r="M107" s="16" t="n">
        <v/>
      </c>
      <c r="N107" s="16" t="n">
        <v/>
      </c>
      <c r="O107" s="16" t="n">
        <v/>
      </c>
      <c r="P107" s="5" t="n"/>
    </row>
    <row r="108" customFormat="1" s="2">
      <c r="A108" s="6" t="n"/>
      <c r="B108" s="4" t="n"/>
      <c r="C108" s="4" t="inlineStr">
        <is>
          <t>Add Door Jamb</t>
        </is>
      </c>
      <c r="D108" s="7" t="inlineStr">
        <is>
          <t>Sq.ft</t>
        </is>
      </c>
      <c r="E108" s="17" t="n"/>
      <c r="F108" s="16" t="n">
        <v>2</v>
      </c>
      <c r="G108" s="16" t="n">
        <v>0.5</v>
      </c>
      <c r="H108" s="16" t="n"/>
      <c r="I108" s="16" t="n">
        <v>3.28</v>
      </c>
      <c r="J108" s="16">
        <f>PRODUCT(E108:I108)</f>
        <v/>
      </c>
      <c r="K108" s="16" t="n">
        <v>2</v>
      </c>
      <c r="L108" s="16" t="n">
        <v/>
      </c>
      <c r="M108" s="16" t="n">
        <v/>
      </c>
      <c r="N108" s="16" t="n">
        <v/>
      </c>
      <c r="O108" s="16" t="n">
        <v/>
      </c>
      <c r="P108" s="5" t="n"/>
    </row>
    <row r="109" customFormat="1" s="2">
      <c r="A109" s="6" t="n"/>
      <c r="B109" s="4" t="n"/>
      <c r="C109" s="4" t="inlineStr">
        <is>
          <t>Door Area Less ( - )</t>
        </is>
      </c>
      <c r="D109" s="7" t="inlineStr">
        <is>
          <t>Sq.ft</t>
        </is>
      </c>
      <c r="E109" s="17" t="n"/>
      <c r="F109" s="16" t="n">
        <v>-3</v>
      </c>
      <c r="G109" s="16" t="n">
        <v>2.5</v>
      </c>
      <c r="H109" s="16" t="n"/>
      <c r="I109" s="16" t="n">
        <v>3.28</v>
      </c>
      <c r="J109" s="16">
        <f>PRODUCT(E109:I109)</f>
        <v/>
      </c>
      <c r="K109" s="16" t="n">
        <v>-3</v>
      </c>
      <c r="L109" s="16" t="n">
        <v/>
      </c>
      <c r="M109" s="16" t="n">
        <v/>
      </c>
      <c r="N109" s="16" t="n">
        <v/>
      </c>
      <c r="O109" s="16" t="n">
        <v/>
      </c>
      <c r="P109" s="5" t="n"/>
    </row>
    <row r="110" customFormat="1" s="2">
      <c r="A110" s="6" t="n"/>
      <c r="B110" s="4" t="n"/>
      <c r="C110" s="14" t="inlineStr">
        <is>
          <t>Ladies Toilet</t>
        </is>
      </c>
      <c r="D110" s="7" t="n"/>
      <c r="E110" s="17" t="n"/>
      <c r="F110" s="16" t="n"/>
      <c r="G110" s="16" t="n"/>
      <c r="H110" s="16" t="n"/>
      <c r="I110" s="16" t="n"/>
      <c r="J110" s="16">
        <f>PRODUCT(F110:I110)</f>
        <v/>
      </c>
      <c r="K110" s="16" t="n">
        <v/>
      </c>
      <c r="L110" s="16" t="n">
        <v/>
      </c>
      <c r="M110" s="16" t="n">
        <v/>
      </c>
      <c r="N110" s="16" t="n">
        <v/>
      </c>
      <c r="O110" s="16" t="n">
        <v/>
      </c>
      <c r="P110" s="5" t="n"/>
    </row>
    <row r="111" customFormat="1" s="2">
      <c r="A111" s="6" t="n"/>
      <c r="B111" s="4" t="n"/>
      <c r="C111" s="4" t="inlineStr">
        <is>
          <t>Floor Area</t>
        </is>
      </c>
      <c r="D111" s="7" t="inlineStr">
        <is>
          <t>Sq.ft</t>
        </is>
      </c>
      <c r="E111" s="17" t="n"/>
      <c r="F111" s="16" t="n">
        <v>1</v>
      </c>
      <c r="G111" s="16" t="n">
        <v>3.92</v>
      </c>
      <c r="H111" s="16">
        <f>(6.12+6.25)/2</f>
        <v/>
      </c>
      <c r="I111" s="16" t="n"/>
      <c r="J111" s="16">
        <f>PRODUCT(F111:I111)</f>
        <v/>
      </c>
      <c r="K111" s="16" t="n">
        <v>1</v>
      </c>
      <c r="L111" s="16" t="n">
        <v/>
      </c>
      <c r="M111" s="16" t="n">
        <v/>
      </c>
      <c r="N111" s="16" t="n">
        <v/>
      </c>
      <c r="O111" s="16" t="n">
        <v/>
      </c>
      <c r="P111" s="5" t="n"/>
    </row>
    <row r="112" customFormat="1" s="2">
      <c r="A112" s="6" t="n"/>
      <c r="B112" s="4" t="n"/>
      <c r="C112" s="4" t="inlineStr">
        <is>
          <t>Add Door Sill</t>
        </is>
      </c>
      <c r="D112" s="7" t="inlineStr">
        <is>
          <t>Sq.ft</t>
        </is>
      </c>
      <c r="E112" s="17" t="n"/>
      <c r="F112" s="16" t="n">
        <v>1</v>
      </c>
      <c r="G112" s="16" t="n">
        <v>2.5</v>
      </c>
      <c r="H112" s="16" t="n">
        <v>0.5</v>
      </c>
      <c r="I112" s="16" t="n"/>
      <c r="J112" s="16">
        <f>PRODUCT(F112:I112)</f>
        <v/>
      </c>
      <c r="K112" s="16" t="n">
        <v>1</v>
      </c>
      <c r="L112" s="16" t="n">
        <v/>
      </c>
      <c r="M112" s="16" t="n">
        <v/>
      </c>
      <c r="N112" s="16" t="n">
        <v/>
      </c>
      <c r="O112" s="16" t="n">
        <v/>
      </c>
      <c r="P112" s="5" t="n"/>
    </row>
    <row r="113" customFormat="1" s="2">
      <c r="A113" s="6" t="n"/>
      <c r="B113" s="4" t="n"/>
      <c r="C113" s="4" t="inlineStr">
        <is>
          <t xml:space="preserve">Add Vertical </t>
        </is>
      </c>
      <c r="D113" s="7" t="inlineStr">
        <is>
          <t>Sq.ft</t>
        </is>
      </c>
      <c r="E113" s="17" t="n"/>
      <c r="F113" s="16" t="n">
        <v>1</v>
      </c>
      <c r="G113" s="16" t="n">
        <v>6.12</v>
      </c>
      <c r="H113" s="16" t="n"/>
      <c r="I113" s="16" t="n">
        <v>3.28</v>
      </c>
      <c r="J113" s="16">
        <f>PRODUCT(F113:I113)</f>
        <v/>
      </c>
      <c r="K113" s="16" t="n">
        <v>1</v>
      </c>
      <c r="L113" s="16" t="n">
        <v/>
      </c>
      <c r="M113" s="16" t="n">
        <v/>
      </c>
      <c r="N113" s="16" t="n">
        <v/>
      </c>
      <c r="O113" s="16" t="n">
        <v/>
      </c>
      <c r="P113" s="5" t="n"/>
    </row>
    <row r="114" customFormat="1" s="2">
      <c r="A114" s="6" t="n"/>
      <c r="B114" s="4" t="n"/>
      <c r="C114" s="4" t="inlineStr">
        <is>
          <t xml:space="preserve">Add Vertical </t>
        </is>
      </c>
      <c r="D114" s="7" t="inlineStr">
        <is>
          <t>Sq.ft</t>
        </is>
      </c>
      <c r="E114" s="17" t="n"/>
      <c r="F114" s="16" t="n">
        <v>1</v>
      </c>
      <c r="G114" s="16" t="n">
        <v>3.92</v>
      </c>
      <c r="H114" s="16" t="n"/>
      <c r="I114" s="16" t="n">
        <v>3.28</v>
      </c>
      <c r="J114" s="16">
        <f>PRODUCT(F114:I114)</f>
        <v/>
      </c>
      <c r="K114" s="16" t="n">
        <v>1</v>
      </c>
      <c r="L114" s="16" t="n">
        <v/>
      </c>
      <c r="M114" s="16" t="n">
        <v/>
      </c>
      <c r="N114" s="16" t="n">
        <v/>
      </c>
      <c r="O114" s="16" t="n">
        <v/>
      </c>
      <c r="P114" s="5" t="n"/>
    </row>
    <row r="115" customFormat="1" s="2">
      <c r="A115" s="6" t="n"/>
      <c r="B115" s="4" t="n"/>
      <c r="C115" s="4" t="inlineStr">
        <is>
          <t xml:space="preserve">Add Vertical </t>
        </is>
      </c>
      <c r="D115" s="7" t="inlineStr">
        <is>
          <t>Sq.ft</t>
        </is>
      </c>
      <c r="E115" s="17" t="n"/>
      <c r="F115" s="16" t="n">
        <v>1</v>
      </c>
      <c r="G115" s="16" t="n">
        <v>6.25</v>
      </c>
      <c r="H115" s="16" t="n"/>
      <c r="I115" s="16" t="n">
        <v>3.28</v>
      </c>
      <c r="J115" s="16">
        <f>PRODUCT(F115:I115)</f>
        <v/>
      </c>
      <c r="K115" s="16" t="n">
        <v>1</v>
      </c>
      <c r="L115" s="16" t="n">
        <v/>
      </c>
      <c r="M115" s="16" t="n">
        <v/>
      </c>
      <c r="N115" s="16" t="n">
        <v/>
      </c>
      <c r="O115" s="16" t="n">
        <v/>
      </c>
      <c r="P115" s="5" t="n"/>
    </row>
    <row r="116" customFormat="1" s="2">
      <c r="A116" s="6" t="n"/>
      <c r="B116" s="4" t="n"/>
      <c r="C116" s="4" t="inlineStr">
        <is>
          <t xml:space="preserve">Add Vertical </t>
        </is>
      </c>
      <c r="D116" s="7" t="inlineStr">
        <is>
          <t>Sq.ft</t>
        </is>
      </c>
      <c r="E116" s="17" t="n"/>
      <c r="F116" s="16" t="n">
        <v>1</v>
      </c>
      <c r="G116" s="16" t="n">
        <v>3.92</v>
      </c>
      <c r="H116" s="16" t="n"/>
      <c r="I116" s="16" t="n">
        <v>3.28</v>
      </c>
      <c r="J116" s="16">
        <f>PRODUCT(F116:I116)</f>
        <v/>
      </c>
      <c r="K116" s="16" t="n">
        <v>1</v>
      </c>
      <c r="L116" s="16" t="n">
        <v/>
      </c>
      <c r="M116" s="16" t="n">
        <v/>
      </c>
      <c r="N116" s="16" t="n">
        <v/>
      </c>
      <c r="O116" s="16" t="n">
        <v/>
      </c>
      <c r="P116" s="5" t="n"/>
    </row>
    <row r="117" customFormat="1" s="2">
      <c r="A117" s="6" t="n"/>
      <c r="B117" s="4" t="n"/>
      <c r="C117" s="4" t="inlineStr">
        <is>
          <t>Door Area Less ( - )</t>
        </is>
      </c>
      <c r="D117" s="7" t="inlineStr">
        <is>
          <t>Sq.ft</t>
        </is>
      </c>
      <c r="E117" s="17" t="n"/>
      <c r="F117" s="16" t="n">
        <v>-1</v>
      </c>
      <c r="G117" s="16" t="n">
        <v>2.5</v>
      </c>
      <c r="H117" s="16" t="n"/>
      <c r="I117" s="16" t="n">
        <v>3.28</v>
      </c>
      <c r="J117" s="16">
        <f>PRODUCT(F117:I117)</f>
        <v/>
      </c>
      <c r="K117" s="16" t="n">
        <v>-1</v>
      </c>
      <c r="L117" s="16" t="n">
        <v/>
      </c>
      <c r="M117" s="16" t="n">
        <v/>
      </c>
      <c r="N117" s="16" t="n">
        <v/>
      </c>
      <c r="O117" s="16" t="n">
        <v/>
      </c>
      <c r="P117" s="5" t="n"/>
    </row>
    <row r="118" customFormat="1" s="2">
      <c r="A118" s="6" t="n"/>
      <c r="B118" s="4" t="n"/>
      <c r="C118" s="4" t="inlineStr">
        <is>
          <t>Add Door Jamb</t>
        </is>
      </c>
      <c r="D118" s="7" t="inlineStr">
        <is>
          <t>Sq.ft</t>
        </is>
      </c>
      <c r="E118" s="17" t="n"/>
      <c r="F118" s="16" t="n">
        <v>2</v>
      </c>
      <c r="G118" s="16" t="n">
        <v>0.5</v>
      </c>
      <c r="H118" s="16" t="n"/>
      <c r="I118" s="16" t="n">
        <v>3.28</v>
      </c>
      <c r="J118" s="16">
        <f>PRODUCT(F118:I118)</f>
        <v/>
      </c>
      <c r="K118" s="16" t="n">
        <v>2</v>
      </c>
      <c r="L118" s="16" t="n">
        <v/>
      </c>
      <c r="M118" s="16" t="n">
        <v/>
      </c>
      <c r="N118" s="16" t="n">
        <v/>
      </c>
      <c r="O118" s="16" t="n">
        <v/>
      </c>
      <c r="P118" s="5" t="n"/>
    </row>
    <row r="119" customFormat="1" s="2">
      <c r="A119" s="6" t="n"/>
      <c r="B119" s="4" t="n"/>
      <c r="C119" s="14" t="inlineStr">
        <is>
          <t>Pantry Area</t>
        </is>
      </c>
      <c r="D119" s="7" t="n"/>
      <c r="E119" s="17" t="n"/>
      <c r="F119" s="16" t="n"/>
      <c r="G119" s="16" t="n"/>
      <c r="H119" s="16" t="n"/>
      <c r="I119" s="16" t="n"/>
      <c r="J119" s="16">
        <f>PRODUCT(F119:I119)</f>
        <v/>
      </c>
      <c r="K119" s="16" t="n">
        <v/>
      </c>
      <c r="L119" s="16" t="n">
        <v/>
      </c>
      <c r="M119" s="16" t="n">
        <v/>
      </c>
      <c r="N119" s="16" t="n">
        <v/>
      </c>
      <c r="O119" s="16" t="n">
        <v/>
      </c>
      <c r="P119" s="5" t="n"/>
    </row>
    <row r="120" customFormat="1" s="2">
      <c r="A120" s="6" t="n"/>
      <c r="B120" s="4" t="n"/>
      <c r="C120" s="4" t="inlineStr">
        <is>
          <t>Counter Side</t>
        </is>
      </c>
      <c r="D120" s="7" t="inlineStr">
        <is>
          <t>Sq.ft</t>
        </is>
      </c>
      <c r="E120" s="17" t="n">
        <v>0</v>
      </c>
      <c r="F120" s="16" t="n">
        <v>1</v>
      </c>
      <c r="G120" s="16" t="n">
        <v>5.25</v>
      </c>
      <c r="H120" s="16" t="n"/>
      <c r="I120" s="16" t="n">
        <v>3.28</v>
      </c>
      <c r="J120" s="16">
        <f>PRODUCT(E120:I120)</f>
        <v/>
      </c>
      <c r="K120" s="16" t="n">
        <v>1</v>
      </c>
      <c r="L120" s="16" t="n">
        <v/>
      </c>
      <c r="M120" s="16" t="n">
        <v/>
      </c>
      <c r="N120" s="16" t="n">
        <v/>
      </c>
      <c r="O120" s="16" t="n">
        <v/>
      </c>
      <c r="P120" s="5" t="inlineStr">
        <is>
          <t>Not done</t>
        </is>
      </c>
    </row>
    <row r="121" customFormat="1" s="2">
      <c r="A121" s="6" t="n"/>
      <c r="B121" s="4" t="n"/>
      <c r="C121" s="4" t="inlineStr">
        <is>
          <t>Counter Side</t>
        </is>
      </c>
      <c r="D121" s="7" t="inlineStr">
        <is>
          <t>Sq.ft</t>
        </is>
      </c>
      <c r="E121" s="17" t="n">
        <v>0</v>
      </c>
      <c r="F121" s="16" t="n">
        <v>1</v>
      </c>
      <c r="G121" s="16" t="n">
        <v>2</v>
      </c>
      <c r="H121" s="16" t="n"/>
      <c r="I121" s="16" t="n">
        <v>3.28</v>
      </c>
      <c r="J121" s="16">
        <f>PRODUCT(E121:I121)</f>
        <v/>
      </c>
      <c r="K121" s="16" t="n">
        <v>1</v>
      </c>
      <c r="L121" s="16" t="n">
        <v/>
      </c>
      <c r="M121" s="16" t="n">
        <v/>
      </c>
      <c r="N121" s="16" t="n">
        <v/>
      </c>
      <c r="O121" s="16" t="n">
        <v/>
      </c>
      <c r="P121" s="5" t="n"/>
    </row>
    <row r="122" customFormat="1" s="2">
      <c r="A122" s="6" t="n"/>
      <c r="B122" s="4" t="n"/>
      <c r="C122" s="4" t="n"/>
      <c r="D122" s="7" t="n"/>
      <c r="E122" s="17" t="n"/>
      <c r="F122" s="16" t="n"/>
      <c r="G122" s="16" t="n"/>
      <c r="H122" s="16" t="n"/>
      <c r="I122" s="16" t="n"/>
      <c r="J122" s="16">
        <f>PRODUCT(F122:I122)</f>
        <v/>
      </c>
      <c r="K122" s="16" t="n">
        <v/>
      </c>
      <c r="L122" s="16" t="n">
        <v/>
      </c>
      <c r="M122" s="16" t="n">
        <v/>
      </c>
      <c r="N122" s="16" t="n">
        <v/>
      </c>
      <c r="O122" s="16" t="n">
        <v/>
      </c>
      <c r="P122" s="5" t="n"/>
    </row>
    <row r="123" customFormat="1" s="2">
      <c r="A123" s="6" t="n"/>
      <c r="B123" s="4" t="n"/>
      <c r="C123" s="112" t="inlineStr">
        <is>
          <t>Total Qty</t>
        </is>
      </c>
      <c r="D123" s="7" t="n"/>
      <c r="E123" s="17" t="n"/>
      <c r="F123" s="16" t="n"/>
      <c r="G123" s="16" t="n"/>
      <c r="H123" s="16" t="n"/>
      <c r="I123" s="16" t="n"/>
      <c r="J123" s="26">
        <f>ROUND(SUM(J94:J122),)</f>
        <v/>
      </c>
      <c r="K123" s="16" t="n">
        <v/>
      </c>
      <c r="L123" s="16" t="n">
        <v/>
      </c>
      <c r="M123" s="16" t="n">
        <v/>
      </c>
      <c r="N123" s="16" t="n">
        <v/>
      </c>
      <c r="O123" s="26" t="n">
        <v/>
      </c>
      <c r="P123" s="5" t="n"/>
    </row>
    <row r="124" customFormat="1" s="2">
      <c r="A124" s="6" t="n"/>
      <c r="B124" s="4" t="n"/>
      <c r="C124" s="4" t="n"/>
      <c r="D124" s="7" t="n"/>
      <c r="E124" s="17" t="n"/>
      <c r="F124" s="16" t="n"/>
      <c r="G124" s="16" t="n"/>
      <c r="H124" s="16" t="n"/>
      <c r="I124" s="16" t="n"/>
      <c r="J124" s="16" t="n"/>
      <c r="K124" s="16" t="n">
        <v/>
      </c>
      <c r="L124" s="16" t="n">
        <v/>
      </c>
      <c r="M124" s="16" t="n">
        <v/>
      </c>
      <c r="N124" s="16" t="n">
        <v/>
      </c>
      <c r="O124" s="16" t="n">
        <v/>
      </c>
      <c r="P124" s="5" t="n"/>
    </row>
    <row r="125" ht="138" customFormat="1" customHeight="1" s="2">
      <c r="A125" s="6">
        <f>A93+1</f>
        <v/>
      </c>
      <c r="B125" s="4" t="inlineStr">
        <is>
          <t>Brick Bat Coba in Toilet Area</t>
        </is>
      </c>
      <c r="C125"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D125" s="7" t="inlineStr">
        <is>
          <t>Sft</t>
        </is>
      </c>
      <c r="E125" s="17" t="n">
        <v>77</v>
      </c>
      <c r="F125" s="16" t="n"/>
      <c r="G125" s="16" t="n"/>
      <c r="H125" s="16" t="n"/>
      <c r="I125" s="16" t="n"/>
      <c r="J125" s="16" t="n"/>
      <c r="K125" s="16" t="n">
        <v/>
      </c>
      <c r="L125" s="16" t="n">
        <v/>
      </c>
      <c r="M125" s="16" t="n">
        <v/>
      </c>
      <c r="N125" s="16" t="n">
        <v/>
      </c>
      <c r="O125" s="16" t="n">
        <v/>
      </c>
      <c r="P125" s="5" t="n"/>
    </row>
    <row r="126" customFormat="1" s="2">
      <c r="A126" s="6" t="n"/>
      <c r="B126" s="4" t="n"/>
      <c r="C126" s="14" t="inlineStr">
        <is>
          <t>Gents Toilet</t>
        </is>
      </c>
      <c r="D126" s="7" t="n"/>
      <c r="E126" s="17" t="n"/>
      <c r="F126" s="16" t="n"/>
      <c r="G126" s="16" t="n"/>
      <c r="H126" s="16" t="n"/>
      <c r="I126" s="16" t="n"/>
      <c r="J126" s="16">
        <f>PRODUCT(F126:I126)</f>
        <v/>
      </c>
      <c r="K126" s="16" t="n">
        <v/>
      </c>
      <c r="L126" s="16" t="n">
        <v/>
      </c>
      <c r="M126" s="16" t="n">
        <v/>
      </c>
      <c r="N126" s="16" t="n">
        <v/>
      </c>
      <c r="O126" s="16" t="n">
        <v/>
      </c>
      <c r="P126" s="5" t="n"/>
    </row>
    <row r="127" customFormat="1" s="2">
      <c r="A127" s="6" t="n"/>
      <c r="B127" s="4" t="n"/>
      <c r="C127" s="4" t="inlineStr">
        <is>
          <t>Floor Area</t>
        </is>
      </c>
      <c r="D127" s="7" t="inlineStr">
        <is>
          <t>Sq.ft</t>
        </is>
      </c>
      <c r="E127" s="17" t="n"/>
      <c r="F127" s="16" t="n">
        <v>1</v>
      </c>
      <c r="G127" s="16">
        <f>(8.83+9.92)/2</f>
        <v/>
      </c>
      <c r="H127" s="16" t="n">
        <v>4.17</v>
      </c>
      <c r="I127" s="16" t="n"/>
      <c r="J127" s="16">
        <f>PRODUCT(F127:I127)</f>
        <v/>
      </c>
      <c r="K127" s="16" t="n">
        <v>1</v>
      </c>
      <c r="L127" s="16" t="n">
        <v/>
      </c>
      <c r="M127" s="16" t="n">
        <v/>
      </c>
      <c r="N127" s="16" t="n">
        <v/>
      </c>
      <c r="O127" s="16" t="n">
        <v/>
      </c>
      <c r="P127" s="5" t="n"/>
    </row>
    <row r="128" customFormat="1" s="2">
      <c r="A128" s="6" t="n"/>
      <c r="B128" s="4" t="n"/>
      <c r="C128" s="4" t="inlineStr">
        <is>
          <t>Add Door Sill</t>
        </is>
      </c>
      <c r="D128" s="7" t="inlineStr">
        <is>
          <t>Sq.ft</t>
        </is>
      </c>
      <c r="E128" s="17" t="n"/>
      <c r="F128" s="16" t="n">
        <v>1</v>
      </c>
      <c r="G128" s="16" t="n">
        <v>2.5</v>
      </c>
      <c r="H128" s="16" t="n">
        <v>0.5</v>
      </c>
      <c r="I128" s="16" t="n"/>
      <c r="J128" s="16">
        <f>PRODUCT(F128:I128)</f>
        <v/>
      </c>
      <c r="K128" s="16" t="n">
        <v>1</v>
      </c>
      <c r="L128" s="16" t="n">
        <v/>
      </c>
      <c r="M128" s="16" t="n">
        <v/>
      </c>
      <c r="N128" s="16" t="n">
        <v/>
      </c>
      <c r="O128" s="16" t="n">
        <v/>
      </c>
      <c r="P128" s="5" t="n"/>
    </row>
    <row r="129" customFormat="1" s="2">
      <c r="A129" s="6" t="n"/>
      <c r="B129" s="4" t="n"/>
      <c r="C129" s="14" t="inlineStr">
        <is>
          <t>Toilet Passage Area</t>
        </is>
      </c>
      <c r="D129" s="7" t="n"/>
      <c r="E129" s="17" t="n"/>
      <c r="F129" s="16" t="n"/>
      <c r="G129" s="16" t="n"/>
      <c r="H129" s="16" t="n"/>
      <c r="I129" s="16" t="n"/>
      <c r="J129" s="16" t="n"/>
      <c r="K129" s="16" t="n">
        <v/>
      </c>
      <c r="L129" s="16" t="n">
        <v/>
      </c>
      <c r="M129" s="16" t="n">
        <v/>
      </c>
      <c r="N129" s="16" t="n">
        <v/>
      </c>
      <c r="O129" s="16" t="n">
        <v/>
      </c>
      <c r="P129" s="5" t="n"/>
    </row>
    <row r="130" customFormat="1" s="2">
      <c r="A130" s="6" t="n"/>
      <c r="B130" s="4" t="n"/>
      <c r="C130" s="4" t="inlineStr">
        <is>
          <t>Floor Area</t>
        </is>
      </c>
      <c r="D130" s="7" t="inlineStr">
        <is>
          <t>Sq.ft</t>
        </is>
      </c>
      <c r="E130" s="17" t="n"/>
      <c r="F130" s="16" t="n">
        <v>1</v>
      </c>
      <c r="G130" s="16" t="n">
        <v>3.25</v>
      </c>
      <c r="H130" s="16" t="n">
        <v>3.92</v>
      </c>
      <c r="I130" s="16" t="n"/>
      <c r="J130" s="16">
        <f>PRODUCT(E130:I130)</f>
        <v/>
      </c>
      <c r="K130" s="16" t="n">
        <v>1</v>
      </c>
      <c r="L130" s="16" t="n">
        <v/>
      </c>
      <c r="M130" s="16" t="n">
        <v/>
      </c>
      <c r="N130" s="16" t="n">
        <v/>
      </c>
      <c r="O130" s="16" t="n">
        <v/>
      </c>
      <c r="P130" s="5" t="n"/>
    </row>
    <row r="131" customFormat="1" s="2">
      <c r="A131" s="6" t="n"/>
      <c r="B131" s="4" t="n"/>
      <c r="C131" s="4" t="inlineStr">
        <is>
          <t>Add Door Sill</t>
        </is>
      </c>
      <c r="D131" s="7" t="inlineStr">
        <is>
          <t>Sq.ft</t>
        </is>
      </c>
      <c r="E131" s="17" t="n"/>
      <c r="F131" s="16" t="n">
        <v>1</v>
      </c>
      <c r="G131" s="16" t="n">
        <v>2.5</v>
      </c>
      <c r="H131" s="16" t="n">
        <v>0.5</v>
      </c>
      <c r="I131" s="16" t="n"/>
      <c r="J131" s="16">
        <f>PRODUCT(E131:I131)</f>
        <v/>
      </c>
      <c r="K131" s="16" t="n">
        <v>1</v>
      </c>
      <c r="L131" s="16" t="n">
        <v/>
      </c>
      <c r="M131" s="16" t="n">
        <v/>
      </c>
      <c r="N131" s="16" t="n">
        <v/>
      </c>
      <c r="O131" s="16" t="n">
        <v/>
      </c>
      <c r="P131" s="5" t="n"/>
    </row>
    <row r="132" customFormat="1" s="2">
      <c r="A132" s="6" t="n"/>
      <c r="B132" s="4" t="n"/>
      <c r="C132" s="14" t="inlineStr">
        <is>
          <t>Ladies Toilet</t>
        </is>
      </c>
      <c r="D132" s="7" t="n"/>
      <c r="E132" s="17" t="n"/>
      <c r="F132" s="16" t="n"/>
      <c r="G132" s="16" t="n"/>
      <c r="H132" s="16" t="n"/>
      <c r="I132" s="16" t="n"/>
      <c r="J132" s="16" t="n"/>
      <c r="K132" s="16" t="n">
        <v/>
      </c>
      <c r="L132" s="16" t="n">
        <v/>
      </c>
      <c r="M132" s="16" t="n">
        <v/>
      </c>
      <c r="N132" s="16" t="n">
        <v/>
      </c>
      <c r="O132" s="16" t="n">
        <v/>
      </c>
      <c r="P132" s="5" t="n"/>
    </row>
    <row r="133" customFormat="1" s="2">
      <c r="A133" s="6" t="n"/>
      <c r="B133" s="4" t="n"/>
      <c r="C133" s="4" t="inlineStr">
        <is>
          <t>Floor Area</t>
        </is>
      </c>
      <c r="D133" s="7" t="inlineStr">
        <is>
          <t>Sq.ft</t>
        </is>
      </c>
      <c r="E133" s="17" t="n"/>
      <c r="F133" s="16" t="n">
        <v>1</v>
      </c>
      <c r="G133" s="16" t="n">
        <v>3.92</v>
      </c>
      <c r="H133" s="16">
        <f>(6.12+6.25)/2</f>
        <v/>
      </c>
      <c r="I133" s="16" t="n"/>
      <c r="J133" s="16">
        <f>PRODUCT(F133:I133)</f>
        <v/>
      </c>
      <c r="K133" s="16" t="n">
        <v>1</v>
      </c>
      <c r="L133" s="16" t="n">
        <v/>
      </c>
      <c r="M133" s="16" t="n">
        <v/>
      </c>
      <c r="N133" s="16" t="n">
        <v/>
      </c>
      <c r="O133" s="16" t="n">
        <v/>
      </c>
      <c r="P133" s="5" t="n"/>
    </row>
    <row r="134" customFormat="1" s="2">
      <c r="A134" s="6" t="n"/>
      <c r="B134" s="4" t="n"/>
      <c r="C134" s="4" t="inlineStr">
        <is>
          <t>Add Door Sill</t>
        </is>
      </c>
      <c r="D134" s="7" t="inlineStr">
        <is>
          <t>Sq.ft</t>
        </is>
      </c>
      <c r="E134" s="17" t="n"/>
      <c r="F134" s="16" t="n">
        <v>1</v>
      </c>
      <c r="G134" s="16" t="n">
        <v>2.5</v>
      </c>
      <c r="H134" s="16" t="n">
        <v>0.5</v>
      </c>
      <c r="I134" s="16" t="n"/>
      <c r="J134" s="16">
        <f>PRODUCT(F134:I134)</f>
        <v/>
      </c>
      <c r="K134" s="16" t="n">
        <v>1</v>
      </c>
      <c r="L134" s="16" t="n">
        <v/>
      </c>
      <c r="M134" s="16" t="n">
        <v/>
      </c>
      <c r="N134" s="16" t="n">
        <v/>
      </c>
      <c r="O134" s="16" t="n">
        <v/>
      </c>
      <c r="P134" s="5" t="n"/>
    </row>
    <row r="135" customFormat="1" s="2">
      <c r="A135" s="6" t="n"/>
      <c r="B135" s="4" t="n"/>
      <c r="C135" s="14" t="inlineStr">
        <is>
          <t>Pantry Area</t>
        </is>
      </c>
      <c r="D135" s="7" t="n"/>
      <c r="E135" s="17" t="n"/>
      <c r="F135" s="16" t="n"/>
      <c r="G135" s="16" t="n"/>
      <c r="H135" s="16" t="n"/>
      <c r="I135" s="16" t="n"/>
      <c r="J135" s="16">
        <f>PRODUCT(F135:I135)</f>
        <v/>
      </c>
      <c r="K135" s="16" t="n">
        <v/>
      </c>
      <c r="L135" s="16" t="n">
        <v/>
      </c>
      <c r="M135" s="16" t="n">
        <v/>
      </c>
      <c r="N135" s="16" t="n">
        <v/>
      </c>
      <c r="O135" s="16" t="n">
        <v/>
      </c>
      <c r="P135" s="5" t="n"/>
    </row>
    <row r="136" customFormat="1" s="2">
      <c r="A136" s="6" t="n"/>
      <c r="B136" s="4" t="n"/>
      <c r="C136" s="4" t="inlineStr">
        <is>
          <t>Counter Side</t>
        </is>
      </c>
      <c r="D136" s="7" t="inlineStr">
        <is>
          <t>Sq.ft</t>
        </is>
      </c>
      <c r="E136" s="17" t="n"/>
      <c r="F136" s="16" t="n">
        <v>1</v>
      </c>
      <c r="G136" s="16" t="n">
        <v>5</v>
      </c>
      <c r="H136" s="16" t="n">
        <v>2</v>
      </c>
      <c r="I136" s="16" t="n"/>
      <c r="J136" s="16">
        <f>PRODUCT(E136:I136)</f>
        <v/>
      </c>
      <c r="K136" s="16" t="n">
        <v>1</v>
      </c>
      <c r="L136" s="16" t="n">
        <v/>
      </c>
      <c r="M136" s="16" t="n">
        <v/>
      </c>
      <c r="N136" s="16" t="n">
        <v/>
      </c>
      <c r="O136" s="16" t="n">
        <v/>
      </c>
      <c r="P136" s="5" t="n"/>
    </row>
    <row r="137" customFormat="1" s="2">
      <c r="A137" s="6" t="n"/>
      <c r="B137" s="4" t="n"/>
      <c r="C137" s="4" t="n"/>
      <c r="D137" s="7" t="n"/>
      <c r="E137" s="17" t="n"/>
      <c r="F137" s="16" t="n"/>
      <c r="G137" s="16" t="n"/>
      <c r="H137" s="16" t="n"/>
      <c r="I137" s="16" t="n"/>
      <c r="J137" s="16">
        <f>PRODUCT(F137:I137)</f>
        <v/>
      </c>
      <c r="K137" s="16" t="n">
        <v/>
      </c>
      <c r="L137" s="16" t="n">
        <v/>
      </c>
      <c r="M137" s="16" t="n">
        <v/>
      </c>
      <c r="N137" s="16" t="n">
        <v/>
      </c>
      <c r="O137" s="16" t="n">
        <v/>
      </c>
      <c r="P137" s="5" t="n"/>
    </row>
    <row r="138" customFormat="1" s="2">
      <c r="A138" s="6" t="n"/>
      <c r="B138" s="4" t="n"/>
      <c r="C138" s="112" t="inlineStr">
        <is>
          <t>Total Qty</t>
        </is>
      </c>
      <c r="D138" s="7" t="n"/>
      <c r="E138" s="17" t="n"/>
      <c r="F138" s="16" t="n"/>
      <c r="G138" s="16" t="n"/>
      <c r="H138" s="16" t="n"/>
      <c r="I138" s="16" t="n"/>
      <c r="J138" s="26">
        <f>ROUND(SUM(J126:J137),)</f>
        <v/>
      </c>
      <c r="K138" s="16" t="n">
        <v/>
      </c>
      <c r="L138" s="16" t="n">
        <v/>
      </c>
      <c r="M138" s="16" t="n">
        <v/>
      </c>
      <c r="N138" s="16" t="n">
        <v/>
      </c>
      <c r="O138" s="26" t="n">
        <v/>
      </c>
      <c r="P138" s="5" t="n"/>
    </row>
    <row r="139" customFormat="1" s="2">
      <c r="A139" s="6" t="n"/>
      <c r="B139" s="4" t="n"/>
      <c r="C139" s="4" t="n"/>
      <c r="D139" s="7" t="n"/>
      <c r="E139" s="17" t="n"/>
      <c r="F139" s="16" t="n"/>
      <c r="G139" s="16" t="n"/>
      <c r="H139" s="16" t="n"/>
      <c r="I139" s="16" t="n"/>
      <c r="J139" s="16" t="n"/>
      <c r="K139" s="16" t="n">
        <v/>
      </c>
      <c r="L139" s="16" t="n">
        <v/>
      </c>
      <c r="M139" s="16" t="n">
        <v/>
      </c>
      <c r="N139" s="16" t="n">
        <v/>
      </c>
      <c r="O139" s="16" t="n">
        <v/>
      </c>
      <c r="P139" s="5" t="n"/>
    </row>
    <row r="140" ht="69" customFormat="1" customHeight="1" s="2">
      <c r="A140" s="6">
        <f>A125+1</f>
        <v/>
      </c>
      <c r="B140" s="4" t="inlineStr">
        <is>
          <t>Door frame in Ply</t>
        </is>
      </c>
      <c r="C140" s="4" t="inlineStr">
        <is>
          <t>Providing and fixing door frames made out of 18mm double Ply finished with laminate of approved shade. frame section of size Approx upto 150mm x 36mm including providing necessary anchor hold fasts, cutouts as per engineer - in charge.</t>
        </is>
      </c>
      <c r="D140" s="5" t="inlineStr">
        <is>
          <t>rft</t>
        </is>
      </c>
      <c r="E140" s="16" t="n">
        <v>100</v>
      </c>
      <c r="F140" s="16" t="n"/>
      <c r="G140" s="16" t="n"/>
      <c r="H140" s="16" t="n"/>
      <c r="I140" s="16" t="n"/>
      <c r="J140" s="16" t="n"/>
      <c r="K140" s="16" t="n">
        <v/>
      </c>
      <c r="L140" s="16" t="n">
        <v/>
      </c>
      <c r="M140" s="16" t="n">
        <v/>
      </c>
      <c r="N140" s="16" t="n">
        <v/>
      </c>
      <c r="O140" s="16" t="n">
        <v/>
      </c>
      <c r="P140" s="5" t="n"/>
    </row>
    <row r="141" customFormat="1" s="2">
      <c r="A141" s="6" t="n"/>
      <c r="B141" s="4" t="n"/>
      <c r="C141" s="14" t="inlineStr">
        <is>
          <t>Store Rom</t>
        </is>
      </c>
      <c r="D141" s="7" t="n"/>
      <c r="E141" s="17" t="n"/>
      <c r="F141" s="16" t="n"/>
      <c r="G141" s="16" t="n"/>
      <c r="H141" s="16" t="n"/>
      <c r="I141" s="16" t="n"/>
      <c r="J141" s="16">
        <f>PRODUCT(F141:I141)</f>
        <v/>
      </c>
      <c r="K141" s="16" t="n">
        <v/>
      </c>
      <c r="L141" s="16" t="n">
        <v/>
      </c>
      <c r="M141" s="16" t="n">
        <v/>
      </c>
      <c r="N141" s="16" t="n">
        <v/>
      </c>
      <c r="O141" s="16" t="n">
        <v/>
      </c>
      <c r="P141" s="5" t="n"/>
    </row>
    <row r="142" customFormat="1" s="2">
      <c r="A142" s="6" t="n"/>
      <c r="B142" s="4" t="n"/>
      <c r="C142" s="4" t="inlineStr">
        <is>
          <t>Entry Door Frame</t>
        </is>
      </c>
      <c r="D142" s="7" t="inlineStr">
        <is>
          <t>Rft</t>
        </is>
      </c>
      <c r="E142" s="17" t="n"/>
      <c r="F142" s="16" t="n">
        <v>1</v>
      </c>
      <c r="G142" s="16">
        <f>2.5+7*2</f>
        <v/>
      </c>
      <c r="H142" s="16" t="n"/>
      <c r="I142" s="16" t="n"/>
      <c r="J142" s="16">
        <f>PRODUCT(F142:I142)</f>
        <v/>
      </c>
      <c r="K142" s="16" t="n">
        <v>1</v>
      </c>
      <c r="L142" s="16" t="n">
        <v>7.164</v>
      </c>
      <c r="M142" s="16" t="inlineStr">
        <is>
          <t>NA</t>
        </is>
      </c>
      <c r="N142" s="16" t="inlineStr">
        <is>
          <t>NA</t>
        </is>
      </c>
      <c r="O142" s="16" t="n">
        <v>7.16</v>
      </c>
      <c r="P142" s="5" t="n"/>
    </row>
    <row r="143" customFormat="1" s="2">
      <c r="A143" s="6" t="n"/>
      <c r="B143" s="4" t="n"/>
      <c r="C143" s="4" t="n"/>
      <c r="D143" s="7" t="n"/>
      <c r="E143" s="17" t="n"/>
      <c r="F143" s="16" t="n"/>
      <c r="G143" s="16" t="n"/>
      <c r="H143" s="16" t="n"/>
      <c r="I143" s="16" t="n"/>
      <c r="J143" s="16">
        <f>PRODUCT(F143:I143)</f>
        <v/>
      </c>
      <c r="K143" s="16" t="n">
        <v/>
      </c>
      <c r="L143" s="16" t="n">
        <v/>
      </c>
      <c r="M143" s="16" t="n">
        <v/>
      </c>
      <c r="N143" s="16" t="n">
        <v/>
      </c>
      <c r="O143" s="16" t="n">
        <v/>
      </c>
      <c r="P143" s="5" t="n"/>
    </row>
    <row r="144" customFormat="1" s="2">
      <c r="A144" s="6" t="n"/>
      <c r="B144" s="4" t="n"/>
      <c r="C144" s="112" t="inlineStr">
        <is>
          <t>Total Qty</t>
        </is>
      </c>
      <c r="D144" s="7" t="n"/>
      <c r="E144" s="17" t="n"/>
      <c r="F144" s="16" t="n"/>
      <c r="G144" s="16" t="n"/>
      <c r="H144" s="16" t="n"/>
      <c r="I144" s="16" t="n"/>
      <c r="J144" s="26">
        <f>ROUND(SUM(J141:J143),)</f>
        <v/>
      </c>
      <c r="K144" s="16" t="n">
        <v/>
      </c>
      <c r="L144" s="16" t="n">
        <v/>
      </c>
      <c r="M144" s="16" t="n">
        <v/>
      </c>
      <c r="N144" s="16" t="n">
        <v/>
      </c>
      <c r="O144" s="26" t="n">
        <v/>
      </c>
      <c r="P144" s="5" t="n"/>
    </row>
    <row r="145">
      <c r="A145" s="117" t="n"/>
      <c r="B145" s="117" t="n"/>
      <c r="C145" s="117" t="n"/>
      <c r="D145" s="117" t="n"/>
      <c r="E145" s="118" t="n"/>
      <c r="F145" s="119" t="n"/>
      <c r="G145" s="119" t="n"/>
      <c r="H145" s="119" t="n"/>
      <c r="I145" s="119" t="n"/>
      <c r="J145" s="119" t="n"/>
      <c r="K145" s="119" t="n">
        <v/>
      </c>
      <c r="L145" s="119" t="n">
        <v/>
      </c>
      <c r="M145" s="119" t="n">
        <v/>
      </c>
      <c r="N145" s="119" t="n">
        <v/>
      </c>
      <c r="O145" s="119" t="n">
        <v/>
      </c>
      <c r="P145" s="117" t="n"/>
    </row>
    <row r="146" ht="96.59999999999999" customFormat="1" customHeight="1" s="2">
      <c r="A146" s="6">
        <f>A140+1</f>
        <v/>
      </c>
      <c r="B146" s="4" t="inlineStr">
        <is>
          <t>Fixed Glazing</t>
        </is>
      </c>
      <c r="C146"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D146" s="7" t="inlineStr">
        <is>
          <t>sft</t>
        </is>
      </c>
      <c r="E146" s="17" t="n">
        <v>469</v>
      </c>
      <c r="F146" s="16" t="n"/>
      <c r="G146" s="16" t="n"/>
      <c r="H146" s="16" t="n"/>
      <c r="I146" s="16" t="n"/>
      <c r="J146" s="16" t="n"/>
      <c r="K146" s="16" t="n">
        <v/>
      </c>
      <c r="L146" s="16" t="n">
        <v/>
      </c>
      <c r="M146" s="16" t="n">
        <v/>
      </c>
      <c r="N146" s="16" t="n">
        <v/>
      </c>
      <c r="O146" s="16" t="n">
        <v/>
      </c>
      <c r="P146" s="88" t="n"/>
    </row>
    <row r="147" customFormat="1" s="2">
      <c r="A147" s="6" t="n"/>
      <c r="B147" s="4" t="n"/>
      <c r="C147" s="14" t="inlineStr">
        <is>
          <t>Branch Area</t>
        </is>
      </c>
      <c r="D147" s="7" t="n"/>
      <c r="E147" s="17" t="n"/>
      <c r="F147" s="16" t="n"/>
      <c r="G147" s="16" t="n"/>
      <c r="H147" s="16" t="n"/>
      <c r="I147" s="16" t="n"/>
      <c r="J147" s="16">
        <f>PRODUCT(F147:I147)</f>
        <v/>
      </c>
      <c r="K147" s="16" t="n">
        <v/>
      </c>
      <c r="L147" s="16" t="n">
        <v/>
      </c>
      <c r="M147" s="16" t="n">
        <v/>
      </c>
      <c r="N147" s="16" t="n">
        <v/>
      </c>
      <c r="O147" s="16" t="n">
        <v/>
      </c>
      <c r="P147" s="88" t="n"/>
    </row>
    <row r="148" customFormat="1" s="2">
      <c r="A148" s="6" t="n"/>
      <c r="B148" s="4" t="n"/>
      <c r="C148" s="4" t="inlineStr">
        <is>
          <t>Entry Door Side</t>
        </is>
      </c>
      <c r="D148" s="7" t="inlineStr">
        <is>
          <t>Sq.ft</t>
        </is>
      </c>
      <c r="E148" s="17" t="n"/>
      <c r="F148" s="16" t="n">
        <v>1</v>
      </c>
      <c r="G148" s="16" t="n">
        <v>5.5</v>
      </c>
      <c r="H148" s="16" t="n"/>
      <c r="I148" s="16" t="n">
        <v>8</v>
      </c>
      <c r="J148" s="16">
        <f>PRODUCT(F148:I148)</f>
        <v/>
      </c>
      <c r="K148" s="16" t="n">
        <v>1</v>
      </c>
      <c r="L148" s="16" t="n">
        <v/>
      </c>
      <c r="M148" s="16" t="n">
        <v/>
      </c>
      <c r="N148" s="16" t="n">
        <v/>
      </c>
      <c r="O148" s="16" t="n">
        <v/>
      </c>
      <c r="P148" s="88" t="n"/>
    </row>
    <row r="149" customFormat="1" s="2">
      <c r="A149" s="6" t="n"/>
      <c r="B149" s="4" t="n"/>
      <c r="C149" s="4" t="inlineStr">
        <is>
          <t>Above Glass'</t>
        </is>
      </c>
      <c r="D149" s="7" t="inlineStr">
        <is>
          <t>Sq.ft</t>
        </is>
      </c>
      <c r="E149" s="17" t="n"/>
      <c r="F149" s="16" t="n">
        <v>1</v>
      </c>
      <c r="G149" s="16" t="n">
        <v>9.19</v>
      </c>
      <c r="H149" s="16" t="n"/>
      <c r="I149" s="16" t="n">
        <v>4.33</v>
      </c>
      <c r="J149" s="16">
        <f>PRODUCT(F149:I149)</f>
        <v/>
      </c>
      <c r="K149" s="16" t="n">
        <v>1</v>
      </c>
      <c r="L149" s="16" t="n">
        <v/>
      </c>
      <c r="M149" s="16" t="n">
        <v/>
      </c>
      <c r="N149" s="16" t="n">
        <v/>
      </c>
      <c r="O149" s="16" t="n">
        <v/>
      </c>
      <c r="P149" s="88" t="n"/>
    </row>
    <row r="150" customFormat="1" s="2">
      <c r="A150" s="6" t="n"/>
      <c r="B150" s="4" t="n"/>
      <c r="C150" s="14" t="inlineStr">
        <is>
          <t>Fixed Glass Side</t>
        </is>
      </c>
      <c r="D150" s="7" t="n"/>
      <c r="E150" s="17" t="n"/>
      <c r="F150" s="16" t="n"/>
      <c r="G150" s="16" t="n"/>
      <c r="H150" s="16" t="n"/>
      <c r="I150" s="16" t="n"/>
      <c r="J150" s="16">
        <f>PRODUCT(F150:I150)</f>
        <v/>
      </c>
      <c r="K150" s="16" t="n">
        <v/>
      </c>
      <c r="L150" s="16" t="n">
        <v/>
      </c>
      <c r="M150" s="16" t="n">
        <v/>
      </c>
      <c r="N150" s="16" t="n">
        <v/>
      </c>
      <c r="O150" s="16" t="n">
        <v/>
      </c>
      <c r="P150" s="88" t="n"/>
    </row>
    <row r="151" customFormat="1" s="2">
      <c r="A151" s="6" t="n"/>
      <c r="B151" s="4" t="n"/>
      <c r="C151" s="4" t="inlineStr">
        <is>
          <t>Below Glass'</t>
        </is>
      </c>
      <c r="D151" s="7" t="inlineStr">
        <is>
          <t>Sq.ft</t>
        </is>
      </c>
      <c r="E151" s="17" t="n"/>
      <c r="F151" s="16" t="n">
        <v>1</v>
      </c>
      <c r="G151" s="16" t="n">
        <v>9.19</v>
      </c>
      <c r="H151" s="16" t="n"/>
      <c r="I151" s="16" t="n">
        <v>8</v>
      </c>
      <c r="J151" s="16">
        <f>PRODUCT(F151:I151)</f>
        <v/>
      </c>
      <c r="K151" s="16" t="n">
        <v>1</v>
      </c>
      <c r="L151" s="16" t="n">
        <v/>
      </c>
      <c r="M151" s="16" t="n">
        <v/>
      </c>
      <c r="N151" s="16" t="n">
        <v/>
      </c>
      <c r="O151" s="16" t="n">
        <v/>
      </c>
      <c r="P151" s="88" t="n"/>
    </row>
    <row r="152" customFormat="1" s="2">
      <c r="A152" s="6" t="n"/>
      <c r="B152" s="4" t="n"/>
      <c r="C152" s="4" t="inlineStr">
        <is>
          <t>Above Glass'</t>
        </is>
      </c>
      <c r="D152" s="7" t="inlineStr">
        <is>
          <t>Sq.ft</t>
        </is>
      </c>
      <c r="E152" s="17" t="n"/>
      <c r="F152" s="16" t="n">
        <v>1</v>
      </c>
      <c r="G152" s="16" t="n">
        <v>9.19</v>
      </c>
      <c r="H152" s="16" t="n"/>
      <c r="I152" s="16" t="n">
        <v>4.33</v>
      </c>
      <c r="J152" s="16">
        <f>PRODUCT(F152:I152)</f>
        <v/>
      </c>
      <c r="K152" s="16" t="n">
        <v>1</v>
      </c>
      <c r="L152" s="16" t="n">
        <v/>
      </c>
      <c r="M152" s="16" t="n">
        <v/>
      </c>
      <c r="N152" s="16" t="n">
        <v/>
      </c>
      <c r="O152" s="16" t="n">
        <v/>
      </c>
      <c r="P152" s="88" t="inlineStr">
        <is>
          <t>10mm glass</t>
        </is>
      </c>
    </row>
    <row r="153" customFormat="1" s="2">
      <c r="A153" s="6" t="n"/>
      <c r="B153" s="4" t="n"/>
      <c r="C153" s="14" t="inlineStr">
        <is>
          <t xml:space="preserve">ATM </t>
        </is>
      </c>
      <c r="D153" s="7" t="n"/>
      <c r="E153" s="17" t="n"/>
      <c r="F153" s="16" t="n"/>
      <c r="G153" s="16" t="n"/>
      <c r="H153" s="16" t="n"/>
      <c r="I153" s="16" t="n"/>
      <c r="J153" s="16">
        <f>PRODUCT(F153:I153)</f>
        <v/>
      </c>
      <c r="K153" s="16" t="n">
        <v/>
      </c>
      <c r="L153" s="16" t="n">
        <v/>
      </c>
      <c r="M153" s="16" t="n">
        <v/>
      </c>
      <c r="N153" s="16" t="n">
        <v/>
      </c>
      <c r="O153" s="16" t="n">
        <v/>
      </c>
      <c r="P153" s="88" t="n"/>
    </row>
    <row r="154" customFormat="1" s="2">
      <c r="A154" s="6" t="n"/>
      <c r="B154" s="4" t="n"/>
      <c r="C154" s="4" t="inlineStr">
        <is>
          <t>Entry Door Side</t>
        </is>
      </c>
      <c r="D154" s="7" t="inlineStr">
        <is>
          <t>Sq.ft</t>
        </is>
      </c>
      <c r="E154" s="17" t="n"/>
      <c r="F154" s="16" t="n">
        <v>1</v>
      </c>
      <c r="G154" s="16" t="n">
        <v>6.7</v>
      </c>
      <c r="H154" s="16" t="n"/>
      <c r="I154" s="16" t="n">
        <v>8</v>
      </c>
      <c r="J154" s="16">
        <f>PRODUCT(F154:I154)</f>
        <v/>
      </c>
      <c r="K154" s="16" t="n">
        <v>1</v>
      </c>
      <c r="L154" s="16" t="n">
        <v/>
      </c>
      <c r="M154" s="16" t="n">
        <v/>
      </c>
      <c r="N154" s="16" t="n">
        <v/>
      </c>
      <c r="O154" s="16" t="n">
        <v/>
      </c>
      <c r="P154" s="88" t="n"/>
    </row>
    <row r="155" customFormat="1" s="2">
      <c r="A155" s="6" t="n"/>
      <c r="B155" s="4" t="n"/>
      <c r="C155" s="4" t="inlineStr">
        <is>
          <t>Above Glass'</t>
        </is>
      </c>
      <c r="D155" s="7" t="inlineStr">
        <is>
          <t>Sq.ft</t>
        </is>
      </c>
      <c r="E155" s="17" t="n"/>
      <c r="F155" s="16" t="n">
        <v>1</v>
      </c>
      <c r="G155" s="16" t="n">
        <v>9.74</v>
      </c>
      <c r="H155" s="16" t="n"/>
      <c r="I155" s="16" t="n">
        <v>4.33</v>
      </c>
      <c r="J155" s="16">
        <f>PRODUCT(F155:I155)</f>
        <v/>
      </c>
      <c r="K155" s="16" t="n">
        <v>1</v>
      </c>
      <c r="L155" s="16" t="n">
        <v/>
      </c>
      <c r="M155" s="16" t="n">
        <v/>
      </c>
      <c r="N155" s="16" t="n">
        <v/>
      </c>
      <c r="O155" s="16" t="n">
        <v/>
      </c>
      <c r="P155" s="88" t="n"/>
    </row>
    <row r="156" customFormat="1" s="2">
      <c r="A156" s="6" t="n"/>
      <c r="B156" s="4" t="n"/>
      <c r="C156" s="14" t="inlineStr">
        <is>
          <t xml:space="preserve">BM Cabin </t>
        </is>
      </c>
      <c r="D156" s="7" t="n"/>
      <c r="E156" s="17" t="n"/>
      <c r="F156" s="16" t="n"/>
      <c r="G156" s="16" t="n"/>
      <c r="H156" s="16" t="n"/>
      <c r="I156" s="16" t="n"/>
      <c r="J156" s="16">
        <f>PRODUCT(F156:I156)</f>
        <v/>
      </c>
      <c r="K156" s="16" t="n">
        <v/>
      </c>
      <c r="L156" s="16" t="n">
        <v/>
      </c>
      <c r="M156" s="16" t="n">
        <v/>
      </c>
      <c r="N156" s="16" t="n">
        <v/>
      </c>
      <c r="O156" s="16" t="n">
        <v/>
      </c>
      <c r="P156" s="88" t="n"/>
    </row>
    <row r="157" customFormat="1" s="2">
      <c r="A157" s="6" t="n"/>
      <c r="B157" s="4" t="n"/>
      <c r="C157" s="4" t="inlineStr">
        <is>
          <t>Left Side Glass Partition</t>
        </is>
      </c>
      <c r="D157" s="7" t="inlineStr">
        <is>
          <t>Sq.ft</t>
        </is>
      </c>
      <c r="E157" s="17" t="n"/>
      <c r="F157" s="16" t="n">
        <v>1</v>
      </c>
      <c r="G157" s="16" t="n">
        <v>10.78</v>
      </c>
      <c r="H157" s="16" t="n"/>
      <c r="I157" s="16" t="n">
        <v>6.89</v>
      </c>
      <c r="J157" s="16">
        <f>PRODUCT(F157:I157)</f>
        <v/>
      </c>
      <c r="K157" s="16" t="n">
        <v>1</v>
      </c>
      <c r="L157" s="16" t="n">
        <v/>
      </c>
      <c r="M157" s="16" t="n">
        <v/>
      </c>
      <c r="N157" s="16" t="n">
        <v/>
      </c>
      <c r="O157" s="16" t="n">
        <v/>
      </c>
      <c r="P157" s="88" t="n"/>
    </row>
    <row r="158" customFormat="1" s="2">
      <c r="A158" s="6" t="n"/>
      <c r="B158" s="4" t="n"/>
      <c r="C158" s="4" t="inlineStr">
        <is>
          <t>Door Side Glass Partition</t>
        </is>
      </c>
      <c r="D158" s="7" t="inlineStr">
        <is>
          <t>Sq.ft</t>
        </is>
      </c>
      <c r="E158" s="17" t="n"/>
      <c r="F158" s="16" t="n">
        <v>1</v>
      </c>
      <c r="G158" s="16" t="n">
        <v>3.87</v>
      </c>
      <c r="H158" s="16" t="n"/>
      <c r="I158" s="16" t="n">
        <v>6.89</v>
      </c>
      <c r="J158" s="16">
        <f>PRODUCT(F158:I158)</f>
        <v/>
      </c>
      <c r="K158" s="16" t="n">
        <v>1</v>
      </c>
      <c r="L158" s="16" t="n">
        <v/>
      </c>
      <c r="M158" s="16" t="n">
        <v/>
      </c>
      <c r="N158" s="16" t="n">
        <v/>
      </c>
      <c r="O158" s="16" t="n">
        <v/>
      </c>
      <c r="P158" s="88" t="n"/>
    </row>
    <row r="159" customFormat="1" s="2">
      <c r="A159" s="6" t="n"/>
      <c r="B159" s="4" t="n"/>
      <c r="C159" s="14" t="inlineStr">
        <is>
          <t>Pantry Area</t>
        </is>
      </c>
      <c r="D159" s="7" t="n"/>
      <c r="E159" s="17" t="n"/>
      <c r="F159" s="16" t="n"/>
      <c r="G159" s="16" t="n"/>
      <c r="H159" s="16" t="n"/>
      <c r="I159" s="16" t="n"/>
      <c r="J159" s="16">
        <f>PRODUCT(F159:I159)</f>
        <v/>
      </c>
      <c r="K159" s="16" t="n">
        <v/>
      </c>
      <c r="L159" s="16" t="n">
        <v/>
      </c>
      <c r="M159" s="16" t="n">
        <v/>
      </c>
      <c r="N159" s="16" t="n">
        <v/>
      </c>
      <c r="O159" s="16" t="n">
        <v/>
      </c>
      <c r="P159" s="88" t="n"/>
    </row>
    <row r="160" customFormat="1" s="2">
      <c r="A160" s="6" t="n"/>
      <c r="B160" s="4" t="n"/>
      <c r="C160" s="4" t="inlineStr">
        <is>
          <t>Door Side Glass Partition</t>
        </is>
      </c>
      <c r="D160" s="7" t="inlineStr">
        <is>
          <t>Sq.ft</t>
        </is>
      </c>
      <c r="E160" s="17" t="n"/>
      <c r="F160" s="16" t="n">
        <v>1</v>
      </c>
      <c r="G160" s="16" t="n">
        <v>3</v>
      </c>
      <c r="H160" s="16" t="n"/>
      <c r="I160" s="16" t="n">
        <v>6.89</v>
      </c>
      <c r="J160" s="16">
        <f>PRODUCT(F160:I160)</f>
        <v/>
      </c>
      <c r="K160" s="16" t="n">
        <v>1</v>
      </c>
      <c r="L160" s="16" t="n">
        <v/>
      </c>
      <c r="M160" s="16" t="n">
        <v/>
      </c>
      <c r="N160" s="16" t="n">
        <v/>
      </c>
      <c r="O160" s="16" t="n">
        <v/>
      </c>
      <c r="P160" s="88" t="n"/>
    </row>
    <row r="161" customFormat="1" s="2">
      <c r="A161" s="6" t="n"/>
      <c r="B161" s="4" t="n"/>
      <c r="C161" s="14" t="inlineStr">
        <is>
          <t xml:space="preserve">JL Cabin </t>
        </is>
      </c>
      <c r="D161" s="7" t="n"/>
      <c r="E161" s="17" t="n"/>
      <c r="F161" s="16" t="n"/>
      <c r="G161" s="16" t="n"/>
      <c r="H161" s="16" t="n"/>
      <c r="I161" s="16" t="n"/>
      <c r="J161" s="16">
        <f>PRODUCT(F161:I161)</f>
        <v/>
      </c>
      <c r="K161" s="16" t="n">
        <v/>
      </c>
      <c r="L161" s="16" t="n">
        <v/>
      </c>
      <c r="M161" s="16" t="n">
        <v/>
      </c>
      <c r="N161" s="16" t="n">
        <v/>
      </c>
      <c r="O161" s="16" t="n">
        <v/>
      </c>
      <c r="P161" s="88" t="n"/>
    </row>
    <row r="162" customFormat="1" s="2">
      <c r="A162" s="6" t="n"/>
      <c r="B162" s="4" t="n"/>
      <c r="C162" s="4" t="inlineStr">
        <is>
          <t>Door Side Glass Partition</t>
        </is>
      </c>
      <c r="D162" s="7" t="inlineStr">
        <is>
          <t>Sq.ft</t>
        </is>
      </c>
      <c r="E162" s="17" t="n"/>
      <c r="F162" s="16" t="n">
        <v>1</v>
      </c>
      <c r="G162" s="16" t="n">
        <v>3.96</v>
      </c>
      <c r="H162" s="16" t="n"/>
      <c r="I162" s="16" t="n">
        <v>6.89</v>
      </c>
      <c r="J162" s="16">
        <f>PRODUCT(F162:I162)</f>
        <v/>
      </c>
      <c r="K162" s="16" t="n">
        <v>1</v>
      </c>
      <c r="L162" s="16" t="n">
        <v/>
      </c>
      <c r="M162" s="16" t="n">
        <v/>
      </c>
      <c r="N162" s="16" t="n">
        <v/>
      </c>
      <c r="O162" s="16" t="n">
        <v/>
      </c>
      <c r="P162" s="88" t="n"/>
    </row>
    <row r="163" customFormat="1" s="2">
      <c r="A163" s="6" t="n"/>
      <c r="B163" s="4" t="n"/>
      <c r="C163" s="4" t="inlineStr">
        <is>
          <t>Left Side Glass Partition</t>
        </is>
      </c>
      <c r="D163" s="7" t="inlineStr">
        <is>
          <t>Sq.ft</t>
        </is>
      </c>
      <c r="E163" s="17" t="n"/>
      <c r="F163" s="16" t="n">
        <v>1</v>
      </c>
      <c r="G163" s="16" t="n">
        <v>8.75</v>
      </c>
      <c r="H163" s="16" t="n"/>
      <c r="I163" s="16" t="n">
        <v>6.88</v>
      </c>
      <c r="J163" s="16">
        <f>PRODUCT(F163:I163)</f>
        <v/>
      </c>
      <c r="K163" s="16" t="n">
        <v>1</v>
      </c>
      <c r="L163" s="16" t="n">
        <v/>
      </c>
      <c r="M163" s="16" t="n">
        <v/>
      </c>
      <c r="N163" s="16" t="n">
        <v/>
      </c>
      <c r="O163" s="16" t="n">
        <v/>
      </c>
      <c r="P163" s="88" t="n"/>
    </row>
    <row r="164" customFormat="1" s="2">
      <c r="A164" s="6" t="n"/>
      <c r="B164" s="4" t="n"/>
      <c r="C164" s="4" t="n"/>
      <c r="D164" s="7" t="n"/>
      <c r="E164" s="17" t="n"/>
      <c r="F164" s="16" t="n"/>
      <c r="G164" s="16" t="n"/>
      <c r="H164" s="16" t="n"/>
      <c r="I164" s="16" t="n"/>
      <c r="J164" s="16">
        <f>PRODUCT(F164:I164)</f>
        <v/>
      </c>
      <c r="K164" s="16" t="n">
        <v/>
      </c>
      <c r="L164" s="16" t="n">
        <v/>
      </c>
      <c r="M164" s="16" t="n">
        <v/>
      </c>
      <c r="N164" s="16" t="n">
        <v/>
      </c>
      <c r="O164" s="16" t="n">
        <v/>
      </c>
      <c r="P164" s="88" t="n"/>
    </row>
    <row r="165" customFormat="1" s="2">
      <c r="A165" s="6" t="n"/>
      <c r="B165" s="4" t="n"/>
      <c r="C165" s="112" t="inlineStr">
        <is>
          <t>Total Qty</t>
        </is>
      </c>
      <c r="D165" s="7" t="n"/>
      <c r="E165" s="17" t="n"/>
      <c r="F165" s="16" t="n"/>
      <c r="G165" s="16" t="n"/>
      <c r="H165" s="16" t="n"/>
      <c r="I165" s="16" t="n"/>
      <c r="J165" s="26">
        <f>ROUND(SUM(J147:J164),)</f>
        <v/>
      </c>
      <c r="K165" s="16" t="n">
        <v/>
      </c>
      <c r="L165" s="16" t="n">
        <v/>
      </c>
      <c r="M165" s="16" t="n">
        <v/>
      </c>
      <c r="N165" s="16" t="n">
        <v/>
      </c>
      <c r="O165" s="26" t="n">
        <v/>
      </c>
      <c r="P165" s="88" t="n"/>
    </row>
    <row r="166" customFormat="1" s="2">
      <c r="A166" s="6" t="n"/>
      <c r="B166" s="4" t="n"/>
      <c r="C166" s="4" t="n"/>
      <c r="D166" s="7" t="n"/>
      <c r="E166" s="17" t="n"/>
      <c r="F166" s="16" t="n"/>
      <c r="G166" s="16" t="n"/>
      <c r="H166" s="16" t="n"/>
      <c r="I166" s="16" t="n"/>
      <c r="J166" s="16" t="n"/>
      <c r="K166" s="16" t="n">
        <v/>
      </c>
      <c r="L166" s="16" t="n">
        <v/>
      </c>
      <c r="M166" s="16" t="n">
        <v/>
      </c>
      <c r="N166" s="16" t="n">
        <v/>
      </c>
      <c r="O166" s="16" t="n">
        <v/>
      </c>
      <c r="P166" s="88" t="n"/>
    </row>
    <row r="167" ht="96.59999999999999" customFormat="1" customHeight="1" s="2">
      <c r="A167" s="6">
        <f>A146+1</f>
        <v/>
      </c>
      <c r="B167" s="4" t="inlineStr">
        <is>
          <t>Cabin and Other doors
_Fully Glazed</t>
        </is>
      </c>
      <c r="C167" s="4"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D167" s="5" t="inlineStr">
        <is>
          <t>nos</t>
        </is>
      </c>
      <c r="E167" s="16" t="n">
        <v>3</v>
      </c>
      <c r="F167" s="16" t="n"/>
      <c r="G167" s="16" t="n"/>
      <c r="H167" s="16" t="n"/>
      <c r="I167" s="16" t="n"/>
      <c r="J167" s="16" t="n"/>
      <c r="K167" s="16" t="n">
        <v/>
      </c>
      <c r="L167" s="16" t="n">
        <v/>
      </c>
      <c r="M167" s="16" t="n">
        <v/>
      </c>
      <c r="N167" s="16" t="n">
        <v/>
      </c>
      <c r="O167" s="16" t="n">
        <v/>
      </c>
      <c r="P167" s="88" t="n"/>
    </row>
    <row r="168" customFormat="1" s="2">
      <c r="A168" s="6" t="n"/>
      <c r="B168" s="4" t="n"/>
      <c r="C168" s="14" t="inlineStr">
        <is>
          <t>BM Cabin</t>
        </is>
      </c>
      <c r="D168" s="7" t="n"/>
      <c r="E168" s="17" t="n"/>
      <c r="F168" s="16" t="n"/>
      <c r="G168" s="16" t="n"/>
      <c r="H168" s="16" t="n"/>
      <c r="I168" s="16" t="n"/>
      <c r="J168" s="16">
        <f>PRODUCT(F168:I168)</f>
        <v/>
      </c>
      <c r="K168" s="16" t="n">
        <v/>
      </c>
      <c r="L168" s="16" t="n">
        <v/>
      </c>
      <c r="M168" s="16" t="n">
        <v/>
      </c>
      <c r="N168" s="16" t="n">
        <v/>
      </c>
      <c r="O168" s="16" t="n">
        <v/>
      </c>
      <c r="P168" s="88" t="n"/>
    </row>
    <row r="169" customFormat="1" s="2">
      <c r="A169" s="6" t="n"/>
      <c r="B169" s="4" t="n"/>
      <c r="C169" s="4" t="inlineStr">
        <is>
          <t>Entry Door</t>
        </is>
      </c>
      <c r="D169" s="7" t="inlineStr">
        <is>
          <t>nos</t>
        </is>
      </c>
      <c r="E169" s="17" t="n"/>
      <c r="F169" s="16" t="n">
        <v>1</v>
      </c>
      <c r="G169" s="16" t="n"/>
      <c r="H169" s="16" t="n"/>
      <c r="I169" s="16" t="n"/>
      <c r="J169" s="16">
        <f>PRODUCT(F169:I169)</f>
        <v/>
      </c>
      <c r="K169" s="16" t="n">
        <v>1</v>
      </c>
      <c r="L169" s="16" t="n">
        <v/>
      </c>
      <c r="M169" s="16" t="n">
        <v/>
      </c>
      <c r="N169" s="16" t="n">
        <v/>
      </c>
      <c r="O169" s="16" t="n">
        <v/>
      </c>
      <c r="P169" s="88" t="inlineStr">
        <is>
          <t>10mm glass</t>
        </is>
      </c>
    </row>
    <row r="170" customFormat="1" s="2">
      <c r="A170" s="6" t="n"/>
      <c r="B170" s="4" t="n"/>
      <c r="C170" s="14" t="inlineStr">
        <is>
          <t>Pantry Area</t>
        </is>
      </c>
      <c r="D170" s="7" t="n"/>
      <c r="E170" s="17" t="n"/>
      <c r="F170" s="16" t="n"/>
      <c r="G170" s="16" t="n"/>
      <c r="H170" s="16" t="n"/>
      <c r="I170" s="16" t="n"/>
      <c r="J170" s="16" t="n"/>
      <c r="K170" s="16" t="n">
        <v/>
      </c>
      <c r="L170" s="16" t="n">
        <v/>
      </c>
      <c r="M170" s="16" t="n">
        <v/>
      </c>
      <c r="N170" s="16" t="n">
        <v/>
      </c>
      <c r="O170" s="16" t="n">
        <v/>
      </c>
      <c r="P170" s="88" t="n"/>
    </row>
    <row r="171" customFormat="1" s="2">
      <c r="A171" s="6" t="n"/>
      <c r="B171" s="4" t="n"/>
      <c r="C171" s="4" t="inlineStr">
        <is>
          <t>Entry Door</t>
        </is>
      </c>
      <c r="D171" s="7" t="inlineStr">
        <is>
          <t>nos</t>
        </is>
      </c>
      <c r="E171" s="17" t="n"/>
      <c r="F171" s="16" t="n">
        <v>1</v>
      </c>
      <c r="G171" s="16" t="n"/>
      <c r="H171" s="16" t="n"/>
      <c r="I171" s="16" t="n"/>
      <c r="J171" s="16">
        <f>PRODUCT(F171:I171)</f>
        <v/>
      </c>
      <c r="K171" s="16" t="n">
        <v>1</v>
      </c>
      <c r="L171" s="16" t="n">
        <v/>
      </c>
      <c r="M171" s="16" t="n">
        <v/>
      </c>
      <c r="N171" s="16" t="n">
        <v/>
      </c>
      <c r="O171" s="16" t="n">
        <v/>
      </c>
      <c r="P171" s="88" t="n"/>
    </row>
    <row r="172" customFormat="1" s="2">
      <c r="A172" s="6" t="n"/>
      <c r="B172" s="4" t="n"/>
      <c r="C172" s="14" t="inlineStr">
        <is>
          <t>JL Cabin</t>
        </is>
      </c>
      <c r="D172" s="7" t="n"/>
      <c r="E172" s="17" t="n"/>
      <c r="F172" s="16" t="n"/>
      <c r="G172" s="16" t="n"/>
      <c r="H172" s="16" t="n"/>
      <c r="I172" s="16" t="n"/>
      <c r="J172" s="16" t="n"/>
      <c r="K172" s="16" t="n">
        <v/>
      </c>
      <c r="L172" s="16" t="n">
        <v/>
      </c>
      <c r="M172" s="16" t="n">
        <v/>
      </c>
      <c r="N172" s="16" t="n">
        <v/>
      </c>
      <c r="O172" s="16" t="n">
        <v/>
      </c>
      <c r="P172" s="88" t="n"/>
    </row>
    <row r="173" customFormat="1" s="2">
      <c r="A173" s="6" t="n"/>
      <c r="B173" s="4" t="n"/>
      <c r="C173" s="4" t="inlineStr">
        <is>
          <t>Entry Door</t>
        </is>
      </c>
      <c r="D173" s="7" t="inlineStr">
        <is>
          <t>nos</t>
        </is>
      </c>
      <c r="E173" s="17" t="n"/>
      <c r="F173" s="16" t="n">
        <v>1</v>
      </c>
      <c r="G173" s="16" t="n"/>
      <c r="H173" s="16" t="n"/>
      <c r="I173" s="16" t="n"/>
      <c r="J173" s="16">
        <f>PRODUCT(F173:I173)</f>
        <v/>
      </c>
      <c r="K173" s="16" t="n">
        <v>1</v>
      </c>
      <c r="L173" s="16" t="n">
        <v/>
      </c>
      <c r="M173" s="16" t="n">
        <v/>
      </c>
      <c r="N173" s="16" t="n">
        <v/>
      </c>
      <c r="O173" s="16" t="n">
        <v/>
      </c>
      <c r="P173" s="88" t="n"/>
    </row>
    <row r="174" customFormat="1" s="2">
      <c r="A174" s="6" t="n"/>
      <c r="B174" s="4" t="n"/>
      <c r="C174" s="4" t="n"/>
      <c r="D174" s="7" t="n"/>
      <c r="E174" s="17" t="n"/>
      <c r="F174" s="16" t="n"/>
      <c r="G174" s="16" t="n"/>
      <c r="H174" s="16" t="n"/>
      <c r="I174" s="16" t="n"/>
      <c r="J174" s="16">
        <f>PRODUCT(F174:I174)</f>
        <v/>
      </c>
      <c r="K174" s="16" t="n">
        <v/>
      </c>
      <c r="L174" s="16" t="n">
        <v/>
      </c>
      <c r="M174" s="16" t="n">
        <v/>
      </c>
      <c r="N174" s="16" t="n">
        <v/>
      </c>
      <c r="O174" s="16" t="n">
        <v/>
      </c>
      <c r="P174" s="88" t="n"/>
    </row>
    <row r="175" customFormat="1" s="2">
      <c r="A175" s="6" t="n"/>
      <c r="B175" s="4" t="n"/>
      <c r="C175" s="112" t="inlineStr">
        <is>
          <t>Total Qty</t>
        </is>
      </c>
      <c r="D175" s="7" t="n"/>
      <c r="E175" s="17" t="n"/>
      <c r="F175" s="16" t="n"/>
      <c r="G175" s="16" t="n"/>
      <c r="H175" s="16" t="n"/>
      <c r="I175" s="16" t="n"/>
      <c r="J175" s="26">
        <f>ROUND(SUM(J168:J174),)</f>
        <v/>
      </c>
      <c r="K175" s="16" t="n">
        <v/>
      </c>
      <c r="L175" s="16" t="n">
        <v/>
      </c>
      <c r="M175" s="16" t="n">
        <v/>
      </c>
      <c r="N175" s="16" t="n">
        <v/>
      </c>
      <c r="O175" s="26" t="n">
        <v/>
      </c>
      <c r="P175" s="88" t="n"/>
    </row>
    <row r="176" customFormat="1" s="2">
      <c r="A176" s="6" t="n"/>
      <c r="B176" s="4" t="n"/>
      <c r="C176" s="4" t="n"/>
      <c r="D176" s="7" t="n"/>
      <c r="E176" s="17" t="n"/>
      <c r="F176" s="16" t="n"/>
      <c r="G176" s="16" t="n"/>
      <c r="H176" s="16" t="n"/>
      <c r="I176" s="16" t="n"/>
      <c r="J176" s="16" t="n"/>
      <c r="K176" s="16" t="n">
        <v/>
      </c>
      <c r="L176" s="16" t="n">
        <v/>
      </c>
      <c r="M176" s="16" t="n">
        <v/>
      </c>
      <c r="N176" s="16" t="n">
        <v/>
      </c>
      <c r="O176" s="16" t="n">
        <v/>
      </c>
      <c r="P176" s="88" t="n"/>
    </row>
    <row r="177" ht="110.4" customFormat="1" customHeight="1" s="2">
      <c r="A177" s="6">
        <f>A167+1</f>
        <v/>
      </c>
      <c r="B177" s="4" t="inlineStr">
        <is>
          <t>Main Entrance doors for Branch and ATM</t>
        </is>
      </c>
      <c r="C177"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D177" s="7" t="inlineStr">
        <is>
          <t>nos</t>
        </is>
      </c>
      <c r="E177" s="17" t="n">
        <v>1</v>
      </c>
      <c r="F177" s="16" t="n"/>
      <c r="G177" s="16" t="n"/>
      <c r="H177" s="17" t="n"/>
      <c r="I177" s="17" t="n"/>
      <c r="J177" s="17" t="n"/>
      <c r="K177" s="16" t="n">
        <v/>
      </c>
      <c r="L177" s="16" t="n">
        <v/>
      </c>
      <c r="M177" s="17" t="n">
        <v/>
      </c>
      <c r="N177" s="17" t="n">
        <v/>
      </c>
      <c r="O177" s="17" t="n">
        <v/>
      </c>
      <c r="P177" s="88" t="n"/>
    </row>
    <row r="178" customFormat="1" s="2">
      <c r="A178" s="6" t="n"/>
      <c r="B178" s="4" t="n"/>
      <c r="C178" s="14" t="inlineStr">
        <is>
          <t>ATM Area</t>
        </is>
      </c>
      <c r="D178" s="7" t="n"/>
      <c r="E178" s="17" t="n"/>
      <c r="F178" s="16" t="n"/>
      <c r="G178" s="16" t="n"/>
      <c r="H178" s="16" t="n"/>
      <c r="I178" s="16" t="n"/>
      <c r="J178" s="16">
        <f>PRODUCT(F178:I178)</f>
        <v/>
      </c>
      <c r="K178" s="16" t="n">
        <v/>
      </c>
      <c r="L178" s="16" t="n">
        <v/>
      </c>
      <c r="M178" s="16" t="n">
        <v/>
      </c>
      <c r="N178" s="16" t="n">
        <v/>
      </c>
      <c r="O178" s="16" t="n">
        <v/>
      </c>
      <c r="P178" s="88" t="n"/>
    </row>
    <row r="179" customFormat="1" s="2">
      <c r="A179" s="6" t="n"/>
      <c r="B179" s="4" t="n"/>
      <c r="C179" s="4" t="inlineStr">
        <is>
          <t>Entry Door</t>
        </is>
      </c>
      <c r="D179" s="7" t="inlineStr">
        <is>
          <t>nos</t>
        </is>
      </c>
      <c r="E179" s="17" t="n"/>
      <c r="F179" s="16" t="n">
        <v>1</v>
      </c>
      <c r="G179" s="16" t="n"/>
      <c r="H179" s="16" t="n"/>
      <c r="I179" s="16" t="n"/>
      <c r="J179" s="16">
        <f>PRODUCT(F179:I179)</f>
        <v/>
      </c>
      <c r="K179" s="16" t="n">
        <v>1</v>
      </c>
      <c r="L179" s="16" t="n">
        <v/>
      </c>
      <c r="M179" s="16" t="n">
        <v/>
      </c>
      <c r="N179" s="16" t="n">
        <v/>
      </c>
      <c r="O179" s="16" t="n">
        <v/>
      </c>
      <c r="P179" s="88" t="n"/>
    </row>
    <row r="180" customFormat="1" s="2">
      <c r="A180" s="6" t="n"/>
      <c r="B180" s="4" t="n"/>
      <c r="C180" s="14" t="inlineStr">
        <is>
          <t>Branch Area</t>
        </is>
      </c>
      <c r="D180" s="7" t="n"/>
      <c r="E180" s="17" t="n"/>
      <c r="F180" s="16" t="n"/>
      <c r="G180" s="16" t="n"/>
      <c r="H180" s="16" t="n"/>
      <c r="I180" s="16" t="n"/>
      <c r="J180" s="16" t="n"/>
      <c r="K180" s="16" t="n">
        <v/>
      </c>
      <c r="L180" s="16" t="n">
        <v/>
      </c>
      <c r="M180" s="16" t="n">
        <v/>
      </c>
      <c r="N180" s="16" t="n">
        <v/>
      </c>
      <c r="O180" s="16" t="n">
        <v/>
      </c>
      <c r="P180" s="88" t="n"/>
    </row>
    <row r="181" customFormat="1" s="2">
      <c r="A181" s="6" t="n"/>
      <c r="B181" s="4" t="n"/>
      <c r="C181" s="4" t="inlineStr">
        <is>
          <t>Entry Door</t>
        </is>
      </c>
      <c r="D181" s="7" t="inlineStr">
        <is>
          <t>nos</t>
        </is>
      </c>
      <c r="E181" s="17" t="n"/>
      <c r="F181" s="16" t="n">
        <v>1</v>
      </c>
      <c r="G181" s="16" t="n"/>
      <c r="H181" s="16" t="n"/>
      <c r="I181" s="16" t="n"/>
      <c r="J181" s="16">
        <f>PRODUCT(F181:I181)</f>
        <v/>
      </c>
      <c r="K181" s="16" t="n">
        <v>1</v>
      </c>
      <c r="L181" s="16" t="n">
        <v/>
      </c>
      <c r="M181" s="16" t="n">
        <v/>
      </c>
      <c r="N181" s="16" t="n">
        <v/>
      </c>
      <c r="O181" s="16" t="n">
        <v/>
      </c>
      <c r="P181" s="88" t="n"/>
    </row>
    <row r="182" customFormat="1" s="2">
      <c r="A182" s="6" t="n"/>
      <c r="B182" s="4" t="n"/>
      <c r="C182" s="4" t="n"/>
      <c r="D182" s="7" t="n"/>
      <c r="E182" s="17" t="n"/>
      <c r="F182" s="16" t="n"/>
      <c r="G182" s="16" t="n"/>
      <c r="H182" s="16" t="n"/>
      <c r="I182" s="16" t="n"/>
      <c r="J182" s="16">
        <f>PRODUCT(F182:I182)</f>
        <v/>
      </c>
      <c r="K182" s="16" t="n">
        <v/>
      </c>
      <c r="L182" s="16" t="n">
        <v/>
      </c>
      <c r="M182" s="16" t="n">
        <v/>
      </c>
      <c r="N182" s="16" t="n">
        <v/>
      </c>
      <c r="O182" s="16" t="n">
        <v/>
      </c>
      <c r="P182" s="88" t="n"/>
    </row>
    <row r="183" customFormat="1" s="2">
      <c r="A183" s="6" t="n"/>
      <c r="B183" s="4" t="n"/>
      <c r="C183" s="112" t="inlineStr">
        <is>
          <t>Total Qty</t>
        </is>
      </c>
      <c r="D183" s="7" t="n"/>
      <c r="E183" s="17" t="n"/>
      <c r="F183" s="16" t="n"/>
      <c r="G183" s="16" t="n"/>
      <c r="H183" s="16" t="n"/>
      <c r="I183" s="16" t="n"/>
      <c r="J183" s="26">
        <f>ROUND(SUM(J178:J182),)</f>
        <v/>
      </c>
      <c r="K183" s="16" t="n">
        <v/>
      </c>
      <c r="L183" s="16" t="n">
        <v/>
      </c>
      <c r="M183" s="16" t="n">
        <v/>
      </c>
      <c r="N183" s="16" t="n">
        <v/>
      </c>
      <c r="O183" s="26" t="n">
        <v/>
      </c>
      <c r="P183" s="88" t="inlineStr">
        <is>
          <t>10mm glass</t>
        </is>
      </c>
    </row>
    <row r="184" customFormat="1" s="2">
      <c r="A184" s="6" t="n"/>
      <c r="B184" s="4" t="n"/>
      <c r="C184" s="4" t="n"/>
      <c r="D184" s="7" t="n"/>
      <c r="E184" s="17" t="n"/>
      <c r="F184" s="16" t="n"/>
      <c r="G184" s="16" t="n"/>
      <c r="H184" s="16" t="n"/>
      <c r="I184" s="16" t="n"/>
      <c r="J184" s="16" t="n"/>
      <c r="K184" s="16" t="n">
        <v/>
      </c>
      <c r="L184" s="16" t="n">
        <v/>
      </c>
      <c r="M184" s="16" t="n">
        <v/>
      </c>
      <c r="N184" s="16" t="n">
        <v/>
      </c>
      <c r="O184" s="16" t="n">
        <v/>
      </c>
      <c r="P184" s="88" t="n"/>
    </row>
    <row r="185" ht="151.8" customFormat="1" customHeight="1" s="2">
      <c r="A185" s="6">
        <f>A177+1</f>
        <v/>
      </c>
      <c r="B185" s="4" t="inlineStr">
        <is>
          <t>Pest-Control and Anti Termite Treatment</t>
        </is>
      </c>
      <c r="C185" s="4"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D185" s="7" t="inlineStr">
        <is>
          <t>Sqf</t>
        </is>
      </c>
      <c r="E185" s="17" t="n">
        <v>1151</v>
      </c>
      <c r="F185" s="16" t="n"/>
      <c r="G185" s="16" t="n"/>
      <c r="H185" s="17" t="n"/>
      <c r="I185" s="17" t="n"/>
      <c r="J185" s="17" t="n"/>
      <c r="K185" s="16" t="n">
        <v/>
      </c>
      <c r="L185" s="16" t="n">
        <v/>
      </c>
      <c r="M185" s="17" t="n">
        <v/>
      </c>
      <c r="N185" s="17" t="n">
        <v/>
      </c>
      <c r="O185" s="17" t="n">
        <v/>
      </c>
      <c r="P185" s="88" t="n"/>
    </row>
    <row r="186" customFormat="1" s="2">
      <c r="A186" s="6" t="n"/>
      <c r="B186" s="4" t="n"/>
      <c r="C186" s="14" t="n"/>
      <c r="D186" s="7" t="n"/>
      <c r="E186" s="17" t="n"/>
      <c r="F186" s="16" t="n"/>
      <c r="G186" s="16" t="n"/>
      <c r="H186" s="16" t="n"/>
      <c r="I186" s="16" t="n"/>
      <c r="J186" s="16">
        <f>PRODUCT(F186:I186)</f>
        <v/>
      </c>
      <c r="K186" s="16" t="n">
        <v/>
      </c>
      <c r="L186" s="16" t="n">
        <v/>
      </c>
      <c r="M186" s="16" t="n">
        <v/>
      </c>
      <c r="N186" s="16" t="n">
        <v/>
      </c>
      <c r="O186" s="16" t="n">
        <v/>
      </c>
      <c r="P186" s="88" t="n"/>
    </row>
    <row r="187" customFormat="1" s="2">
      <c r="A187" s="6" t="n"/>
      <c r="B187" s="4" t="n"/>
      <c r="C187" s="4" t="inlineStr">
        <is>
          <t>As Per Drawing Area</t>
        </is>
      </c>
      <c r="D187" s="7" t="inlineStr">
        <is>
          <t>Sq.ft</t>
        </is>
      </c>
      <c r="E187" s="17" t="n"/>
      <c r="F187" s="16" t="n">
        <v>1</v>
      </c>
      <c r="G187" s="16" t="n">
        <v>1151</v>
      </c>
      <c r="H187" s="16" t="n"/>
      <c r="I187" s="16" t="n"/>
      <c r="J187" s="16">
        <f>PRODUCT(F187:I187)</f>
        <v/>
      </c>
      <c r="K187" s="16" t="n">
        <v>1</v>
      </c>
      <c r="L187" s="16" t="n">
        <v/>
      </c>
      <c r="M187" s="16" t="n">
        <v/>
      </c>
      <c r="N187" s="16" t="n">
        <v/>
      </c>
      <c r="O187" s="16" t="n">
        <v/>
      </c>
      <c r="P187" s="88" t="inlineStr">
        <is>
          <t>Certificate req</t>
        </is>
      </c>
    </row>
    <row r="188" customFormat="1" s="2">
      <c r="A188" s="6" t="n"/>
      <c r="B188" s="4" t="n"/>
      <c r="C188" s="4" t="n"/>
      <c r="D188" s="7" t="n"/>
      <c r="E188" s="17" t="n"/>
      <c r="F188" s="16" t="n"/>
      <c r="G188" s="16" t="n"/>
      <c r="H188" s="16" t="n"/>
      <c r="I188" s="16" t="n"/>
      <c r="J188" s="16">
        <f>PRODUCT(F188:I188)</f>
        <v/>
      </c>
      <c r="K188" s="16" t="n">
        <v/>
      </c>
      <c r="L188" s="16" t="n">
        <v/>
      </c>
      <c r="M188" s="16" t="n">
        <v/>
      </c>
      <c r="N188" s="16" t="n">
        <v/>
      </c>
      <c r="O188" s="16" t="n">
        <v/>
      </c>
      <c r="P188" s="88" t="n"/>
    </row>
    <row r="189" customFormat="1" s="2">
      <c r="A189" s="6" t="n"/>
      <c r="B189" s="4" t="n"/>
      <c r="C189" s="112" t="inlineStr">
        <is>
          <t>Total Qty</t>
        </is>
      </c>
      <c r="D189" s="7" t="n"/>
      <c r="E189" s="17" t="n"/>
      <c r="F189" s="16" t="n"/>
      <c r="G189" s="16" t="n"/>
      <c r="H189" s="16" t="n"/>
      <c r="I189" s="16" t="n"/>
      <c r="J189" s="26">
        <f>ROUND(SUM(J186:J188),)</f>
        <v/>
      </c>
      <c r="K189" s="16" t="n">
        <v/>
      </c>
      <c r="L189" s="16" t="n">
        <v/>
      </c>
      <c r="M189" s="16" t="n">
        <v/>
      </c>
      <c r="N189" s="16" t="n">
        <v/>
      </c>
      <c r="O189" s="26" t="n">
        <v/>
      </c>
      <c r="P189" s="88" t="n"/>
    </row>
    <row r="190" customFormat="1" s="2">
      <c r="A190" s="6" t="n"/>
      <c r="B190" s="4" t="n"/>
      <c r="C190" s="4" t="n"/>
      <c r="D190" s="7" t="n"/>
      <c r="E190" s="17" t="n"/>
      <c r="F190" s="16" t="n"/>
      <c r="G190" s="16" t="n"/>
      <c r="H190" s="16" t="n"/>
      <c r="I190" s="16" t="n"/>
      <c r="J190" s="16" t="n"/>
      <c r="K190" s="16" t="n">
        <v/>
      </c>
      <c r="L190" s="16" t="n">
        <v/>
      </c>
      <c r="M190" s="16" t="n">
        <v/>
      </c>
      <c r="N190" s="16" t="n">
        <v/>
      </c>
      <c r="O190" s="16" t="n">
        <v/>
      </c>
      <c r="P190" s="88" t="n"/>
    </row>
    <row r="191" ht="55.2" customFormat="1" customHeight="1" s="2">
      <c r="A191" s="6">
        <f>A185+1</f>
        <v/>
      </c>
      <c r="B191" s="4" t="inlineStr">
        <is>
          <t>Existing wall</t>
        </is>
      </c>
      <c r="C191" s="4" t="inlineStr">
        <is>
          <t>Dismantling of any existing 6inch &amp;9inch walls with removal of lintels , chajjas, slabs if any , etc with necessary tools and tackels and carrying the debris away from site as per engineer- incharge instruction.</t>
        </is>
      </c>
      <c r="D191" s="5" t="inlineStr">
        <is>
          <t>Sft</t>
        </is>
      </c>
      <c r="E191" s="16" t="n">
        <v>601</v>
      </c>
      <c r="F191" s="16" t="n"/>
      <c r="G191" s="16" t="n"/>
      <c r="H191" s="17" t="n"/>
      <c r="I191" s="17" t="n"/>
      <c r="J191" s="17" t="n"/>
      <c r="K191" s="16" t="n">
        <v/>
      </c>
      <c r="L191" s="16" t="n">
        <v/>
      </c>
      <c r="M191" s="17" t="n">
        <v/>
      </c>
      <c r="N191" s="17" t="n">
        <v/>
      </c>
      <c r="O191" s="17" t="n">
        <v/>
      </c>
      <c r="P191" s="88" t="n"/>
    </row>
    <row r="192" customFormat="1" s="2">
      <c r="A192" s="6" t="n"/>
      <c r="B192" s="4" t="n"/>
      <c r="C192" s="14" t="n"/>
      <c r="D192" s="7" t="n"/>
      <c r="E192" s="17" t="n"/>
      <c r="F192" s="16" t="n"/>
      <c r="G192" s="16" t="n"/>
      <c r="H192" s="16" t="n"/>
      <c r="I192" s="16" t="n"/>
      <c r="J192" s="16">
        <f>PRODUCT(F192:I192)</f>
        <v/>
      </c>
      <c r="K192" s="16" t="n">
        <v/>
      </c>
      <c r="L192" s="16" t="n">
        <v/>
      </c>
      <c r="M192" s="16" t="n">
        <v/>
      </c>
      <c r="N192" s="16" t="n">
        <v/>
      </c>
      <c r="O192" s="16" t="n">
        <v/>
      </c>
      <c r="P192" s="88" t="n"/>
    </row>
    <row r="193" customFormat="1" s="2">
      <c r="A193" s="6" t="n"/>
      <c r="B193" s="4" t="n"/>
      <c r="C193" s="4" t="inlineStr">
        <is>
          <t>Exhust Fan</t>
        </is>
      </c>
      <c r="D193" s="7" t="inlineStr">
        <is>
          <t>Sq.ft</t>
        </is>
      </c>
      <c r="E193" s="17" t="n"/>
      <c r="F193" s="16" t="n">
        <v>2</v>
      </c>
      <c r="G193" s="16" t="n">
        <v>1</v>
      </c>
      <c r="H193" s="16" t="n"/>
      <c r="I193" s="16" t="n">
        <v>1</v>
      </c>
      <c r="J193" s="16">
        <f>PRODUCT(F193:I193)</f>
        <v/>
      </c>
      <c r="K193" s="16" t="n">
        <v>2</v>
      </c>
      <c r="L193" s="16" t="n">
        <v/>
      </c>
      <c r="M193" s="16" t="n">
        <v/>
      </c>
      <c r="N193" s="16" t="n">
        <v/>
      </c>
      <c r="O193" s="16" t="n">
        <v/>
      </c>
      <c r="P193" s="88" t="n"/>
    </row>
    <row r="194" customFormat="1" s="2">
      <c r="A194" s="6" t="n"/>
      <c r="B194" s="4" t="n"/>
      <c r="C194" s="4" t="n"/>
      <c r="D194" s="7" t="n"/>
      <c r="E194" s="17" t="n"/>
      <c r="F194" s="16" t="n"/>
      <c r="G194" s="16" t="n"/>
      <c r="H194" s="16" t="n"/>
      <c r="I194" s="16" t="n"/>
      <c r="J194" s="16">
        <f>PRODUCT(F194:I194)</f>
        <v/>
      </c>
      <c r="K194" s="16" t="n">
        <v/>
      </c>
      <c r="L194" s="16" t="n">
        <v/>
      </c>
      <c r="M194" s="16" t="n">
        <v/>
      </c>
      <c r="N194" s="16" t="n">
        <v/>
      </c>
      <c r="O194" s="16" t="n">
        <v/>
      </c>
      <c r="P194" s="88" t="n"/>
    </row>
    <row r="195" customFormat="1" s="2">
      <c r="A195" s="6" t="n"/>
      <c r="B195" s="4" t="n"/>
      <c r="C195" s="112" t="inlineStr">
        <is>
          <t>Total Qty</t>
        </is>
      </c>
      <c r="D195" s="7" t="n"/>
      <c r="E195" s="17" t="n"/>
      <c r="F195" s="16" t="n"/>
      <c r="G195" s="16" t="n"/>
      <c r="H195" s="16" t="n"/>
      <c r="I195" s="16" t="n"/>
      <c r="J195" s="26">
        <f>ROUND(SUM(J192:J194),)</f>
        <v/>
      </c>
      <c r="K195" s="16" t="n">
        <v/>
      </c>
      <c r="L195" s="16" t="n">
        <v/>
      </c>
      <c r="M195" s="16" t="n">
        <v/>
      </c>
      <c r="N195" s="16" t="n">
        <v/>
      </c>
      <c r="O195" s="26" t="n">
        <v/>
      </c>
      <c r="P195" s="88" t="n"/>
    </row>
    <row r="196" customFormat="1" s="2">
      <c r="A196" s="6" t="n"/>
      <c r="B196" s="4" t="n"/>
      <c r="C196" s="4" t="n"/>
      <c r="D196" s="7" t="n"/>
      <c r="E196" s="17" t="n"/>
      <c r="F196" s="16" t="n"/>
      <c r="G196" s="16" t="n"/>
      <c r="H196" s="16" t="n"/>
      <c r="I196" s="16" t="n"/>
      <c r="J196" s="16" t="n"/>
      <c r="K196" s="16" t="n">
        <v/>
      </c>
      <c r="L196" s="16" t="n">
        <v/>
      </c>
      <c r="M196" s="16" t="n">
        <v/>
      </c>
      <c r="N196" s="16" t="n">
        <v/>
      </c>
      <c r="O196" s="16" t="n">
        <v/>
      </c>
      <c r="P196" s="88" t="n"/>
    </row>
    <row r="197" ht="124.2" customFormat="1" customHeight="1" s="2">
      <c r="A197" s="6">
        <f>A191+1</f>
        <v/>
      </c>
      <c r="B197" s="4" t="inlineStr">
        <is>
          <t>Debris Disposal</t>
        </is>
      </c>
      <c r="C197" s="4"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D197" s="7" t="inlineStr">
        <is>
          <t>Truck</t>
        </is>
      </c>
      <c r="E197" s="17" t="n">
        <v>12</v>
      </c>
      <c r="F197" s="16" t="n"/>
      <c r="G197" s="16" t="n"/>
      <c r="H197" s="17" t="n"/>
      <c r="I197" s="17" t="n"/>
      <c r="J197" s="17" t="n"/>
      <c r="K197" s="16" t="n">
        <v/>
      </c>
      <c r="L197" s="16" t="n">
        <v/>
      </c>
      <c r="M197" s="17" t="n">
        <v/>
      </c>
      <c r="N197" s="17" t="n">
        <v/>
      </c>
      <c r="O197" s="17" t="n">
        <v/>
      </c>
      <c r="P197" s="88" t="n"/>
    </row>
    <row r="198" customFormat="1" s="2">
      <c r="A198" s="6" t="n"/>
      <c r="B198" s="4" t="n"/>
      <c r="C198" s="14" t="n"/>
      <c r="D198" s="7" t="n"/>
      <c r="E198" s="17" t="n"/>
      <c r="F198" s="16" t="n"/>
      <c r="G198" s="16" t="n"/>
      <c r="H198" s="16" t="n"/>
      <c r="I198" s="16" t="n"/>
      <c r="J198" s="16">
        <f>PRODUCT(F198:I198)</f>
        <v/>
      </c>
      <c r="K198" s="16" t="n">
        <v/>
      </c>
      <c r="L198" s="16" t="n">
        <v/>
      </c>
      <c r="M198" s="16" t="n">
        <v/>
      </c>
      <c r="N198" s="16" t="n">
        <v/>
      </c>
      <c r="O198" s="16" t="n">
        <v/>
      </c>
      <c r="P198" s="88" t="n"/>
    </row>
    <row r="199" customFormat="1" s="2">
      <c r="A199" s="6" t="n"/>
      <c r="B199" s="4" t="n"/>
      <c r="C199" s="4" t="inlineStr">
        <is>
          <t>As Per Challan</t>
        </is>
      </c>
      <c r="D199" s="7" t="inlineStr">
        <is>
          <t>Truck</t>
        </is>
      </c>
      <c r="E199" s="17" t="n"/>
      <c r="F199" s="33" t="n">
        <v>5</v>
      </c>
      <c r="G199" s="16" t="n"/>
      <c r="H199" s="16" t="n"/>
      <c r="I199" s="16" t="n"/>
      <c r="J199" s="16">
        <f>PRODUCT(F199:I199)</f>
        <v/>
      </c>
      <c r="K199" s="33" t="n">
        <v>5</v>
      </c>
      <c r="L199" s="16" t="n">
        <v/>
      </c>
      <c r="M199" s="16" t="n">
        <v/>
      </c>
      <c r="N199" s="16" t="n">
        <v/>
      </c>
      <c r="O199" s="16" t="n">
        <v/>
      </c>
      <c r="P199" s="88" t="inlineStr">
        <is>
          <t>Challan req</t>
        </is>
      </c>
    </row>
    <row r="200" customFormat="1" s="2">
      <c r="A200" s="6" t="n"/>
      <c r="B200" s="4" t="n"/>
      <c r="C200" s="4" t="n"/>
      <c r="D200" s="7" t="n"/>
      <c r="E200" s="17" t="n"/>
      <c r="F200" s="16" t="n"/>
      <c r="G200" s="16" t="n"/>
      <c r="H200" s="16" t="n"/>
      <c r="I200" s="16" t="n"/>
      <c r="J200" s="16">
        <f>PRODUCT(F200:I200)</f>
        <v/>
      </c>
      <c r="K200" s="16" t="n">
        <v/>
      </c>
      <c r="L200" s="16" t="n">
        <v/>
      </c>
      <c r="M200" s="16" t="n">
        <v/>
      </c>
      <c r="N200" s="16" t="n">
        <v/>
      </c>
      <c r="O200" s="16" t="n">
        <v/>
      </c>
      <c r="P200" s="88" t="n"/>
    </row>
    <row r="201" customFormat="1" s="2">
      <c r="A201" s="6" t="n"/>
      <c r="B201" s="4" t="n"/>
      <c r="C201" s="112" t="inlineStr">
        <is>
          <t>Total Qty</t>
        </is>
      </c>
      <c r="D201" s="7" t="n"/>
      <c r="E201" s="17" t="n"/>
      <c r="F201" s="16" t="n"/>
      <c r="G201" s="16" t="n"/>
      <c r="H201" s="16" t="n"/>
      <c r="I201" s="16" t="n"/>
      <c r="J201" s="26">
        <f>ROUND(SUM(J198:J200),)</f>
        <v/>
      </c>
      <c r="K201" s="16" t="n">
        <v/>
      </c>
      <c r="L201" s="16" t="n">
        <v/>
      </c>
      <c r="M201" s="16" t="n">
        <v/>
      </c>
      <c r="N201" s="16" t="n">
        <v/>
      </c>
      <c r="O201" s="26" t="n">
        <v/>
      </c>
      <c r="P201" s="88" t="n"/>
    </row>
    <row r="202" customFormat="1" s="2">
      <c r="A202" s="6" t="n"/>
      <c r="B202" s="4" t="n"/>
      <c r="C202" s="4" t="n"/>
      <c r="D202" s="7" t="n"/>
      <c r="E202" s="17" t="n"/>
      <c r="F202" s="16" t="n"/>
      <c r="G202" s="16" t="n"/>
      <c r="H202" s="16" t="n"/>
      <c r="I202" s="16" t="n"/>
      <c r="J202" s="16" t="n"/>
      <c r="K202" s="16" t="n">
        <v/>
      </c>
      <c r="L202" s="16" t="n">
        <v/>
      </c>
      <c r="M202" s="16" t="n">
        <v/>
      </c>
      <c r="N202" s="16" t="n">
        <v/>
      </c>
      <c r="O202" s="16" t="n">
        <v/>
      </c>
      <c r="P202" s="88" t="n"/>
    </row>
    <row r="203" ht="41.4" customFormat="1" customHeight="1" s="2">
      <c r="A203" s="6">
        <f>A197+1</f>
        <v/>
      </c>
      <c r="B203" s="4" t="inlineStr">
        <is>
          <t>Low Height Door for Teller</t>
        </is>
      </c>
      <c r="C203" s="4" t="inlineStr">
        <is>
          <t>Providing &amp;fixing door as per design &amp;size and including Godrej tribolt latch lock. Size of door to match the height of side partition. [approx 5ft x 2ft-6 ]</t>
        </is>
      </c>
      <c r="D203" s="5" t="inlineStr">
        <is>
          <t>nos</t>
        </is>
      </c>
      <c r="E203" s="16" t="n">
        <v>1</v>
      </c>
      <c r="F203" s="16" t="n"/>
      <c r="G203" s="16" t="n"/>
      <c r="H203" s="16" t="n"/>
      <c r="I203" s="16" t="n"/>
      <c r="J203" s="16" t="n"/>
      <c r="K203" s="16" t="n">
        <v/>
      </c>
      <c r="L203" s="16" t="n">
        <v/>
      </c>
      <c r="M203" s="16" t="n">
        <v/>
      </c>
      <c r="N203" s="16" t="n">
        <v/>
      </c>
      <c r="O203" s="16" t="n">
        <v/>
      </c>
      <c r="P203" s="88" t="n"/>
    </row>
    <row r="204" customFormat="1" s="2">
      <c r="A204" s="6" t="n"/>
      <c r="B204" s="4" t="n"/>
      <c r="C204" s="14" t="inlineStr">
        <is>
          <t>Cash Counter</t>
        </is>
      </c>
      <c r="D204" s="5" t="n"/>
      <c r="E204" s="16" t="n"/>
      <c r="F204" s="16" t="n"/>
      <c r="G204" s="16" t="n"/>
      <c r="H204" s="16" t="n"/>
      <c r="I204" s="16" t="n"/>
      <c r="J204" s="16">
        <f>PRODUCT(F204:I204)</f>
        <v/>
      </c>
      <c r="K204" s="16" t="n">
        <v/>
      </c>
      <c r="L204" s="16" t="n">
        <v/>
      </c>
      <c r="M204" s="16" t="n">
        <v/>
      </c>
      <c r="N204" s="16" t="n">
        <v/>
      </c>
      <c r="O204" s="16" t="n">
        <v/>
      </c>
      <c r="P204" s="88" t="n"/>
    </row>
    <row r="205" customFormat="1" s="2">
      <c r="A205" s="6" t="n"/>
      <c r="B205" s="4" t="n"/>
      <c r="C205" s="4" t="inlineStr">
        <is>
          <t>Entry Door</t>
        </is>
      </c>
      <c r="D205" s="5" t="inlineStr">
        <is>
          <t>Nos</t>
        </is>
      </c>
      <c r="E205" s="16" t="n"/>
      <c r="F205" s="16" t="n">
        <v>1</v>
      </c>
      <c r="G205" s="16" t="n"/>
      <c r="H205" s="16" t="n"/>
      <c r="I205" s="16" t="n"/>
      <c r="J205" s="16">
        <f>PRODUCT(F205:I205)</f>
        <v/>
      </c>
      <c r="K205" s="16" t="n">
        <v>1</v>
      </c>
      <c r="L205" s="16" t="n">
        <v/>
      </c>
      <c r="M205" s="16" t="n">
        <v/>
      </c>
      <c r="N205" s="16" t="n">
        <v/>
      </c>
      <c r="O205" s="16" t="n">
        <v/>
      </c>
      <c r="P205" s="88" t="n"/>
    </row>
    <row r="206" customFormat="1" s="2">
      <c r="A206" s="6" t="n"/>
      <c r="B206" s="4" t="n"/>
      <c r="C206" s="14" t="inlineStr">
        <is>
          <t>Below Staircase Area</t>
        </is>
      </c>
      <c r="D206" s="5" t="n"/>
      <c r="E206" s="16" t="n"/>
      <c r="F206" s="16" t="n"/>
      <c r="G206" s="16" t="n"/>
      <c r="H206" s="16" t="n"/>
      <c r="I206" s="16" t="n"/>
      <c r="J206" s="16">
        <f>PRODUCT(F206:I206)</f>
        <v/>
      </c>
      <c r="K206" s="16" t="n">
        <v/>
      </c>
      <c r="L206" s="16" t="n">
        <v/>
      </c>
      <c r="M206" s="16" t="n">
        <v/>
      </c>
      <c r="N206" s="16" t="n">
        <v/>
      </c>
      <c r="O206" s="16" t="n">
        <v/>
      </c>
      <c r="P206" s="88" t="n"/>
    </row>
    <row r="207" customFormat="1" s="2">
      <c r="A207" s="6" t="n"/>
      <c r="B207" s="4" t="n"/>
      <c r="C207" s="4" t="inlineStr">
        <is>
          <t>Entry Door</t>
        </is>
      </c>
      <c r="D207" s="5" t="inlineStr">
        <is>
          <t>Nos</t>
        </is>
      </c>
      <c r="E207" s="16" t="n"/>
      <c r="F207" s="16" t="n">
        <v>1</v>
      </c>
      <c r="G207" s="16" t="n"/>
      <c r="H207" s="16" t="n"/>
      <c r="I207" s="16" t="n"/>
      <c r="J207" s="16">
        <f>PRODUCT(F207:I207)</f>
        <v/>
      </c>
      <c r="K207" s="16" t="n">
        <v>1</v>
      </c>
      <c r="L207" s="16" t="n">
        <v/>
      </c>
      <c r="M207" s="16" t="n">
        <v/>
      </c>
      <c r="N207" s="16" t="n">
        <v/>
      </c>
      <c r="O207" s="16" t="n">
        <v/>
      </c>
      <c r="P207" s="88" t="n"/>
    </row>
    <row r="208" customFormat="1" s="2">
      <c r="A208" s="6" t="n"/>
      <c r="B208" s="4" t="n"/>
      <c r="C208" s="4" t="n"/>
      <c r="D208" s="5" t="n"/>
      <c r="E208" s="16" t="n"/>
      <c r="F208" s="16" t="n"/>
      <c r="G208" s="16" t="n"/>
      <c r="H208" s="16" t="n"/>
      <c r="I208" s="16" t="n"/>
      <c r="J208" s="16">
        <f>PRODUCT(F208:I208)</f>
        <v/>
      </c>
      <c r="K208" s="16" t="n">
        <v/>
      </c>
      <c r="L208" s="16" t="n">
        <v/>
      </c>
      <c r="M208" s="16" t="n">
        <v/>
      </c>
      <c r="N208" s="16" t="n">
        <v/>
      </c>
      <c r="O208" s="16" t="n">
        <v/>
      </c>
      <c r="P208" s="88" t="n"/>
    </row>
    <row r="209" customFormat="1" s="2">
      <c r="A209" s="111" t="n"/>
      <c r="B209" s="111" t="n"/>
      <c r="C209" s="112" t="inlineStr">
        <is>
          <t>Total Qty</t>
        </is>
      </c>
      <c r="D209" s="113" t="n"/>
      <c r="E209" s="114" t="n"/>
      <c r="F209" s="114" t="n"/>
      <c r="G209" s="114" t="n"/>
      <c r="H209" s="114" t="n"/>
      <c r="I209" s="114" t="n"/>
      <c r="J209" s="114">
        <f>SUM(J204:J208)</f>
        <v/>
      </c>
      <c r="K209" s="114" t="n">
        <v/>
      </c>
      <c r="L209" s="114" t="n">
        <v/>
      </c>
      <c r="M209" s="114" t="n">
        <v/>
      </c>
      <c r="N209" s="114" t="n">
        <v/>
      </c>
      <c r="O209" s="114" t="n">
        <v/>
      </c>
      <c r="P209" s="88" t="n"/>
    </row>
    <row r="210">
      <c r="A210" s="117" t="n"/>
      <c r="B210" s="117" t="n"/>
      <c r="C210" s="117" t="n"/>
      <c r="D210" s="117" t="n"/>
      <c r="E210" s="118" t="n"/>
      <c r="F210" s="119" t="n"/>
      <c r="G210" s="119" t="n"/>
      <c r="H210" s="119" t="n"/>
      <c r="I210" s="119" t="n"/>
      <c r="J210" s="119" t="n"/>
      <c r="K210" s="119" t="n">
        <v/>
      </c>
      <c r="L210" s="119" t="n">
        <v/>
      </c>
      <c r="M210" s="119" t="n">
        <v/>
      </c>
      <c r="N210" s="119" t="n">
        <v/>
      </c>
      <c r="O210" s="119" t="n">
        <v/>
      </c>
      <c r="P210" s="117" t="n"/>
    </row>
    <row r="211" ht="151.8" customFormat="1" customHeight="1" s="2">
      <c r="A211" s="6">
        <f>A203+1</f>
        <v/>
      </c>
      <c r="B211" s="4" t="inlineStr">
        <is>
          <t>Vitrified Tile for Flooring</t>
        </is>
      </c>
      <c r="C211"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D211" s="7" t="inlineStr">
        <is>
          <t>Sft</t>
        </is>
      </c>
      <c r="E211" s="17" t="n">
        <v>127</v>
      </c>
      <c r="F211" s="16" t="n"/>
      <c r="G211" s="16" t="n"/>
      <c r="H211" s="17" t="n"/>
      <c r="I211" s="17" t="n"/>
      <c r="J211" s="17" t="n"/>
      <c r="K211" s="16" t="n">
        <v/>
      </c>
      <c r="L211" s="16" t="n">
        <v/>
      </c>
      <c r="M211" s="17" t="n">
        <v/>
      </c>
      <c r="N211" s="17" t="n">
        <v/>
      </c>
      <c r="O211" s="17" t="n">
        <v/>
      </c>
      <c r="P211" s="88" t="n"/>
    </row>
    <row r="212" customFormat="1" s="2">
      <c r="A212" s="6" t="n"/>
      <c r="B212" s="4" t="n"/>
      <c r="C212" s="14" t="inlineStr">
        <is>
          <t>Gents Toilet</t>
        </is>
      </c>
      <c r="D212" s="5" t="n"/>
      <c r="E212" s="16" t="n"/>
      <c r="F212" s="16" t="n"/>
      <c r="G212" s="16" t="n"/>
      <c r="H212" s="16" t="n"/>
      <c r="I212" s="16" t="n"/>
      <c r="J212" s="16">
        <f>PRODUCT(F212:I212)</f>
        <v/>
      </c>
      <c r="K212" s="16" t="n">
        <v/>
      </c>
      <c r="L212" s="16" t="n">
        <v/>
      </c>
      <c r="M212" s="16" t="n">
        <v/>
      </c>
      <c r="N212" s="16" t="n">
        <v/>
      </c>
      <c r="O212" s="16" t="n">
        <v/>
      </c>
      <c r="P212" s="88" t="n"/>
    </row>
    <row r="213" customFormat="1" s="2">
      <c r="A213" s="6" t="n"/>
      <c r="B213" s="4" t="n"/>
      <c r="C213" s="4" t="inlineStr">
        <is>
          <t>Floor Area</t>
        </is>
      </c>
      <c r="D213" s="5" t="inlineStr">
        <is>
          <t>Sq.ft</t>
        </is>
      </c>
      <c r="E213" s="16" t="n"/>
      <c r="F213" s="16" t="n">
        <v>1</v>
      </c>
      <c r="G213" s="16" t="n">
        <v>8.58</v>
      </c>
      <c r="H213" s="16" t="n">
        <v>4.08</v>
      </c>
      <c r="I213" s="16" t="n"/>
      <c r="J213" s="16">
        <f>PRODUCT(F213:I213)</f>
        <v/>
      </c>
      <c r="K213" s="16" t="n">
        <v>1</v>
      </c>
      <c r="L213" s="16" t="n">
        <v/>
      </c>
      <c r="M213" s="16" t="n">
        <v/>
      </c>
      <c r="N213" s="16" t="n">
        <v/>
      </c>
      <c r="O213" s="16" t="n">
        <v/>
      </c>
      <c r="P213" s="88" t="n"/>
    </row>
    <row r="214" customFormat="1" s="2">
      <c r="A214" s="6" t="n"/>
      <c r="B214" s="4" t="n"/>
      <c r="C214" s="4" t="inlineStr">
        <is>
          <t>Add Door Sill</t>
        </is>
      </c>
      <c r="D214" s="5" t="inlineStr">
        <is>
          <t>Sq.ft</t>
        </is>
      </c>
      <c r="E214" s="16" t="n"/>
      <c r="F214" s="16" t="n">
        <v>1</v>
      </c>
      <c r="G214" s="16" t="n">
        <v>2.42</v>
      </c>
      <c r="H214" s="16" t="n">
        <v>0.5</v>
      </c>
      <c r="I214" s="16" t="n"/>
      <c r="J214" s="16">
        <f>PRODUCT(F214:I214)</f>
        <v/>
      </c>
      <c r="K214" s="16" t="n">
        <v>1</v>
      </c>
      <c r="L214" s="16" t="n">
        <v/>
      </c>
      <c r="M214" s="16" t="n">
        <v/>
      </c>
      <c r="N214" s="16" t="n">
        <v/>
      </c>
      <c r="O214" s="16" t="n">
        <v/>
      </c>
      <c r="P214" s="88" t="n"/>
    </row>
    <row r="215" customFormat="1" s="2">
      <c r="A215" s="6" t="n"/>
      <c r="B215" s="4" t="n"/>
      <c r="C215" s="14" t="inlineStr">
        <is>
          <t>Toilet Passage</t>
        </is>
      </c>
      <c r="D215" s="5" t="n"/>
      <c r="E215" s="16" t="n"/>
      <c r="F215" s="16" t="n"/>
      <c r="G215" s="16" t="n"/>
      <c r="H215" s="16" t="n"/>
      <c r="I215" s="16" t="n"/>
      <c r="J215" s="16">
        <f>PRODUCT(F215:I215)</f>
        <v/>
      </c>
      <c r="K215" s="16" t="n">
        <v/>
      </c>
      <c r="L215" s="16" t="n">
        <v/>
      </c>
      <c r="M215" s="16" t="n">
        <v/>
      </c>
      <c r="N215" s="16" t="n">
        <v/>
      </c>
      <c r="O215" s="16" t="n">
        <v/>
      </c>
      <c r="P215" s="88" t="n"/>
    </row>
    <row r="216" customFormat="1" s="2">
      <c r="A216" s="6" t="n"/>
      <c r="B216" s="4" t="n"/>
      <c r="C216" s="4" t="inlineStr">
        <is>
          <t>Floor Area</t>
        </is>
      </c>
      <c r="D216" s="5" t="inlineStr">
        <is>
          <t>Sq.ft</t>
        </is>
      </c>
      <c r="E216" s="16" t="n"/>
      <c r="F216" s="16" t="n">
        <v>1</v>
      </c>
      <c r="G216" s="16" t="n">
        <v>3.35</v>
      </c>
      <c r="H216" s="16" t="n">
        <v>3.84</v>
      </c>
      <c r="I216" s="16" t="n"/>
      <c r="J216" s="16">
        <f>PRODUCT(F216:I216)</f>
        <v/>
      </c>
      <c r="K216" s="16" t="n">
        <v>1</v>
      </c>
      <c r="L216" s="16" t="n">
        <v/>
      </c>
      <c r="M216" s="16" t="n">
        <v/>
      </c>
      <c r="N216" s="16" t="n">
        <v/>
      </c>
      <c r="O216" s="16" t="n">
        <v/>
      </c>
      <c r="P216" s="88" t="n"/>
    </row>
    <row r="217" customFormat="1" s="2">
      <c r="A217" s="6" t="n"/>
      <c r="B217" s="4" t="n"/>
      <c r="C217" s="14" t="inlineStr">
        <is>
          <t>Ladies Toilet</t>
        </is>
      </c>
      <c r="D217" s="5" t="n"/>
      <c r="E217" s="16" t="n"/>
      <c r="F217" s="16" t="n"/>
      <c r="G217" s="16" t="n"/>
      <c r="H217" s="16" t="n"/>
      <c r="I217" s="16" t="n"/>
      <c r="J217" s="16">
        <f>PRODUCT(F217:I217)</f>
        <v/>
      </c>
      <c r="K217" s="16" t="n">
        <v/>
      </c>
      <c r="L217" s="16" t="n">
        <v/>
      </c>
      <c r="M217" s="16" t="n">
        <v/>
      </c>
      <c r="N217" s="16" t="n">
        <v/>
      </c>
      <c r="O217" s="16" t="n">
        <v/>
      </c>
      <c r="P217" s="88" t="n"/>
    </row>
    <row r="218" customFormat="1" s="2">
      <c r="A218" s="6" t="n"/>
      <c r="B218" s="4" t="n"/>
      <c r="C218" s="4" t="inlineStr">
        <is>
          <t>Floor Area</t>
        </is>
      </c>
      <c r="D218" s="5" t="inlineStr">
        <is>
          <t>Sq.ft</t>
        </is>
      </c>
      <c r="E218" s="16" t="n"/>
      <c r="F218" s="16" t="n">
        <v>1</v>
      </c>
      <c r="G218" s="16" t="n">
        <v>3.82</v>
      </c>
      <c r="H218" s="16" t="n">
        <v>5.42</v>
      </c>
      <c r="I218" s="16" t="n"/>
      <c r="J218" s="16">
        <f>PRODUCT(F218:I218)</f>
        <v/>
      </c>
      <c r="K218" s="16" t="n">
        <v>1</v>
      </c>
      <c r="L218" s="16" t="n">
        <v/>
      </c>
      <c r="M218" s="16" t="n">
        <v/>
      </c>
      <c r="N218" s="16" t="n">
        <v/>
      </c>
      <c r="O218" s="16" t="n">
        <v/>
      </c>
      <c r="P218" s="88" t="n"/>
    </row>
    <row r="219" customFormat="1" s="2">
      <c r="A219" s="6" t="n"/>
      <c r="B219" s="4" t="n"/>
      <c r="C219" s="4" t="inlineStr">
        <is>
          <t>Add Door Sill</t>
        </is>
      </c>
      <c r="D219" s="5" t="inlineStr">
        <is>
          <t>Sq.ft</t>
        </is>
      </c>
      <c r="E219" s="16" t="n"/>
      <c r="F219" s="16" t="n">
        <v>1</v>
      </c>
      <c r="G219" s="16" t="n">
        <v>2.42</v>
      </c>
      <c r="H219" s="16" t="n">
        <v>0.5</v>
      </c>
      <c r="I219" s="16" t="n"/>
      <c r="J219" s="16">
        <f>PRODUCT(F219:I219)</f>
        <v/>
      </c>
      <c r="K219" s="16" t="n">
        <v>1</v>
      </c>
      <c r="L219" s="16" t="n">
        <v/>
      </c>
      <c r="M219" s="16" t="n">
        <v/>
      </c>
      <c r="N219" s="16" t="n">
        <v/>
      </c>
      <c r="O219" s="16" t="n">
        <v/>
      </c>
      <c r="P219" s="88" t="n"/>
    </row>
    <row r="220" customFormat="1" s="2">
      <c r="A220" s="6" t="n"/>
      <c r="B220" s="4" t="n"/>
      <c r="C220" s="14" t="inlineStr">
        <is>
          <t>Pantry Area</t>
        </is>
      </c>
      <c r="D220" s="5" t="n"/>
      <c r="E220" s="16" t="n"/>
      <c r="F220" s="16" t="n"/>
      <c r="G220" s="16" t="n"/>
      <c r="H220" s="16" t="n"/>
      <c r="I220" s="16" t="n"/>
      <c r="J220" s="16" t="n"/>
      <c r="K220" s="16" t="n">
        <v/>
      </c>
      <c r="L220" s="16" t="n">
        <v/>
      </c>
      <c r="M220" s="16" t="n">
        <v/>
      </c>
      <c r="N220" s="16" t="n">
        <v/>
      </c>
      <c r="O220" s="16" t="n">
        <v/>
      </c>
      <c r="P220" s="88" t="n"/>
    </row>
    <row r="221" customFormat="1" s="2">
      <c r="A221" s="6" t="n"/>
      <c r="B221" s="4" t="n"/>
      <c r="C221" s="4" t="inlineStr">
        <is>
          <t>Floor Area</t>
        </is>
      </c>
      <c r="D221" s="5" t="inlineStr">
        <is>
          <t>Sq.ft</t>
        </is>
      </c>
      <c r="E221" s="16" t="n"/>
      <c r="F221" s="16" t="n">
        <v>1</v>
      </c>
      <c r="G221" s="16">
        <f>10+0.17</f>
        <v/>
      </c>
      <c r="H221" s="16" t="n">
        <v>6.75</v>
      </c>
      <c r="I221" s="16" t="n"/>
      <c r="J221" s="16">
        <f>PRODUCT(F221:I221)</f>
        <v/>
      </c>
      <c r="K221" s="16" t="n">
        <v>1</v>
      </c>
      <c r="L221" s="16" t="n">
        <v/>
      </c>
      <c r="M221" s="16" t="n">
        <v/>
      </c>
      <c r="N221" s="16" t="n">
        <v/>
      </c>
      <c r="O221" s="16" t="n">
        <v/>
      </c>
      <c r="P221" s="88" t="n"/>
    </row>
    <row r="222" customFormat="1" s="2">
      <c r="A222" s="6" t="n"/>
      <c r="B222" s="4" t="n"/>
      <c r="C222" s="4" t="n"/>
      <c r="D222" s="5" t="n"/>
      <c r="E222" s="16" t="n"/>
      <c r="F222" s="16" t="n"/>
      <c r="G222" s="16" t="n"/>
      <c r="H222" s="16" t="n"/>
      <c r="I222" s="16" t="n"/>
      <c r="J222" s="16">
        <f>PRODUCT(F222:I222)</f>
        <v/>
      </c>
      <c r="K222" s="16" t="n">
        <v/>
      </c>
      <c r="L222" s="16" t="n">
        <v/>
      </c>
      <c r="M222" s="16" t="n">
        <v/>
      </c>
      <c r="N222" s="16" t="n">
        <v/>
      </c>
      <c r="O222" s="16" t="n">
        <v/>
      </c>
      <c r="P222" s="88" t="n"/>
    </row>
    <row r="223" customFormat="1" s="2">
      <c r="A223" s="111" t="n"/>
      <c r="B223" s="111" t="n"/>
      <c r="C223" s="112" t="inlineStr">
        <is>
          <t>Total Qty</t>
        </is>
      </c>
      <c r="D223" s="113" t="n"/>
      <c r="E223" s="114" t="n"/>
      <c r="F223" s="114" t="n"/>
      <c r="G223" s="114" t="n"/>
      <c r="H223" s="114" t="n"/>
      <c r="I223" s="114" t="n"/>
      <c r="J223" s="114">
        <f>ROUND(SUM(J212:J222),)</f>
        <v/>
      </c>
      <c r="K223" s="114" t="n">
        <v/>
      </c>
      <c r="L223" s="114" t="n">
        <v/>
      </c>
      <c r="M223" s="114" t="n">
        <v/>
      </c>
      <c r="N223" s="114" t="n">
        <v/>
      </c>
      <c r="O223" s="114" t="n">
        <v/>
      </c>
      <c r="P223" s="88" t="n"/>
    </row>
    <row r="224" customFormat="1" s="2">
      <c r="A224" s="6" t="n"/>
      <c r="B224" s="4" t="n"/>
      <c r="C224" s="4" t="n"/>
      <c r="D224" s="5" t="n"/>
      <c r="E224" s="16" t="n"/>
      <c r="F224" s="16" t="n"/>
      <c r="G224" s="16" t="n"/>
      <c r="H224" s="16" t="n"/>
      <c r="I224" s="16" t="n"/>
      <c r="J224" s="16" t="n"/>
      <c r="K224" s="16" t="n">
        <v/>
      </c>
      <c r="L224" s="16" t="n">
        <v/>
      </c>
      <c r="M224" s="16" t="n">
        <v/>
      </c>
      <c r="N224" s="16" t="n">
        <v/>
      </c>
      <c r="O224" s="16" t="n">
        <v/>
      </c>
      <c r="P224" s="88" t="n"/>
    </row>
    <row r="225" ht="151.8" customFormat="1" customHeight="1" s="2">
      <c r="A225" s="6">
        <f>A211+1</f>
        <v/>
      </c>
      <c r="B225" s="4" t="inlineStr">
        <is>
          <t>Vitrified Tile for Flooring 80x80</t>
        </is>
      </c>
      <c r="C225"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D225" s="7" t="inlineStr">
        <is>
          <t>Sft</t>
        </is>
      </c>
      <c r="E225" s="17" t="n">
        <v>861</v>
      </c>
      <c r="F225" s="16" t="n"/>
      <c r="G225" s="16" t="n"/>
      <c r="H225" s="16" t="n"/>
      <c r="I225" s="16" t="n"/>
      <c r="J225" s="16" t="n"/>
      <c r="K225" s="16" t="n">
        <v/>
      </c>
      <c r="L225" s="16" t="n">
        <v/>
      </c>
      <c r="M225" s="16" t="n">
        <v/>
      </c>
      <c r="N225" s="16" t="n">
        <v/>
      </c>
      <c r="O225" s="16" t="n">
        <v/>
      </c>
      <c r="P225" s="88" t="n"/>
    </row>
    <row r="226" customFormat="1" s="2">
      <c r="A226" s="6" t="n"/>
      <c r="B226" s="4" t="n"/>
      <c r="C226" s="14" t="inlineStr">
        <is>
          <t>Mezzanine Floor</t>
        </is>
      </c>
      <c r="D226" s="7" t="n"/>
      <c r="E226" s="17" t="n"/>
      <c r="F226" s="16" t="n"/>
      <c r="G226" s="16" t="n"/>
      <c r="H226" s="16" t="n"/>
      <c r="I226" s="16" t="n"/>
      <c r="J226" s="16" t="n"/>
      <c r="K226" s="16" t="n">
        <v/>
      </c>
      <c r="L226" s="16" t="n">
        <v/>
      </c>
      <c r="M226" s="16" t="n">
        <v/>
      </c>
      <c r="N226" s="16" t="n">
        <v/>
      </c>
      <c r="O226" s="16" t="n">
        <v/>
      </c>
      <c r="P226" s="88" t="n"/>
    </row>
    <row r="227" customFormat="1" s="2">
      <c r="A227" s="6" t="n"/>
      <c r="B227" s="4" t="n"/>
      <c r="C227" s="14" t="inlineStr">
        <is>
          <t>ATM</t>
        </is>
      </c>
      <c r="D227" s="7" t="n"/>
      <c r="E227" s="17" t="n"/>
      <c r="F227" s="16" t="n"/>
      <c r="G227" s="16" t="n"/>
      <c r="H227" s="16" t="n"/>
      <c r="I227" s="16" t="n"/>
      <c r="J227" s="16">
        <f>PRODUCT(F227:I227)</f>
        <v/>
      </c>
      <c r="K227" s="16" t="n">
        <v/>
      </c>
      <c r="L227" s="16" t="n">
        <v/>
      </c>
      <c r="M227" s="16" t="n">
        <v/>
      </c>
      <c r="N227" s="16" t="n">
        <v/>
      </c>
      <c r="O227" s="16" t="n">
        <v/>
      </c>
      <c r="P227" s="88" t="n"/>
    </row>
    <row r="228" customFormat="1" s="2">
      <c r="A228" s="6" t="n"/>
      <c r="B228" s="4" t="n"/>
      <c r="C228" s="4" t="inlineStr">
        <is>
          <t>Floor Area</t>
        </is>
      </c>
      <c r="D228" s="7" t="inlineStr">
        <is>
          <t>Sq.ft</t>
        </is>
      </c>
      <c r="E228" s="17" t="n"/>
      <c r="F228" s="16" t="n">
        <v>1</v>
      </c>
      <c r="G228" s="16" t="n">
        <v>11.58</v>
      </c>
      <c r="H228" s="33" t="n">
        <v>7.36</v>
      </c>
      <c r="I228" s="16" t="n"/>
      <c r="J228" s="16">
        <f>PRODUCT(F228:I228)</f>
        <v/>
      </c>
      <c r="K228" s="16" t="n">
        <v>1</v>
      </c>
      <c r="L228" s="16" t="n">
        <v/>
      </c>
      <c r="M228" s="33" t="n">
        <v/>
      </c>
      <c r="N228" s="16" t="n">
        <v/>
      </c>
      <c r="O228" s="16" t="n">
        <v/>
      </c>
      <c r="P228" s="88" t="n"/>
    </row>
    <row r="229" customFormat="1" s="2">
      <c r="A229" s="6" t="n"/>
      <c r="B229" s="4" t="n"/>
      <c r="C229" s="4" t="inlineStr">
        <is>
          <t>Add Offset Area</t>
        </is>
      </c>
      <c r="D229" s="7" t="inlineStr">
        <is>
          <t>Sq.ft</t>
        </is>
      </c>
      <c r="E229" s="17" t="n"/>
      <c r="F229" s="16" t="n">
        <v>1</v>
      </c>
      <c r="G229" s="16" t="n">
        <v>3</v>
      </c>
      <c r="H229" s="16" t="n">
        <v>0.5</v>
      </c>
      <c r="I229" s="16" t="n"/>
      <c r="J229" s="16">
        <f>PRODUCT(F229:I229)</f>
        <v/>
      </c>
      <c r="K229" s="16" t="n">
        <v>1</v>
      </c>
      <c r="L229" s="16" t="n">
        <v/>
      </c>
      <c r="M229" s="16" t="n">
        <v/>
      </c>
      <c r="N229" s="16" t="n">
        <v/>
      </c>
      <c r="O229" s="16" t="n">
        <v/>
      </c>
      <c r="P229" s="88" t="n"/>
    </row>
    <row r="230" customFormat="1" s="2">
      <c r="A230" s="6" t="n"/>
      <c r="B230" s="4" t="n"/>
      <c r="C230" s="14" t="inlineStr">
        <is>
          <t>Branch Area</t>
        </is>
      </c>
      <c r="D230" s="7" t="n"/>
      <c r="E230" s="17" t="n"/>
      <c r="F230" s="16" t="n"/>
      <c r="G230" s="16" t="n"/>
      <c r="H230" s="16" t="n"/>
      <c r="I230" s="16" t="n"/>
      <c r="J230" s="16">
        <f>PRODUCT(F230:I230)</f>
        <v/>
      </c>
      <c r="K230" s="16" t="n">
        <v/>
      </c>
      <c r="L230" s="16" t="n">
        <v/>
      </c>
      <c r="M230" s="16" t="n">
        <v/>
      </c>
      <c r="N230" s="16" t="n">
        <v/>
      </c>
      <c r="O230" s="16" t="n">
        <v/>
      </c>
      <c r="P230" s="88" t="n"/>
    </row>
    <row r="231" customFormat="1" s="2">
      <c r="A231" s="6" t="n"/>
      <c r="B231" s="4" t="n"/>
      <c r="C231" s="4" t="inlineStr">
        <is>
          <t>Part 1</t>
        </is>
      </c>
      <c r="D231" s="7" t="inlineStr">
        <is>
          <t>Sq.ft</t>
        </is>
      </c>
      <c r="E231" s="17" t="n"/>
      <c r="F231" s="16" t="n">
        <v>1</v>
      </c>
      <c r="G231" s="16">
        <f>18.8+0.42</f>
        <v/>
      </c>
      <c r="H231" s="16" t="n">
        <v>10.75</v>
      </c>
      <c r="I231" s="16" t="n"/>
      <c r="J231" s="16">
        <f>PRODUCT(F231:I231)</f>
        <v/>
      </c>
      <c r="K231" s="16" t="n">
        <v>1</v>
      </c>
      <c r="L231" s="16" t="n">
        <v/>
      </c>
      <c r="M231" s="16" t="n">
        <v/>
      </c>
      <c r="N231" s="16" t="n">
        <v/>
      </c>
      <c r="O231" s="16" t="n">
        <v/>
      </c>
      <c r="P231" s="88" t="n"/>
    </row>
    <row r="232" customFormat="1" s="2">
      <c r="A232" s="6" t="n"/>
      <c r="B232" s="4" t="n"/>
      <c r="C232" s="4" t="inlineStr">
        <is>
          <t>Part 2</t>
        </is>
      </c>
      <c r="D232" s="7" t="inlineStr">
        <is>
          <t>Sq.ft</t>
        </is>
      </c>
      <c r="E232" s="17" t="n"/>
      <c r="F232" s="16" t="n">
        <v>1</v>
      </c>
      <c r="G232" s="16">
        <f>(9.75+15.25)/2</f>
        <v/>
      </c>
      <c r="H232" s="16" t="n">
        <v>20.33</v>
      </c>
      <c r="I232" s="16" t="n"/>
      <c r="J232" s="16">
        <f>PRODUCT(F232:I232)</f>
        <v/>
      </c>
      <c r="K232" s="16" t="n">
        <v>1</v>
      </c>
      <c r="L232" s="16" t="n">
        <v/>
      </c>
      <c r="M232" s="16" t="n">
        <v/>
      </c>
      <c r="N232" s="16" t="n">
        <v/>
      </c>
      <c r="O232" s="16" t="n">
        <v/>
      </c>
      <c r="P232" s="88" t="n"/>
    </row>
    <row r="233" customFormat="1" s="2">
      <c r="A233" s="6" t="n"/>
      <c r="B233" s="4" t="n"/>
      <c r="C233" s="4" t="inlineStr">
        <is>
          <t>Column Area ( - )</t>
        </is>
      </c>
      <c r="D233" s="7" t="inlineStr">
        <is>
          <t>Sq.ft</t>
        </is>
      </c>
      <c r="E233" s="17" t="n"/>
      <c r="F233" s="16" t="n">
        <v>-1</v>
      </c>
      <c r="G233" s="16" t="n">
        <v>4</v>
      </c>
      <c r="H233" s="16" t="n">
        <v>1</v>
      </c>
      <c r="I233" s="16" t="n"/>
      <c r="J233" s="16">
        <f>PRODUCT(F233:I233)</f>
        <v/>
      </c>
      <c r="K233" s="16" t="n">
        <v>-1</v>
      </c>
      <c r="L233" s="16" t="n">
        <v/>
      </c>
      <c r="M233" s="16" t="n">
        <v/>
      </c>
      <c r="N233" s="16" t="n">
        <v/>
      </c>
      <c r="O233" s="16" t="n">
        <v/>
      </c>
      <c r="P233" s="88" t="n"/>
    </row>
    <row r="234" customFormat="1" s="2">
      <c r="A234" s="6" t="n"/>
      <c r="B234" s="4" t="n"/>
      <c r="C234" s="4" t="inlineStr">
        <is>
          <t>Column Area ( - )</t>
        </is>
      </c>
      <c r="D234" s="7" t="inlineStr">
        <is>
          <t>Sq.ft</t>
        </is>
      </c>
      <c r="E234" s="17" t="n"/>
      <c r="F234" s="16" t="n">
        <v>-1</v>
      </c>
      <c r="G234" s="16" t="n">
        <v>3.08</v>
      </c>
      <c r="H234" s="16" t="n">
        <v>1</v>
      </c>
      <c r="I234" s="16" t="n"/>
      <c r="J234" s="16">
        <f>PRODUCT(F234:I234)</f>
        <v/>
      </c>
      <c r="K234" s="16" t="n">
        <v>-1</v>
      </c>
      <c r="L234" s="16" t="n">
        <v/>
      </c>
      <c r="M234" s="16" t="n">
        <v/>
      </c>
      <c r="N234" s="16" t="n">
        <v/>
      </c>
      <c r="O234" s="16" t="n">
        <v/>
      </c>
      <c r="P234" s="88" t="n"/>
    </row>
    <row r="235" customFormat="1" s="2">
      <c r="A235" s="6" t="n"/>
      <c r="B235" s="4" t="n"/>
      <c r="C235" s="14" t="inlineStr">
        <is>
          <t>Back Office Area</t>
        </is>
      </c>
      <c r="D235" s="7" t="n"/>
      <c r="E235" s="17" t="n"/>
      <c r="F235" s="16" t="n"/>
      <c r="G235" s="16" t="n"/>
      <c r="H235" s="16" t="n"/>
      <c r="I235" s="16" t="n"/>
      <c r="J235" s="16">
        <f>PRODUCT(F235:I235)</f>
        <v/>
      </c>
      <c r="K235" s="16" t="n">
        <v/>
      </c>
      <c r="L235" s="16" t="n">
        <v/>
      </c>
      <c r="M235" s="16" t="n">
        <v/>
      </c>
      <c r="N235" s="16" t="n">
        <v/>
      </c>
      <c r="O235" s="16" t="n">
        <v/>
      </c>
      <c r="P235" s="88" t="n"/>
    </row>
    <row r="236" customFormat="1" s="2">
      <c r="A236" s="6" t="n"/>
      <c r="B236" s="4" t="n"/>
      <c r="C236" s="4" t="inlineStr">
        <is>
          <t>Floor Area</t>
        </is>
      </c>
      <c r="D236" s="7" t="inlineStr">
        <is>
          <t>Sq.ft</t>
        </is>
      </c>
      <c r="E236" s="17" t="n"/>
      <c r="F236" s="16" t="n">
        <v>1</v>
      </c>
      <c r="G236" s="16" t="n">
        <v>12.08</v>
      </c>
      <c r="H236" s="33" t="n">
        <v>14.95</v>
      </c>
      <c r="I236" s="16" t="n"/>
      <c r="J236" s="16">
        <f>PRODUCT(F236:I236)</f>
        <v/>
      </c>
      <c r="K236" s="16" t="n">
        <v>1</v>
      </c>
      <c r="L236" s="16" t="n">
        <v/>
      </c>
      <c r="M236" s="33" t="n">
        <v/>
      </c>
      <c r="N236" s="16" t="n">
        <v/>
      </c>
      <c r="O236" s="16" t="n">
        <v/>
      </c>
      <c r="P236" s="88" t="n"/>
    </row>
    <row r="237" customFormat="1" s="2">
      <c r="A237" s="6" t="n"/>
      <c r="B237" s="4" t="n"/>
      <c r="C237" s="4" t="inlineStr">
        <is>
          <t>Floor Area ( Column To Wall )</t>
        </is>
      </c>
      <c r="D237" s="7" t="inlineStr">
        <is>
          <t>Sq.ft</t>
        </is>
      </c>
      <c r="E237" s="17" t="n"/>
      <c r="F237" s="16" t="n">
        <v>1</v>
      </c>
      <c r="G237" s="16" t="n">
        <v>8.25</v>
      </c>
      <c r="H237" s="16" t="n">
        <v>1</v>
      </c>
      <c r="I237" s="16" t="n"/>
      <c r="J237" s="16">
        <f>PRODUCT(F237:I237)</f>
        <v/>
      </c>
      <c r="K237" s="16" t="n">
        <v>1</v>
      </c>
      <c r="L237" s="16" t="n">
        <v/>
      </c>
      <c r="M237" s="16" t="n">
        <v/>
      </c>
      <c r="N237" s="16" t="n">
        <v/>
      </c>
      <c r="O237" s="16" t="n">
        <v/>
      </c>
      <c r="P237" s="88" t="n"/>
    </row>
    <row r="238" customFormat="1" s="2">
      <c r="A238" s="6" t="n"/>
      <c r="B238" s="4" t="n"/>
      <c r="C238" s="4" t="inlineStr">
        <is>
          <t>Floor Area ( Pantry &amp; Passage  )</t>
        </is>
      </c>
      <c r="D238" s="7" t="inlineStr">
        <is>
          <t>Sq.ft</t>
        </is>
      </c>
      <c r="E238" s="17" t="n"/>
      <c r="F238" s="16" t="n">
        <v>1</v>
      </c>
      <c r="G238" s="16" t="n">
        <v>4.5</v>
      </c>
      <c r="H238" s="16" t="n">
        <v>14</v>
      </c>
      <c r="I238" s="16" t="n"/>
      <c r="J238" s="16">
        <f>PRODUCT(F238:I238)</f>
        <v/>
      </c>
      <c r="K238" s="16" t="n">
        <v>1</v>
      </c>
      <c r="L238" s="16" t="n">
        <v/>
      </c>
      <c r="M238" s="16" t="n">
        <v/>
      </c>
      <c r="N238" s="16" t="n">
        <v/>
      </c>
      <c r="O238" s="16" t="n">
        <v/>
      </c>
      <c r="P238" s="88" t="n"/>
    </row>
    <row r="239" customFormat="1" s="2">
      <c r="A239" s="6" t="n"/>
      <c r="B239" s="4" t="n"/>
      <c r="C239" s="4" t="inlineStr">
        <is>
          <t>Floor Area ( Pantry Passage )</t>
        </is>
      </c>
      <c r="D239" s="7" t="inlineStr">
        <is>
          <t>Sq.ft</t>
        </is>
      </c>
      <c r="E239" s="17" t="n"/>
      <c r="F239" s="16" t="n">
        <v>1</v>
      </c>
      <c r="G239" s="16" t="n">
        <v>4.67</v>
      </c>
      <c r="H239" s="16" t="n">
        <v>6.33</v>
      </c>
      <c r="I239" s="16" t="n"/>
      <c r="J239" s="16">
        <f>PRODUCT(F239:I239)</f>
        <v/>
      </c>
      <c r="K239" s="16" t="n">
        <v>1</v>
      </c>
      <c r="L239" s="16" t="n">
        <v/>
      </c>
      <c r="M239" s="16" t="n">
        <v/>
      </c>
      <c r="N239" s="16" t="n">
        <v/>
      </c>
      <c r="O239" s="16" t="n">
        <v/>
      </c>
      <c r="P239" s="88" t="n"/>
    </row>
    <row r="240" customFormat="1" s="2">
      <c r="A240" s="6" t="n"/>
      <c r="B240" s="4" t="n"/>
      <c r="C240" s="4" t="inlineStr">
        <is>
          <t>Floor Area ( Column To Wall )</t>
        </is>
      </c>
      <c r="D240" s="7" t="inlineStr">
        <is>
          <t>Sq.ft</t>
        </is>
      </c>
      <c r="E240" s="17" t="n"/>
      <c r="F240" s="16" t="n">
        <v>1</v>
      </c>
      <c r="G240" s="16" t="n">
        <v>2.25</v>
      </c>
      <c r="H240" s="16" t="n">
        <v>1.17</v>
      </c>
      <c r="I240" s="16" t="n"/>
      <c r="J240" s="16">
        <f>PRODUCT(F240:I240)</f>
        <v/>
      </c>
      <c r="K240" s="16" t="n">
        <v>1</v>
      </c>
      <c r="L240" s="16" t="n">
        <v/>
      </c>
      <c r="M240" s="16" t="n">
        <v/>
      </c>
      <c r="N240" s="16" t="n">
        <v/>
      </c>
      <c r="O240" s="16" t="n">
        <v/>
      </c>
      <c r="P240" s="88" t="n"/>
    </row>
    <row r="241" customFormat="1" s="2">
      <c r="A241" s="6" t="n"/>
      <c r="B241" s="4" t="n"/>
      <c r="C241" s="4" t="inlineStr">
        <is>
          <t>Floor Area ( Toilet Passage )</t>
        </is>
      </c>
      <c r="D241" s="7" t="inlineStr">
        <is>
          <t>Sq.ft</t>
        </is>
      </c>
      <c r="E241" s="17" t="n"/>
      <c r="F241" s="16" t="n">
        <v>1</v>
      </c>
      <c r="G241" s="16" t="n">
        <v>11.5</v>
      </c>
      <c r="H241" s="16" t="n">
        <v>5</v>
      </c>
      <c r="I241" s="16" t="n"/>
      <c r="J241" s="16">
        <f>PRODUCT(F241:I241)</f>
        <v/>
      </c>
      <c r="K241" s="16" t="n">
        <v>1</v>
      </c>
      <c r="L241" s="16" t="n">
        <v/>
      </c>
      <c r="M241" s="16" t="n">
        <v/>
      </c>
      <c r="N241" s="16" t="n">
        <v/>
      </c>
      <c r="O241" s="16" t="n">
        <v/>
      </c>
      <c r="P241" s="88" t="n"/>
    </row>
    <row r="242" customFormat="1" s="2">
      <c r="A242" s="6" t="n"/>
      <c r="B242" s="4" t="n"/>
      <c r="C242" s="14" t="inlineStr">
        <is>
          <t>Pantry Area</t>
        </is>
      </c>
      <c r="D242" s="5" t="n"/>
      <c r="E242" s="16" t="n"/>
      <c r="F242" s="16" t="n"/>
      <c r="G242" s="16" t="n"/>
      <c r="H242" s="16" t="n"/>
      <c r="I242" s="16" t="n"/>
      <c r="J242" s="16" t="n"/>
      <c r="K242" s="16" t="n">
        <v/>
      </c>
      <c r="L242" s="16" t="n">
        <v/>
      </c>
      <c r="M242" s="16" t="n">
        <v/>
      </c>
      <c r="N242" s="16" t="n">
        <v/>
      </c>
      <c r="O242" s="16" t="n">
        <v/>
      </c>
      <c r="P242" s="88" t="n"/>
    </row>
    <row r="243" customFormat="1" s="2">
      <c r="A243" s="6" t="n"/>
      <c r="B243" s="4" t="n"/>
      <c r="C243" s="4" t="inlineStr">
        <is>
          <t>Below Counter</t>
        </is>
      </c>
      <c r="D243" s="5" t="inlineStr">
        <is>
          <t>Sq.ft</t>
        </is>
      </c>
      <c r="E243" s="16" t="n"/>
      <c r="F243" s="16" t="n">
        <v>1</v>
      </c>
      <c r="G243" s="16" t="n">
        <v>5</v>
      </c>
      <c r="H243" s="16" t="n">
        <v>1.83</v>
      </c>
      <c r="I243" s="16" t="n"/>
      <c r="J243" s="16">
        <f>PRODUCT(F243:I243)</f>
        <v/>
      </c>
      <c r="K243" s="16" t="n">
        <v>1</v>
      </c>
      <c r="L243" s="16" t="n">
        <v/>
      </c>
      <c r="M243" s="16" t="n">
        <v/>
      </c>
      <c r="N243" s="16" t="n">
        <v/>
      </c>
      <c r="O243" s="16" t="n">
        <v/>
      </c>
      <c r="P243" s="88" t="n"/>
    </row>
    <row r="244" customFormat="1" s="2">
      <c r="A244" s="6" t="n"/>
      <c r="B244" s="4" t="n"/>
      <c r="C244" s="4" t="n"/>
      <c r="D244" s="7" t="n"/>
      <c r="E244" s="17" t="n"/>
      <c r="F244" s="16" t="n"/>
      <c r="G244" s="16" t="n"/>
      <c r="H244" s="16" t="n"/>
      <c r="I244" s="16" t="n"/>
      <c r="J244" s="16">
        <f>PRODUCT(F244:I244)</f>
        <v/>
      </c>
      <c r="K244" s="16" t="n">
        <v/>
      </c>
      <c r="L244" s="16" t="n">
        <v/>
      </c>
      <c r="M244" s="16" t="n">
        <v/>
      </c>
      <c r="N244" s="16" t="n">
        <v/>
      </c>
      <c r="O244" s="16" t="n">
        <v/>
      </c>
      <c r="P244" s="88" t="n"/>
    </row>
    <row r="245" customFormat="1" s="2">
      <c r="A245" s="112" t="n"/>
      <c r="B245" s="112" t="n"/>
      <c r="C245" s="112" t="inlineStr">
        <is>
          <t>Total Qty</t>
        </is>
      </c>
      <c r="D245" s="120" t="n"/>
      <c r="E245" s="121" t="n"/>
      <c r="F245" s="26" t="n"/>
      <c r="G245" s="26" t="n"/>
      <c r="H245" s="26" t="n"/>
      <c r="I245" s="26" t="n"/>
      <c r="J245" s="26">
        <f>ROUND(SUM(J227:J244),)</f>
        <v/>
      </c>
      <c r="K245" s="26" t="n">
        <v/>
      </c>
      <c r="L245" s="26" t="n">
        <v/>
      </c>
      <c r="M245" s="26" t="n">
        <v/>
      </c>
      <c r="N245" s="26" t="n">
        <v/>
      </c>
      <c r="O245" s="26" t="n">
        <v/>
      </c>
      <c r="P245" s="88" t="n"/>
    </row>
    <row r="246" customFormat="1" s="2">
      <c r="A246" s="6" t="n"/>
      <c r="B246" s="4" t="n"/>
      <c r="C246" s="4" t="n"/>
      <c r="D246" s="7" t="n"/>
      <c r="E246" s="17" t="n"/>
      <c r="F246" s="16" t="n"/>
      <c r="G246" s="16" t="n"/>
      <c r="H246" s="16" t="n"/>
      <c r="I246" s="16" t="n"/>
      <c r="J246" s="16" t="n"/>
      <c r="K246" s="16" t="n">
        <v/>
      </c>
      <c r="L246" s="16" t="n">
        <v/>
      </c>
      <c r="M246" s="16" t="n">
        <v/>
      </c>
      <c r="N246" s="16" t="n">
        <v/>
      </c>
      <c r="O246" s="16" t="n">
        <v/>
      </c>
      <c r="P246" s="88" t="n"/>
    </row>
    <row r="247" ht="248.4" customFormat="1" customHeight="1" s="2">
      <c r="A247" s="6">
        <f>A225+1</f>
        <v/>
      </c>
      <c r="B247" s="4" t="inlineStr">
        <is>
          <t>Cash counter - ALLEN TYPE</t>
        </is>
      </c>
      <c r="C247" s="4"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D247" s="7" t="inlineStr">
        <is>
          <t>Nos</t>
        </is>
      </c>
      <c r="E247" s="17" t="n">
        <v>1</v>
      </c>
      <c r="F247" s="16" t="n"/>
      <c r="G247" s="16" t="n"/>
      <c r="H247" s="17" t="n"/>
      <c r="I247" s="17" t="n"/>
      <c r="J247" s="17" t="n"/>
      <c r="K247" s="16" t="n">
        <v/>
      </c>
      <c r="L247" s="16" t="n">
        <v/>
      </c>
      <c r="M247" s="17" t="n">
        <v/>
      </c>
      <c r="N247" s="17" t="n">
        <v/>
      </c>
      <c r="O247" s="17" t="n">
        <v/>
      </c>
      <c r="P247" s="88" t="n"/>
    </row>
    <row r="248" customFormat="1" s="2">
      <c r="A248" s="6" t="n"/>
      <c r="B248" s="4" t="n"/>
      <c r="C248" s="14" t="inlineStr">
        <is>
          <t>Branch Area</t>
        </is>
      </c>
      <c r="D248" s="7" t="n"/>
      <c r="E248" s="17" t="n"/>
      <c r="F248" s="16" t="n"/>
      <c r="G248" s="16" t="n"/>
      <c r="H248" s="16" t="n"/>
      <c r="I248" s="16" t="n"/>
      <c r="J248" s="16">
        <f>PRODUCT(F248:I248)</f>
        <v/>
      </c>
      <c r="K248" s="16" t="n">
        <v/>
      </c>
      <c r="L248" s="16" t="n">
        <v/>
      </c>
      <c r="M248" s="16" t="n">
        <v/>
      </c>
      <c r="N248" s="16" t="n">
        <v/>
      </c>
      <c r="O248" s="16" t="n">
        <v/>
      </c>
      <c r="P248" s="88" t="n"/>
    </row>
    <row r="249" customFormat="1" s="2">
      <c r="A249" s="6" t="n"/>
      <c r="B249" s="4" t="n"/>
      <c r="C249" s="4" t="inlineStr">
        <is>
          <t>Cash Counter</t>
        </is>
      </c>
      <c r="D249" s="7" t="inlineStr">
        <is>
          <t>Nos</t>
        </is>
      </c>
      <c r="E249" s="17" t="n"/>
      <c r="F249" s="16" t="n">
        <v>1</v>
      </c>
      <c r="G249" s="16" t="n"/>
      <c r="H249" s="16" t="n"/>
      <c r="I249" s="16" t="n"/>
      <c r="J249" s="16">
        <f>PRODUCT(F249:I249)</f>
        <v/>
      </c>
      <c r="K249" s="16" t="n">
        <v>1</v>
      </c>
      <c r="L249" s="16" t="n">
        <v/>
      </c>
      <c r="M249" s="16" t="n">
        <v/>
      </c>
      <c r="N249" s="16" t="n">
        <v/>
      </c>
      <c r="O249" s="16" t="n">
        <v/>
      </c>
      <c r="P249" s="88" t="n"/>
    </row>
    <row r="250" customFormat="1" s="2">
      <c r="A250" s="6" t="n"/>
      <c r="B250" s="4" t="n"/>
      <c r="C250" s="4" t="n"/>
      <c r="D250" s="7" t="n"/>
      <c r="E250" s="17" t="n"/>
      <c r="F250" s="16" t="n"/>
      <c r="G250" s="16" t="n"/>
      <c r="H250" s="16" t="n"/>
      <c r="I250" s="16" t="n"/>
      <c r="J250" s="16">
        <f>PRODUCT(F250:I250)</f>
        <v/>
      </c>
      <c r="K250" s="16" t="n">
        <v/>
      </c>
      <c r="L250" s="16" t="n">
        <v/>
      </c>
      <c r="M250" s="16" t="n">
        <v/>
      </c>
      <c r="N250" s="16" t="n">
        <v/>
      </c>
      <c r="O250" s="16" t="n">
        <v/>
      </c>
      <c r="P250" s="88" t="n"/>
    </row>
    <row r="251" customFormat="1" s="2">
      <c r="A251" s="6" t="n"/>
      <c r="B251" s="6" t="n"/>
      <c r="C251" s="112" t="inlineStr">
        <is>
          <t>Total Qty</t>
        </is>
      </c>
      <c r="D251" s="7" t="n"/>
      <c r="E251" s="17" t="n"/>
      <c r="F251" s="16" t="n"/>
      <c r="G251" s="16" t="n"/>
      <c r="H251" s="16" t="n"/>
      <c r="I251" s="16" t="n"/>
      <c r="J251" s="26">
        <f>SUM(J248:J250)</f>
        <v/>
      </c>
      <c r="K251" s="16" t="n">
        <v/>
      </c>
      <c r="L251" s="16" t="n">
        <v/>
      </c>
      <c r="M251" s="16" t="n">
        <v/>
      </c>
      <c r="N251" s="16" t="n">
        <v/>
      </c>
      <c r="O251" s="26" t="n">
        <v/>
      </c>
      <c r="P251" s="88" t="n"/>
    </row>
    <row r="252" customFormat="1" s="2">
      <c r="A252" s="6" t="n"/>
      <c r="B252" s="4" t="n"/>
      <c r="C252" s="4" t="n"/>
      <c r="D252" s="7" t="n"/>
      <c r="E252" s="17" t="n"/>
      <c r="F252" s="16" t="n"/>
      <c r="G252" s="16" t="n"/>
      <c r="H252" s="16" t="n"/>
      <c r="I252" s="16" t="n"/>
      <c r="J252" s="16" t="n"/>
      <c r="K252" s="16" t="n">
        <v/>
      </c>
      <c r="L252" s="16" t="n">
        <v/>
      </c>
      <c r="M252" s="16" t="n">
        <v/>
      </c>
      <c r="N252" s="16" t="n">
        <v/>
      </c>
      <c r="O252" s="16" t="n">
        <v/>
      </c>
      <c r="P252" s="88" t="n"/>
    </row>
    <row r="253" ht="165.6" customFormat="1" customHeight="1" s="2">
      <c r="A253" s="6">
        <f>A247+1</f>
        <v/>
      </c>
      <c r="B253" s="4" t="inlineStr">
        <is>
          <t>Doors into Service areas _Solid with view panelorSlit</t>
        </is>
      </c>
      <c r="C253" s="4"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D253" s="7" t="inlineStr">
        <is>
          <t>nos</t>
        </is>
      </c>
      <c r="E253" s="17" t="n">
        <v>5</v>
      </c>
      <c r="F253" s="16" t="n"/>
      <c r="G253" s="16" t="n"/>
      <c r="H253" s="16" t="n"/>
      <c r="I253" s="16" t="n"/>
      <c r="J253" s="16" t="n"/>
      <c r="K253" s="16" t="n">
        <v/>
      </c>
      <c r="L253" s="16" t="n">
        <v/>
      </c>
      <c r="M253" s="16" t="n">
        <v/>
      </c>
      <c r="N253" s="16" t="n">
        <v/>
      </c>
      <c r="O253" s="16" t="n">
        <v/>
      </c>
      <c r="P253" s="88" t="n"/>
    </row>
    <row r="254" customFormat="1" s="2">
      <c r="A254" s="6" t="n"/>
      <c r="B254" s="4" t="n"/>
      <c r="C254" s="14" t="inlineStr">
        <is>
          <t>Toilet Passage</t>
        </is>
      </c>
      <c r="D254" s="7" t="n"/>
      <c r="E254" s="17" t="n"/>
      <c r="F254" s="16" t="n"/>
      <c r="G254" s="16" t="n"/>
      <c r="H254" s="16" t="n"/>
      <c r="I254" s="16" t="n"/>
      <c r="J254" s="16">
        <f>PRODUCT(F254:I254)</f>
        <v/>
      </c>
      <c r="K254" s="16" t="n">
        <v/>
      </c>
      <c r="L254" s="16" t="n">
        <v/>
      </c>
      <c r="M254" s="16" t="n">
        <v/>
      </c>
      <c r="N254" s="16" t="n">
        <v/>
      </c>
      <c r="O254" s="16" t="n">
        <v/>
      </c>
      <c r="P254" s="88" t="n"/>
    </row>
    <row r="255" customFormat="1" s="2">
      <c r="A255" s="6" t="n"/>
      <c r="B255" s="4" t="n"/>
      <c r="C255" s="4" t="inlineStr">
        <is>
          <t>Entry Door</t>
        </is>
      </c>
      <c r="D255" s="7" t="inlineStr">
        <is>
          <t>Nos</t>
        </is>
      </c>
      <c r="E255" s="17" t="n"/>
      <c r="F255" s="16" t="n">
        <v>1</v>
      </c>
      <c r="G255" s="16" t="n"/>
      <c r="H255" s="16" t="n"/>
      <c r="I255" s="16" t="n"/>
      <c r="J255" s="16">
        <f>PRODUCT(F255:I255)</f>
        <v/>
      </c>
      <c r="K255" s="16" t="n">
        <v>1</v>
      </c>
      <c r="L255" s="16" t="n">
        <v/>
      </c>
      <c r="M255" s="16" t="n">
        <v/>
      </c>
      <c r="N255" s="16" t="n">
        <v/>
      </c>
      <c r="O255" s="16" t="n">
        <v/>
      </c>
      <c r="P255" s="88" t="n"/>
    </row>
    <row r="256" customFormat="1" s="2">
      <c r="A256" s="6" t="n"/>
      <c r="B256" s="4" t="n"/>
      <c r="C256" s="14" t="inlineStr">
        <is>
          <t>Store Room</t>
        </is>
      </c>
      <c r="D256" s="7" t="n"/>
      <c r="E256" s="17" t="n"/>
      <c r="F256" s="16" t="n"/>
      <c r="G256" s="16" t="n"/>
      <c r="H256" s="16" t="n"/>
      <c r="I256" s="16" t="n"/>
      <c r="J256" s="16" t="n"/>
      <c r="K256" s="16" t="n">
        <v/>
      </c>
      <c r="L256" s="16" t="n">
        <v/>
      </c>
      <c r="M256" s="16" t="n">
        <v/>
      </c>
      <c r="N256" s="16" t="n">
        <v/>
      </c>
      <c r="O256" s="16" t="n">
        <v/>
      </c>
      <c r="P256" s="88" t="n"/>
    </row>
    <row r="257" customFormat="1" s="2">
      <c r="A257" s="6" t="n"/>
      <c r="B257" s="4" t="n"/>
      <c r="C257" s="4" t="inlineStr">
        <is>
          <t>Entry Door</t>
        </is>
      </c>
      <c r="D257" s="7" t="inlineStr">
        <is>
          <t>Nos</t>
        </is>
      </c>
      <c r="E257" s="17" t="n"/>
      <c r="F257" s="16" t="n">
        <v>1</v>
      </c>
      <c r="G257" s="16" t="n"/>
      <c r="H257" s="16" t="n"/>
      <c r="I257" s="16" t="n"/>
      <c r="J257" s="16">
        <f>PRODUCT(F257:I257)</f>
        <v/>
      </c>
      <c r="K257" s="16" t="n">
        <v>1</v>
      </c>
      <c r="L257" s="16" t="n">
        <v/>
      </c>
      <c r="M257" s="16" t="n">
        <v/>
      </c>
      <c r="N257" s="16" t="n">
        <v/>
      </c>
      <c r="O257" s="16" t="n">
        <v/>
      </c>
      <c r="P257" s="88" t="n"/>
    </row>
    <row r="258" customFormat="1" s="2">
      <c r="A258" s="6" t="n"/>
      <c r="B258" s="4" t="n"/>
      <c r="C258" s="4" t="n"/>
      <c r="D258" s="7" t="n"/>
      <c r="E258" s="17" t="n"/>
      <c r="F258" s="16" t="n"/>
      <c r="G258" s="16" t="n"/>
      <c r="H258" s="16" t="n"/>
      <c r="I258" s="16" t="n"/>
      <c r="J258" s="16">
        <f>PRODUCT(F258:I258)</f>
        <v/>
      </c>
      <c r="K258" s="16" t="n">
        <v/>
      </c>
      <c r="L258" s="16" t="n">
        <v/>
      </c>
      <c r="M258" s="16" t="n">
        <v/>
      </c>
      <c r="N258" s="16" t="n">
        <v/>
      </c>
      <c r="O258" s="16" t="n">
        <v/>
      </c>
      <c r="P258" s="88" t="n"/>
    </row>
    <row r="259" customFormat="1" s="2">
      <c r="A259" s="6" t="n"/>
      <c r="B259" s="6" t="n"/>
      <c r="C259" s="112" t="inlineStr">
        <is>
          <t>Total Qty</t>
        </is>
      </c>
      <c r="D259" s="7" t="n"/>
      <c r="E259" s="17" t="n"/>
      <c r="F259" s="16" t="n"/>
      <c r="G259" s="16" t="n"/>
      <c r="H259" s="16" t="n"/>
      <c r="I259" s="16" t="n"/>
      <c r="J259" s="26">
        <f>SUM(J254:J258)</f>
        <v/>
      </c>
      <c r="K259" s="16" t="n">
        <v/>
      </c>
      <c r="L259" s="16" t="n">
        <v/>
      </c>
      <c r="M259" s="16" t="n">
        <v/>
      </c>
      <c r="N259" s="16" t="n">
        <v/>
      </c>
      <c r="O259" s="26" t="n">
        <v/>
      </c>
      <c r="P259" s="88" t="n"/>
    </row>
    <row r="260" customFormat="1" s="2">
      <c r="A260" s="6" t="n"/>
      <c r="B260" s="4" t="n"/>
      <c r="C260" s="4" t="n"/>
      <c r="D260" s="7" t="n"/>
      <c r="E260" s="17" t="n"/>
      <c r="F260" s="16" t="n"/>
      <c r="G260" s="16" t="n"/>
      <c r="H260" s="16" t="n"/>
      <c r="I260" s="16" t="n"/>
      <c r="J260" s="16" t="n"/>
      <c r="K260" s="16" t="n">
        <v/>
      </c>
      <c r="L260" s="16" t="n">
        <v/>
      </c>
      <c r="M260" s="16" t="n">
        <v/>
      </c>
      <c r="N260" s="16" t="n">
        <v/>
      </c>
      <c r="O260" s="16" t="n">
        <v/>
      </c>
      <c r="P260" s="88" t="n"/>
    </row>
    <row r="261" ht="151.8" customFormat="1" customHeight="1" s="2">
      <c r="A261" s="6">
        <f>A253+1</f>
        <v/>
      </c>
      <c r="B261" s="4" t="inlineStr">
        <is>
          <t>Service Counter ALLEN TYPE with pedastal units</t>
        </is>
      </c>
      <c r="C261" s="4"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D261" s="7" t="inlineStr">
        <is>
          <t>Nos</t>
        </is>
      </c>
      <c r="E261" s="17" t="n">
        <v>5</v>
      </c>
      <c r="F261" s="16" t="n"/>
      <c r="G261" s="16" t="n"/>
      <c r="H261" s="16" t="n"/>
      <c r="I261" s="16" t="n"/>
      <c r="J261" s="16" t="n"/>
      <c r="K261" s="16" t="n">
        <v/>
      </c>
      <c r="L261" s="16" t="n">
        <v/>
      </c>
      <c r="M261" s="16" t="n">
        <v/>
      </c>
      <c r="N261" s="16" t="n">
        <v/>
      </c>
      <c r="O261" s="16" t="n">
        <v/>
      </c>
      <c r="P261" s="88" t="n"/>
    </row>
    <row r="262" customFormat="1" s="2">
      <c r="A262" s="6" t="n"/>
      <c r="B262" s="4" t="n"/>
      <c r="C262" s="14" t="inlineStr">
        <is>
          <t>Branch Area</t>
        </is>
      </c>
      <c r="D262" s="7" t="n"/>
      <c r="E262" s="17" t="n"/>
      <c r="F262" s="16" t="n"/>
      <c r="G262" s="16" t="n"/>
      <c r="H262" s="16" t="n"/>
      <c r="I262" s="16" t="n"/>
      <c r="J262" s="16">
        <f>PRODUCT(F262:I262)</f>
        <v/>
      </c>
      <c r="K262" s="16" t="n">
        <v/>
      </c>
      <c r="L262" s="16" t="n">
        <v/>
      </c>
      <c r="M262" s="16" t="n">
        <v/>
      </c>
      <c r="N262" s="16" t="n">
        <v/>
      </c>
      <c r="O262" s="16" t="n">
        <v/>
      </c>
      <c r="P262" s="88" t="n"/>
    </row>
    <row r="263" customFormat="1" s="2">
      <c r="A263" s="6" t="n"/>
      <c r="B263" s="4" t="n"/>
      <c r="C263" s="4" t="inlineStr">
        <is>
          <t>Service Counter</t>
        </is>
      </c>
      <c r="D263" s="7" t="inlineStr">
        <is>
          <t>Nos</t>
        </is>
      </c>
      <c r="E263" s="17" t="n"/>
      <c r="F263" s="16" t="n">
        <v>4</v>
      </c>
      <c r="G263" s="16" t="n"/>
      <c r="H263" s="16" t="n"/>
      <c r="I263" s="16" t="n"/>
      <c r="J263" s="16">
        <f>PRODUCT(F263:I263)</f>
        <v/>
      </c>
      <c r="K263" s="16" t="n">
        <v>4</v>
      </c>
      <c r="L263" s="16" t="n">
        <v/>
      </c>
      <c r="M263" s="16" t="n">
        <v/>
      </c>
      <c r="N263" s="16" t="n">
        <v/>
      </c>
      <c r="O263" s="16" t="n">
        <v/>
      </c>
      <c r="P263" s="88" t="n"/>
    </row>
    <row r="264" customFormat="1" s="2">
      <c r="A264" s="6" t="n"/>
      <c r="B264" s="4" t="n"/>
      <c r="C264" s="4" t="n"/>
      <c r="D264" s="7" t="n"/>
      <c r="E264" s="17" t="n"/>
      <c r="F264" s="16" t="n"/>
      <c r="G264" s="16" t="n"/>
      <c r="H264" s="16" t="n"/>
      <c r="I264" s="16" t="n"/>
      <c r="J264" s="16">
        <f>PRODUCT(F264:I264)</f>
        <v/>
      </c>
      <c r="K264" s="16" t="n">
        <v/>
      </c>
      <c r="L264" s="16" t="n">
        <v/>
      </c>
      <c r="M264" s="16" t="n">
        <v/>
      </c>
      <c r="N264" s="16" t="n">
        <v/>
      </c>
      <c r="O264" s="16" t="n">
        <v/>
      </c>
      <c r="P264" s="88" t="n"/>
    </row>
    <row r="265" customFormat="1" s="2">
      <c r="A265" s="6" t="n"/>
      <c r="B265" s="6" t="n"/>
      <c r="C265" s="112" t="inlineStr">
        <is>
          <t>Total Qty</t>
        </is>
      </c>
      <c r="D265" s="7" t="n"/>
      <c r="E265" s="17" t="n"/>
      <c r="F265" s="16" t="n"/>
      <c r="G265" s="16" t="n"/>
      <c r="H265" s="16" t="n"/>
      <c r="I265" s="16" t="n"/>
      <c r="J265" s="26">
        <f>SUM(J262:J264)</f>
        <v/>
      </c>
      <c r="K265" s="16" t="n">
        <v/>
      </c>
      <c r="L265" s="16" t="n">
        <v/>
      </c>
      <c r="M265" s="16" t="n">
        <v/>
      </c>
      <c r="N265" s="16" t="n">
        <v/>
      </c>
      <c r="O265" s="26" t="n">
        <v/>
      </c>
      <c r="P265" s="88" t="n"/>
    </row>
    <row r="266" customFormat="1" s="2">
      <c r="A266" s="6" t="n"/>
      <c r="B266" s="4" t="n"/>
      <c r="C266" s="4" t="n"/>
      <c r="D266" s="7" t="n"/>
      <c r="E266" s="17" t="n"/>
      <c r="F266" s="16" t="n"/>
      <c r="G266" s="16" t="n"/>
      <c r="H266" s="16" t="n"/>
      <c r="I266" s="16" t="n"/>
      <c r="J266" s="16" t="n"/>
      <c r="K266" s="16" t="n">
        <v/>
      </c>
      <c r="L266" s="16" t="n">
        <v/>
      </c>
      <c r="M266" s="16" t="n">
        <v/>
      </c>
      <c r="N266" s="16" t="n">
        <v/>
      </c>
      <c r="O266" s="16" t="n">
        <v/>
      </c>
      <c r="P266" s="88" t="n"/>
    </row>
    <row r="267" ht="55.2" customFormat="1" customHeight="1" s="2">
      <c r="A267" s="6">
        <f>A261+1</f>
        <v/>
      </c>
      <c r="B267" s="4" t="inlineStr">
        <is>
          <t>Vitrified Tile Skirting</t>
        </is>
      </c>
      <c r="C267" s="4" t="inlineStr">
        <is>
          <t>Providing and fixing skirting in vitrified tiles as per approved sample In skirting 4 inches height over 12 mm thick CM 1:4 backing as directed by Engineer- In charge. Basic Rate - Rs 65 per Sft. Make - RAK,Johnson,Kajaria.</t>
        </is>
      </c>
      <c r="D267" s="5" t="inlineStr">
        <is>
          <t>Rft</t>
        </is>
      </c>
      <c r="E267" s="16" t="n">
        <v>199</v>
      </c>
      <c r="F267" s="16" t="n"/>
      <c r="G267" s="16" t="n"/>
      <c r="H267" s="17" t="n"/>
      <c r="I267" s="17" t="n"/>
      <c r="J267" s="17" t="n"/>
      <c r="K267" s="16" t="n">
        <v/>
      </c>
      <c r="L267" s="16" t="n">
        <v/>
      </c>
      <c r="M267" s="17" t="n">
        <v/>
      </c>
      <c r="N267" s="17" t="n">
        <v/>
      </c>
      <c r="O267" s="17" t="n">
        <v/>
      </c>
      <c r="P267" s="88" t="n"/>
    </row>
    <row r="268" customFormat="1" s="2">
      <c r="A268" s="6" t="n"/>
      <c r="B268" s="4" t="n"/>
      <c r="C268" s="14" t="inlineStr">
        <is>
          <t>Electrical Room</t>
        </is>
      </c>
      <c r="D268" s="7" t="n"/>
      <c r="E268" s="17" t="n"/>
      <c r="F268" s="20" t="n"/>
      <c r="G268" s="47" t="n"/>
      <c r="H268" s="47" t="n"/>
      <c r="I268" s="47" t="n"/>
      <c r="J268" s="47">
        <f>PRODUCT(F268:I268)</f>
        <v/>
      </c>
      <c r="K268" s="20" t="n">
        <v/>
      </c>
      <c r="L268" s="47" t="n">
        <v/>
      </c>
      <c r="M268" s="47" t="n">
        <v/>
      </c>
      <c r="N268" s="47" t="n">
        <v/>
      </c>
      <c r="O268" s="47" t="n">
        <v/>
      </c>
      <c r="P268" s="88" t="n"/>
    </row>
    <row r="269" customFormat="1" s="2">
      <c r="A269" s="6" t="n"/>
      <c r="B269" s="4" t="n"/>
      <c r="C269" s="4" t="inlineStr">
        <is>
          <t>Left Side Wall</t>
        </is>
      </c>
      <c r="D269" s="7" t="inlineStr">
        <is>
          <t>Rft</t>
        </is>
      </c>
      <c r="E269" s="17" t="n"/>
      <c r="F269" s="20" t="n">
        <v>1</v>
      </c>
      <c r="G269" s="47" t="n">
        <v>6.08</v>
      </c>
      <c r="H269" s="47" t="n"/>
      <c r="I269" s="47" t="n"/>
      <c r="J269" s="47">
        <f>PRODUCT(F269:I269)</f>
        <v/>
      </c>
      <c r="K269" s="20" t="n">
        <v>1</v>
      </c>
      <c r="L269" s="47" t="n">
        <v/>
      </c>
      <c r="M269" s="47" t="n">
        <v/>
      </c>
      <c r="N269" s="47" t="n">
        <v/>
      </c>
      <c r="O269" s="47" t="n">
        <v/>
      </c>
      <c r="P269" s="88" t="n"/>
    </row>
    <row r="270" customFormat="1" s="2">
      <c r="A270" s="6" t="n"/>
      <c r="B270" s="4" t="n"/>
      <c r="C270" s="14" t="inlineStr">
        <is>
          <t>Locker Room</t>
        </is>
      </c>
      <c r="D270" s="7" t="n"/>
      <c r="E270" s="17" t="n"/>
      <c r="F270" s="20" t="n"/>
      <c r="G270" s="47" t="n"/>
      <c r="H270" s="47" t="n"/>
      <c r="I270" s="47" t="n"/>
      <c r="J270" s="47">
        <f>PRODUCT(F270:I270)</f>
        <v/>
      </c>
      <c r="K270" s="20" t="n">
        <v/>
      </c>
      <c r="L270" s="47" t="n">
        <v/>
      </c>
      <c r="M270" s="47" t="n">
        <v/>
      </c>
      <c r="N270" s="47" t="n">
        <v/>
      </c>
      <c r="O270" s="47" t="n">
        <v/>
      </c>
      <c r="P270" s="88" t="n"/>
    </row>
    <row r="271" customFormat="1" s="2">
      <c r="A271" s="6" t="n"/>
      <c r="B271" s="4" t="n"/>
      <c r="C271" s="4" t="inlineStr">
        <is>
          <t>Door Side Wall</t>
        </is>
      </c>
      <c r="D271" s="7" t="inlineStr">
        <is>
          <t>Rft</t>
        </is>
      </c>
      <c r="E271" s="17" t="n"/>
      <c r="F271" s="20" t="n">
        <v>1</v>
      </c>
      <c r="G271" s="47" t="n">
        <v>4.17</v>
      </c>
      <c r="H271" s="47" t="n"/>
      <c r="I271" s="47" t="n"/>
      <c r="J271" s="47">
        <f>PRODUCT(F271:I271)</f>
        <v/>
      </c>
      <c r="K271" s="20" t="n">
        <v>1</v>
      </c>
      <c r="L271" s="47" t="n">
        <v/>
      </c>
      <c r="M271" s="47" t="n">
        <v/>
      </c>
      <c r="N271" s="47" t="n">
        <v/>
      </c>
      <c r="O271" s="47" t="n">
        <v/>
      </c>
      <c r="P271" s="88" t="n"/>
    </row>
    <row r="272" customFormat="1" s="2">
      <c r="A272" s="6" t="n"/>
      <c r="B272" s="4" t="n"/>
      <c r="C272" s="14" t="inlineStr">
        <is>
          <t>Store Room</t>
        </is>
      </c>
      <c r="D272" s="7" t="n"/>
      <c r="E272" s="17" t="n"/>
      <c r="F272" s="20" t="n"/>
      <c r="G272" s="47" t="n"/>
      <c r="H272" s="47" t="n"/>
      <c r="I272" s="47" t="n"/>
      <c r="J272" s="47">
        <f>PRODUCT(F272:I272)</f>
        <v/>
      </c>
      <c r="K272" s="20" t="n">
        <v/>
      </c>
      <c r="L272" s="47" t="n">
        <v/>
      </c>
      <c r="M272" s="47" t="n">
        <v/>
      </c>
      <c r="N272" s="47" t="n">
        <v/>
      </c>
      <c r="O272" s="47" t="n">
        <v/>
      </c>
      <c r="P272" s="88" t="n"/>
    </row>
    <row r="273" customFormat="1" s="2">
      <c r="A273" s="6" t="n"/>
      <c r="B273" s="4" t="n"/>
      <c r="C273" s="4" t="inlineStr">
        <is>
          <t>Front Side Wall</t>
        </is>
      </c>
      <c r="D273" s="7" t="inlineStr">
        <is>
          <t>Rft</t>
        </is>
      </c>
      <c r="E273" s="17" t="n"/>
      <c r="F273" s="20" t="n">
        <v>1</v>
      </c>
      <c r="G273" s="47" t="n">
        <v>5.25</v>
      </c>
      <c r="H273" s="47" t="n"/>
      <c r="I273" s="47" t="n"/>
      <c r="J273" s="47">
        <f>PRODUCT(F273:I273)</f>
        <v/>
      </c>
      <c r="K273" s="20" t="n">
        <v>1</v>
      </c>
      <c r="L273" s="47" t="n">
        <v/>
      </c>
      <c r="M273" s="47" t="n">
        <v/>
      </c>
      <c r="N273" s="47" t="n">
        <v/>
      </c>
      <c r="O273" s="47" t="n">
        <v/>
      </c>
      <c r="P273" s="88" t="n"/>
    </row>
    <row r="274" customFormat="1" s="2">
      <c r="A274" s="6" t="n"/>
      <c r="B274" s="4" t="n"/>
      <c r="C274" s="4" t="n"/>
      <c r="D274" s="7" t="n"/>
      <c r="E274" s="17" t="n"/>
      <c r="F274" s="20" t="n"/>
      <c r="G274" s="47" t="n"/>
      <c r="H274" s="47" t="n"/>
      <c r="I274" s="47" t="n"/>
      <c r="J274" s="47">
        <f>PRODUCT(F274:I274)</f>
        <v/>
      </c>
      <c r="K274" s="20" t="n">
        <v/>
      </c>
      <c r="L274" s="47" t="n">
        <v/>
      </c>
      <c r="M274" s="47" t="n">
        <v/>
      </c>
      <c r="N274" s="47" t="n">
        <v/>
      </c>
      <c r="O274" s="47" t="n">
        <v/>
      </c>
      <c r="P274" s="88" t="n"/>
    </row>
    <row r="275" customFormat="1" s="2">
      <c r="A275" s="112" t="n"/>
      <c r="B275" s="112" t="n"/>
      <c r="C275" s="112" t="inlineStr">
        <is>
          <t>Total Qty</t>
        </is>
      </c>
      <c r="D275" s="120" t="n"/>
      <c r="E275" s="121" t="n"/>
      <c r="F275" s="123" t="n"/>
      <c r="G275" s="123" t="n"/>
      <c r="H275" s="123" t="n"/>
      <c r="I275" s="123" t="n"/>
      <c r="J275" s="123">
        <f>ROUND(SUM(J268:J274),0)</f>
        <v/>
      </c>
      <c r="K275" s="123" t="n">
        <v/>
      </c>
      <c r="L275" s="123" t="n">
        <v/>
      </c>
      <c r="M275" s="123" t="n">
        <v/>
      </c>
      <c r="N275" s="123" t="n">
        <v/>
      </c>
      <c r="O275" s="123" t="n">
        <v/>
      </c>
      <c r="P275" s="88" t="n"/>
    </row>
    <row r="276" customFormat="1" s="2">
      <c r="A276" s="6" t="n"/>
      <c r="B276" s="4" t="n"/>
      <c r="C276" s="4" t="n"/>
      <c r="D276" s="7" t="n"/>
      <c r="E276" s="17" t="n"/>
      <c r="F276" s="20" t="n"/>
      <c r="G276" s="47" t="n"/>
      <c r="H276" s="47" t="n"/>
      <c r="I276" s="47" t="n"/>
      <c r="J276" s="47" t="n"/>
      <c r="K276" s="20" t="n">
        <v/>
      </c>
      <c r="L276" s="47" t="n">
        <v/>
      </c>
      <c r="M276" s="47" t="n">
        <v/>
      </c>
      <c r="N276" s="47" t="n">
        <v/>
      </c>
      <c r="O276" s="47" t="n">
        <v/>
      </c>
      <c r="P276" s="88" t="n"/>
    </row>
    <row r="277" ht="55.2" customFormat="1" customHeight="1" s="2">
      <c r="A277" s="6">
        <f>A267+1</f>
        <v/>
      </c>
      <c r="B277" s="4" t="inlineStr">
        <is>
          <t>Existing old wall plaster Removal</t>
        </is>
      </c>
      <c r="C277" s="4" t="inlineStr">
        <is>
          <t>Dismantling of any existing Plaster from walls wherever required with necessary tools and tackels and carrying the debris away from site as per engineer- incharge instruction.</t>
        </is>
      </c>
      <c r="D277" s="5" t="inlineStr">
        <is>
          <t>Sft</t>
        </is>
      </c>
      <c r="E277" s="16" t="n">
        <v>50</v>
      </c>
      <c r="F277" s="16" t="n"/>
      <c r="G277" s="16" t="n"/>
      <c r="H277" s="17" t="n"/>
      <c r="I277" s="17" t="n"/>
      <c r="J277" s="17" t="n"/>
      <c r="K277" s="16" t="n">
        <v/>
      </c>
      <c r="L277" s="16" t="n">
        <v/>
      </c>
      <c r="M277" s="17" t="n">
        <v/>
      </c>
      <c r="N277" s="17" t="n">
        <v/>
      </c>
      <c r="O277" s="17" t="n">
        <v/>
      </c>
      <c r="P277" s="88" t="n"/>
    </row>
    <row r="278" ht="69" customFormat="1" customHeight="1" s="2">
      <c r="A278" s="6">
        <f>A277+1</f>
        <v/>
      </c>
      <c r="B278" s="4" t="inlineStr">
        <is>
          <t>Floor Protection Sheet</t>
        </is>
      </c>
      <c r="C278" s="4" t="inlineStr">
        <is>
          <t>Providing and applying covering on flooring for floor protection with polypropylene plastic bubble sheet. The rate should include the cleaning of floor covering on completion before handing over completed site as directed by Engineer - in charge.</t>
        </is>
      </c>
      <c r="D278" s="5" t="inlineStr">
        <is>
          <t>Sft</t>
        </is>
      </c>
      <c r="E278" s="16" t="n">
        <v>1151</v>
      </c>
      <c r="F278" s="19" t="n"/>
      <c r="G278" s="19" t="n"/>
      <c r="H278" s="19" t="n"/>
      <c r="I278" s="19" t="n"/>
      <c r="J278" s="19" t="n"/>
      <c r="K278" s="19" t="n">
        <v/>
      </c>
      <c r="L278" s="19" t="n">
        <v/>
      </c>
      <c r="M278" s="19" t="n">
        <v/>
      </c>
      <c r="N278" s="19" t="n">
        <v/>
      </c>
      <c r="O278" s="19" t="n">
        <v/>
      </c>
      <c r="P278" s="88" t="n"/>
    </row>
    <row r="279" customFormat="1" s="2">
      <c r="A279" s="6" t="n"/>
      <c r="B279" s="4" t="n"/>
      <c r="C279" s="14" t="n"/>
      <c r="D279" s="7" t="n"/>
      <c r="E279" s="17" t="n"/>
      <c r="F279" s="16" t="n"/>
      <c r="G279" s="16" t="n"/>
      <c r="H279" s="16" t="n"/>
      <c r="I279" s="16" t="n"/>
      <c r="J279" s="16">
        <f>PRODUCT(F279:I279)</f>
        <v/>
      </c>
      <c r="K279" s="16" t="n">
        <v/>
      </c>
      <c r="L279" s="16" t="n">
        <v/>
      </c>
      <c r="M279" s="16" t="n">
        <v/>
      </c>
      <c r="N279" s="16" t="n">
        <v/>
      </c>
      <c r="O279" s="16" t="n">
        <v/>
      </c>
      <c r="P279" s="88" t="n"/>
    </row>
    <row r="280" customFormat="1" s="2">
      <c r="A280" s="6" t="n"/>
      <c r="B280" s="4" t="n"/>
      <c r="C280" s="4" t="inlineStr">
        <is>
          <t>As Per Site</t>
        </is>
      </c>
      <c r="D280" s="7" t="inlineStr">
        <is>
          <t>Sq.ft</t>
        </is>
      </c>
      <c r="E280" s="17" t="n"/>
      <c r="F280" s="16" t="n">
        <v>1</v>
      </c>
      <c r="G280" s="16" t="n">
        <v>1151</v>
      </c>
      <c r="H280" s="16" t="n"/>
      <c r="I280" s="16" t="n"/>
      <c r="J280" s="16">
        <f>PRODUCT(F280:I280)</f>
        <v/>
      </c>
      <c r="K280" s="16" t="n">
        <v>1</v>
      </c>
      <c r="L280" s="16" t="n">
        <v/>
      </c>
      <c r="M280" s="16" t="n">
        <v/>
      </c>
      <c r="N280" s="16" t="n">
        <v/>
      </c>
      <c r="O280" s="16" t="n">
        <v/>
      </c>
      <c r="P280" s="88" t="n"/>
    </row>
    <row r="281" customFormat="1" s="2">
      <c r="A281" s="6" t="n"/>
      <c r="B281" s="4" t="n"/>
      <c r="C281" s="4" t="n"/>
      <c r="D281" s="7" t="n"/>
      <c r="E281" s="17" t="n"/>
      <c r="F281" s="16" t="n"/>
      <c r="G281" s="16" t="n"/>
      <c r="H281" s="16" t="n"/>
      <c r="I281" s="16" t="n"/>
      <c r="J281" s="16">
        <f>PRODUCT(F281:I281)</f>
        <v/>
      </c>
      <c r="K281" s="16" t="n">
        <v/>
      </c>
      <c r="L281" s="16" t="n">
        <v/>
      </c>
      <c r="M281" s="16" t="n">
        <v/>
      </c>
      <c r="N281" s="16" t="n">
        <v/>
      </c>
      <c r="O281" s="16" t="n">
        <v/>
      </c>
      <c r="P281" s="88" t="n"/>
    </row>
    <row r="282" customFormat="1" s="2">
      <c r="A282" s="6" t="n"/>
      <c r="B282" s="6" t="n"/>
      <c r="C282" s="112" t="inlineStr">
        <is>
          <t>Total Qty</t>
        </is>
      </c>
      <c r="D282" s="7" t="n"/>
      <c r="E282" s="17" t="n"/>
      <c r="F282" s="16" t="n"/>
      <c r="G282" s="16" t="n"/>
      <c r="H282" s="16" t="n"/>
      <c r="I282" s="16" t="n"/>
      <c r="J282" s="26">
        <f>SUM(J279:J281)</f>
        <v/>
      </c>
      <c r="K282" s="16" t="n">
        <v/>
      </c>
      <c r="L282" s="16" t="n">
        <v/>
      </c>
      <c r="M282" s="16" t="n">
        <v/>
      </c>
      <c r="N282" s="16" t="n">
        <v/>
      </c>
      <c r="O282" s="26" t="n">
        <v/>
      </c>
      <c r="P282" s="88" t="n"/>
    </row>
    <row r="283" customFormat="1" s="2">
      <c r="A283" s="6" t="n"/>
      <c r="B283" s="4" t="n"/>
      <c r="C283" s="4" t="n"/>
      <c r="D283" s="7" t="n"/>
      <c r="E283" s="17" t="n"/>
      <c r="F283" s="16" t="n"/>
      <c r="G283" s="16" t="n"/>
      <c r="H283" s="16" t="n"/>
      <c r="I283" s="16" t="n"/>
      <c r="J283" s="16" t="n"/>
      <c r="K283" s="16" t="n">
        <v/>
      </c>
      <c r="L283" s="16" t="n">
        <v/>
      </c>
      <c r="M283" s="16" t="n">
        <v/>
      </c>
      <c r="N283" s="16" t="n">
        <v/>
      </c>
      <c r="O283" s="16" t="n">
        <v/>
      </c>
      <c r="P283" s="88" t="n"/>
    </row>
    <row r="284" ht="43.2" customFormat="1" customHeight="1" s="2">
      <c r="A284" s="6">
        <f>A278+1</f>
        <v/>
      </c>
      <c r="B284" s="4" t="inlineStr">
        <is>
          <t>Gypsum ceiling</t>
        </is>
      </c>
      <c r="C284"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D284" s="7" t="inlineStr">
        <is>
          <t>sft</t>
        </is>
      </c>
      <c r="E284" s="17" t="n">
        <v>956</v>
      </c>
      <c r="F284" s="20" t="n"/>
      <c r="G284" s="47" t="n"/>
      <c r="H284" s="47" t="n"/>
      <c r="I284" s="47" t="n"/>
      <c r="J284" s="47" t="n"/>
      <c r="K284" s="20" t="n">
        <v/>
      </c>
      <c r="L284" s="47" t="n">
        <v/>
      </c>
      <c r="M284" s="47" t="n">
        <v/>
      </c>
      <c r="N284" s="47" t="n">
        <v/>
      </c>
      <c r="O284" s="47" t="n">
        <v/>
      </c>
      <c r="P284" s="88" t="n"/>
    </row>
    <row r="285" customFormat="1" s="2">
      <c r="A285" s="6" t="n"/>
      <c r="B285" s="4" t="n"/>
      <c r="C285" s="14" t="inlineStr">
        <is>
          <t>Same As Meaurement sheet for Gypsum Paint</t>
        </is>
      </c>
      <c r="D285" s="7" t="n"/>
      <c r="E285" s="17" t="n"/>
      <c r="F285" s="20" t="n"/>
      <c r="G285" s="47" t="n"/>
      <c r="H285" s="47" t="n"/>
      <c r="I285" s="47" t="n"/>
      <c r="J285" s="16">
        <f>PRODUCT(F285:I285)</f>
        <v/>
      </c>
      <c r="K285" s="20" t="n">
        <v/>
      </c>
      <c r="L285" s="47" t="n">
        <v/>
      </c>
      <c r="M285" s="47" t="n">
        <v/>
      </c>
      <c r="N285" s="47" t="n">
        <v/>
      </c>
      <c r="O285" s="16" t="n">
        <v/>
      </c>
      <c r="P285" s="88" t="n"/>
    </row>
    <row r="286" customFormat="1" s="2">
      <c r="A286" s="6" t="n"/>
      <c r="B286" s="4" t="n"/>
      <c r="C286" s="4" t="inlineStr">
        <is>
          <t>Ceiling Area</t>
        </is>
      </c>
      <c r="D286" s="7" t="inlineStr">
        <is>
          <t>Sq.ft</t>
        </is>
      </c>
      <c r="E286" s="17" t="n"/>
      <c r="F286" s="20" t="n">
        <v>1</v>
      </c>
      <c r="G286" s="47">
        <f>J640</f>
        <v/>
      </c>
      <c r="H286" s="47" t="n"/>
      <c r="I286" s="47" t="n"/>
      <c r="J286" s="16">
        <f>PRODUCT(F286:I286)</f>
        <v/>
      </c>
      <c r="K286" s="20" t="n">
        <v>1</v>
      </c>
      <c r="L286" s="47" t="n">
        <v/>
      </c>
      <c r="M286" s="47" t="n">
        <v/>
      </c>
      <c r="N286" s="47" t="n">
        <v/>
      </c>
      <c r="O286" s="16" t="n">
        <v/>
      </c>
      <c r="P286" s="88" t="n"/>
    </row>
    <row r="287" customFormat="1" s="2">
      <c r="A287" s="6" t="n"/>
      <c r="B287" s="4" t="n"/>
      <c r="C287" s="4" t="n"/>
      <c r="D287" s="7" t="n"/>
      <c r="E287" s="17" t="n"/>
      <c r="F287" s="20" t="n"/>
      <c r="G287" s="47" t="n"/>
      <c r="H287" s="47" t="n"/>
      <c r="I287" s="47" t="n"/>
      <c r="J287" s="16">
        <f>PRODUCT(F287:I287)</f>
        <v/>
      </c>
      <c r="K287" s="20" t="n">
        <v/>
      </c>
      <c r="L287" s="47" t="n">
        <v/>
      </c>
      <c r="M287" s="47" t="n">
        <v/>
      </c>
      <c r="N287" s="47" t="n">
        <v/>
      </c>
      <c r="O287" s="16" t="n">
        <v/>
      </c>
      <c r="P287" s="88" t="n"/>
    </row>
    <row r="288" customFormat="1" s="2">
      <c r="A288" s="6" t="n"/>
      <c r="B288" s="6" t="n"/>
      <c r="C288" s="112" t="inlineStr">
        <is>
          <t>Total Qty</t>
        </is>
      </c>
      <c r="D288" s="7" t="n"/>
      <c r="E288" s="17" t="n"/>
      <c r="F288" s="16" t="n"/>
      <c r="G288" s="16" t="n"/>
      <c r="H288" s="16" t="n"/>
      <c r="I288" s="16" t="n"/>
      <c r="J288" s="26">
        <f>ROUND(SUM(J285:J287),)</f>
        <v/>
      </c>
      <c r="K288" s="16" t="n">
        <v/>
      </c>
      <c r="L288" s="16" t="n">
        <v/>
      </c>
      <c r="M288" s="16" t="n">
        <v/>
      </c>
      <c r="N288" s="16" t="n">
        <v/>
      </c>
      <c r="O288" s="26" t="n">
        <v/>
      </c>
      <c r="P288" s="88" t="n"/>
    </row>
    <row r="289">
      <c r="A289" s="117" t="n"/>
      <c r="B289" s="117" t="n"/>
      <c r="C289" s="117" t="n"/>
      <c r="D289" s="117" t="n"/>
      <c r="E289" s="118" t="n"/>
      <c r="F289" s="119" t="n"/>
      <c r="G289" s="119" t="n"/>
      <c r="H289" s="119" t="n"/>
      <c r="I289" s="119" t="n"/>
      <c r="J289" s="119" t="n"/>
      <c r="K289" s="119" t="n">
        <v/>
      </c>
      <c r="L289" s="119" t="n">
        <v/>
      </c>
      <c r="M289" s="119" t="n">
        <v/>
      </c>
      <c r="N289" s="119" t="n">
        <v/>
      </c>
      <c r="O289" s="119" t="n">
        <v/>
      </c>
      <c r="P289" s="117" t="n"/>
    </row>
    <row r="290" ht="69" customFormat="1" customHeight="1" s="2">
      <c r="A290" s="6">
        <f>A284+1</f>
        <v/>
      </c>
      <c r="B290" s="4" t="inlineStr">
        <is>
          <t>PCC - Plain cement concrete</t>
        </is>
      </c>
      <c r="C290" s="4"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D290" s="5" t="inlineStr">
        <is>
          <t>Sft</t>
        </is>
      </c>
      <c r="E290" s="16" t="n">
        <v>50</v>
      </c>
      <c r="F290" s="20" t="n"/>
      <c r="G290" s="47" t="n"/>
      <c r="H290" s="47" t="n"/>
      <c r="I290" s="47" t="n"/>
      <c r="J290" s="47" t="n"/>
      <c r="K290" s="20" t="n">
        <v/>
      </c>
      <c r="L290" s="47" t="n">
        <v/>
      </c>
      <c r="M290" s="47" t="n">
        <v/>
      </c>
      <c r="N290" s="47" t="n">
        <v/>
      </c>
      <c r="O290" s="47" t="n">
        <v/>
      </c>
      <c r="P290" s="88" t="n"/>
    </row>
    <row r="291" ht="82.8" customFormat="1" customHeight="1" s="2">
      <c r="A291" s="6">
        <f>A290+1</f>
        <v/>
      </c>
      <c r="B291" s="4" t="inlineStr">
        <is>
          <t>Pantry Sink Bowl</t>
        </is>
      </c>
      <c r="C291" s="4"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D291" s="5" t="inlineStr">
        <is>
          <t>Nos</t>
        </is>
      </c>
      <c r="E291" s="16" t="n">
        <v>1</v>
      </c>
      <c r="F291" s="20" t="n"/>
      <c r="G291" s="47" t="n"/>
      <c r="H291" s="47" t="n"/>
      <c r="I291" s="47" t="n"/>
      <c r="J291" s="47" t="n"/>
      <c r="K291" s="20" t="n">
        <v/>
      </c>
      <c r="L291" s="47" t="n">
        <v/>
      </c>
      <c r="M291" s="47" t="n">
        <v/>
      </c>
      <c r="N291" s="47" t="n">
        <v/>
      </c>
      <c r="O291" s="47" t="n">
        <v/>
      </c>
      <c r="P291" s="88" t="n"/>
    </row>
    <row r="292" customFormat="1" s="2">
      <c r="A292" s="6" t="n"/>
      <c r="B292" s="4" t="n"/>
      <c r="C292" s="14" t="inlineStr">
        <is>
          <t>Pantry Area</t>
        </is>
      </c>
      <c r="D292" s="7" t="n"/>
      <c r="E292" s="17" t="n"/>
      <c r="F292" s="20" t="n"/>
      <c r="G292" s="47" t="n"/>
      <c r="H292" s="47" t="n"/>
      <c r="I292" s="47" t="n"/>
      <c r="J292" s="47">
        <f>PRODUCT(E292:I292)</f>
        <v/>
      </c>
      <c r="K292" s="20" t="n">
        <v/>
      </c>
      <c r="L292" s="47" t="n">
        <v/>
      </c>
      <c r="M292" s="47" t="n">
        <v/>
      </c>
      <c r="N292" s="47" t="n">
        <v/>
      </c>
      <c r="O292" s="47" t="n">
        <v/>
      </c>
      <c r="P292" s="88" t="n"/>
    </row>
    <row r="293" customFormat="1" s="2">
      <c r="A293" s="6" t="n"/>
      <c r="B293" s="4" t="n"/>
      <c r="C293" s="4" t="inlineStr">
        <is>
          <t>Pantry Sink Bowl</t>
        </is>
      </c>
      <c r="D293" s="7" t="inlineStr">
        <is>
          <t>Nos</t>
        </is>
      </c>
      <c r="E293" s="17" t="n"/>
      <c r="F293" s="20" t="n">
        <v>1</v>
      </c>
      <c r="G293" s="47" t="n"/>
      <c r="H293" s="47" t="n"/>
      <c r="I293" s="47" t="n"/>
      <c r="J293" s="47">
        <f>PRODUCT(E293:I293)</f>
        <v/>
      </c>
      <c r="K293" s="20" t="n">
        <v>1</v>
      </c>
      <c r="L293" s="47" t="n">
        <v/>
      </c>
      <c r="M293" s="47" t="n">
        <v/>
      </c>
      <c r="N293" s="47" t="n">
        <v/>
      </c>
      <c r="O293" s="47" t="n">
        <v/>
      </c>
      <c r="P293" s="88" t="n"/>
    </row>
    <row r="294" customFormat="1" s="2">
      <c r="A294" s="6" t="n"/>
      <c r="B294" s="4" t="n"/>
      <c r="C294" s="4" t="n"/>
      <c r="D294" s="7" t="n"/>
      <c r="E294" s="17" t="n"/>
      <c r="F294" s="20" t="n"/>
      <c r="G294" s="47" t="n"/>
      <c r="H294" s="47" t="n"/>
      <c r="I294" s="47" t="n"/>
      <c r="J294" s="47">
        <f>PRODUCT(E294:I294)</f>
        <v/>
      </c>
      <c r="K294" s="20" t="n">
        <v/>
      </c>
      <c r="L294" s="47" t="n">
        <v/>
      </c>
      <c r="M294" s="47" t="n">
        <v/>
      </c>
      <c r="N294" s="47" t="n">
        <v/>
      </c>
      <c r="O294" s="47" t="n">
        <v/>
      </c>
      <c r="P294" s="88" t="n"/>
    </row>
    <row r="295" customFormat="1" s="2">
      <c r="A295" s="112" t="n"/>
      <c r="B295" s="112" t="n"/>
      <c r="C295" s="112" t="inlineStr">
        <is>
          <t>Total Qty</t>
        </is>
      </c>
      <c r="D295" s="120" t="n"/>
      <c r="E295" s="121" t="n"/>
      <c r="F295" s="123" t="n"/>
      <c r="G295" s="123" t="n"/>
      <c r="H295" s="123" t="n"/>
      <c r="I295" s="123" t="n"/>
      <c r="J295" s="123">
        <f>SUM(J292:J294)</f>
        <v/>
      </c>
      <c r="K295" s="123" t="n">
        <v/>
      </c>
      <c r="L295" s="123" t="n">
        <v/>
      </c>
      <c r="M295" s="123" t="n">
        <v/>
      </c>
      <c r="N295" s="123" t="n">
        <v/>
      </c>
      <c r="O295" s="123" t="n">
        <v/>
      </c>
      <c r="P295" s="88" t="n"/>
    </row>
    <row r="296" customFormat="1" s="2">
      <c r="A296" s="6" t="n"/>
      <c r="B296" s="4" t="n"/>
      <c r="C296" s="4" t="n"/>
      <c r="D296" s="7" t="n"/>
      <c r="E296" s="17" t="n"/>
      <c r="F296" s="20" t="n"/>
      <c r="G296" s="47" t="n"/>
      <c r="H296" s="47" t="n"/>
      <c r="I296" s="47" t="n"/>
      <c r="J296" s="47" t="n"/>
      <c r="K296" s="20" t="n">
        <v/>
      </c>
      <c r="L296" s="47" t="n">
        <v/>
      </c>
      <c r="M296" s="47" t="n">
        <v/>
      </c>
      <c r="N296" s="47" t="n">
        <v/>
      </c>
      <c r="O296" s="47" t="n">
        <v/>
      </c>
      <c r="P296" s="88" t="n"/>
    </row>
    <row r="297" ht="165.6" customFormat="1" customHeight="1" s="2">
      <c r="A297" s="6">
        <f>A291+1</f>
        <v/>
      </c>
      <c r="B297" s="4" t="inlineStr">
        <is>
          <t>Knauf Ceiling GRID [ARMSTRONG ]</t>
        </is>
      </c>
      <c r="C297"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D297" s="7" t="inlineStr">
        <is>
          <t>sft</t>
        </is>
      </c>
      <c r="E297" s="17" t="n">
        <v>395</v>
      </c>
      <c r="F297" s="20" t="n"/>
      <c r="G297" s="47" t="n"/>
      <c r="H297" s="47" t="n"/>
      <c r="I297" s="47" t="n"/>
      <c r="J297" s="47" t="n"/>
      <c r="K297" s="20" t="n">
        <v/>
      </c>
      <c r="L297" s="47" t="n">
        <v/>
      </c>
      <c r="M297" s="47" t="n">
        <v/>
      </c>
      <c r="N297" s="47" t="n">
        <v/>
      </c>
      <c r="O297" s="47" t="n">
        <v/>
      </c>
      <c r="P297" s="88" t="n"/>
    </row>
    <row r="298" customFormat="1" s="2">
      <c r="A298" s="6" t="n"/>
      <c r="B298" s="4" t="n"/>
      <c r="C298" s="14" t="inlineStr">
        <is>
          <t>Electrical Room</t>
        </is>
      </c>
      <c r="D298" s="7" t="n"/>
      <c r="E298" s="17" t="n"/>
      <c r="F298" s="20" t="n"/>
      <c r="G298" s="47" t="n"/>
      <c r="H298" s="47" t="n"/>
      <c r="I298" s="47" t="n"/>
      <c r="J298" s="16">
        <f>PRODUCT(F298:I298)</f>
        <v/>
      </c>
      <c r="K298" s="20" t="n">
        <v/>
      </c>
      <c r="L298" s="47" t="n">
        <v/>
      </c>
      <c r="M298" s="47" t="n">
        <v/>
      </c>
      <c r="N298" s="47" t="n">
        <v/>
      </c>
      <c r="O298" s="16" t="n">
        <v/>
      </c>
      <c r="P298" s="88" t="n"/>
    </row>
    <row r="299" customFormat="1" s="2">
      <c r="A299" s="6" t="n"/>
      <c r="B299" s="4" t="n"/>
      <c r="C299" s="4" t="inlineStr">
        <is>
          <t>Grid Ceiling Area</t>
        </is>
      </c>
      <c r="D299" s="7" t="inlineStr">
        <is>
          <t>Sq.ft</t>
        </is>
      </c>
      <c r="E299" s="17" t="n"/>
      <c r="F299" s="20" t="n">
        <v>1</v>
      </c>
      <c r="G299" s="47">
        <f>6.69-0.5</f>
        <v/>
      </c>
      <c r="H299" s="47" t="n">
        <v>7</v>
      </c>
      <c r="I299" s="47" t="n"/>
      <c r="J299" s="26">
        <f>PRODUCT(F299:I299)</f>
        <v/>
      </c>
      <c r="K299" s="20" t="n">
        <v>1</v>
      </c>
      <c r="L299" s="47" t="n">
        <v/>
      </c>
      <c r="M299" s="47" t="n">
        <v/>
      </c>
      <c r="N299" s="47" t="n">
        <v/>
      </c>
      <c r="O299" s="26" t="n">
        <v/>
      </c>
      <c r="P299" s="88" t="n"/>
    </row>
    <row r="300" customFormat="1" s="2">
      <c r="A300" s="6" t="n"/>
      <c r="B300" s="4" t="n"/>
      <c r="C300" s="14" t="inlineStr">
        <is>
          <t>Strong Room</t>
        </is>
      </c>
      <c r="D300" s="7" t="n"/>
      <c r="E300" s="17" t="n"/>
      <c r="F300" s="20" t="n"/>
      <c r="G300" s="47" t="n"/>
      <c r="H300" s="47" t="n"/>
      <c r="I300" s="47" t="n"/>
      <c r="J300" s="16" t="n"/>
      <c r="K300" s="20" t="n">
        <v/>
      </c>
      <c r="L300" s="47" t="n">
        <v/>
      </c>
      <c r="M300" s="47" t="n">
        <v/>
      </c>
      <c r="N300" s="47" t="n">
        <v/>
      </c>
      <c r="O300" s="16" t="n">
        <v/>
      </c>
      <c r="P300" s="88" t="n"/>
    </row>
    <row r="301" customFormat="1" s="2">
      <c r="A301" s="6" t="n"/>
      <c r="B301" s="4" t="n"/>
      <c r="C301" s="4" t="inlineStr">
        <is>
          <t>Grid Ceiling Area</t>
        </is>
      </c>
      <c r="D301" s="7" t="inlineStr">
        <is>
          <t>Sq.ft</t>
        </is>
      </c>
      <c r="E301" s="17" t="n"/>
      <c r="F301" s="20" t="n">
        <v>1</v>
      </c>
      <c r="G301" s="47" t="n">
        <v>8</v>
      </c>
      <c r="H301" s="47" t="n">
        <v>6</v>
      </c>
      <c r="I301" s="47" t="n"/>
      <c r="J301" s="26">
        <f>PRODUCT(F301:I301)</f>
        <v/>
      </c>
      <c r="K301" s="20" t="n">
        <v>1</v>
      </c>
      <c r="L301" s="47" t="n">
        <v/>
      </c>
      <c r="M301" s="47" t="n">
        <v/>
      </c>
      <c r="N301" s="47" t="n">
        <v/>
      </c>
      <c r="O301" s="26" t="n">
        <v/>
      </c>
      <c r="P301" s="88" t="n"/>
    </row>
    <row r="302" customFormat="1" s="2">
      <c r="A302" s="6" t="n"/>
      <c r="B302" s="4" t="n"/>
      <c r="C302" s="14" t="inlineStr">
        <is>
          <t>Service Counter</t>
        </is>
      </c>
      <c r="D302" s="7" t="n"/>
      <c r="E302" s="17" t="n"/>
      <c r="F302" s="20" t="n"/>
      <c r="G302" s="47" t="n"/>
      <c r="H302" s="47" t="n"/>
      <c r="I302" s="47" t="n"/>
      <c r="J302" s="16">
        <f>PRODUCT(F302:I302)</f>
        <v/>
      </c>
      <c r="K302" s="20" t="n">
        <v/>
      </c>
      <c r="L302" s="47" t="n">
        <v/>
      </c>
      <c r="M302" s="47" t="n">
        <v/>
      </c>
      <c r="N302" s="47" t="n">
        <v/>
      </c>
      <c r="O302" s="16" t="n">
        <v/>
      </c>
      <c r="P302" s="88" t="n"/>
    </row>
    <row r="303" customFormat="1" s="2">
      <c r="A303" s="6" t="n"/>
      <c r="B303" s="4" t="n"/>
      <c r="C303" s="4" t="inlineStr">
        <is>
          <t>Grid Ceiling Area</t>
        </is>
      </c>
      <c r="D303" s="7" t="inlineStr">
        <is>
          <t>Sq.ft</t>
        </is>
      </c>
      <c r="E303" s="17" t="n"/>
      <c r="F303" s="20" t="n">
        <v>1</v>
      </c>
      <c r="G303" s="47" t="n">
        <v>8</v>
      </c>
      <c r="H303" s="47" t="n">
        <v>12</v>
      </c>
      <c r="I303" s="47" t="n"/>
      <c r="J303" s="26">
        <f>PRODUCT(F303:I303)</f>
        <v/>
      </c>
      <c r="K303" s="20" t="n">
        <v>1</v>
      </c>
      <c r="L303" s="47" t="n">
        <v/>
      </c>
      <c r="M303" s="47" t="n">
        <v/>
      </c>
      <c r="N303" s="47" t="n">
        <v/>
      </c>
      <c r="O303" s="26" t="n">
        <v/>
      </c>
      <c r="P303" s="88" t="n"/>
    </row>
    <row r="304" customFormat="1" s="2">
      <c r="A304" s="6" t="n"/>
      <c r="B304" s="4" t="n"/>
      <c r="C304" s="14" t="inlineStr">
        <is>
          <t>Cash Counter Area</t>
        </is>
      </c>
      <c r="D304" s="7" t="n"/>
      <c r="E304" s="17" t="n"/>
      <c r="F304" s="20" t="n"/>
      <c r="G304" s="47" t="n"/>
      <c r="H304" s="47" t="n"/>
      <c r="I304" s="47" t="n"/>
      <c r="J304" s="16">
        <f>PRODUCT(F304:I304)</f>
        <v/>
      </c>
      <c r="K304" s="20" t="n">
        <v/>
      </c>
      <c r="L304" s="47" t="n">
        <v/>
      </c>
      <c r="M304" s="47" t="n">
        <v/>
      </c>
      <c r="N304" s="47" t="n">
        <v/>
      </c>
      <c r="O304" s="16" t="n">
        <v/>
      </c>
      <c r="P304" s="88" t="n"/>
    </row>
    <row r="305" customFormat="1" s="2">
      <c r="A305" s="6" t="n"/>
      <c r="B305" s="4" t="n"/>
      <c r="C305" s="4" t="inlineStr">
        <is>
          <t>Grid Ceiling Area</t>
        </is>
      </c>
      <c r="D305" s="7" t="inlineStr">
        <is>
          <t>Sq.ft</t>
        </is>
      </c>
      <c r="E305" s="17" t="n"/>
      <c r="F305" s="20" t="n">
        <v>1</v>
      </c>
      <c r="G305" s="47" t="n">
        <v>4</v>
      </c>
      <c r="H305" s="47" t="n">
        <v>6</v>
      </c>
      <c r="I305" s="47" t="n"/>
      <c r="J305" s="26">
        <f>PRODUCT(F305:I305)</f>
        <v/>
      </c>
      <c r="K305" s="20" t="n">
        <v>1</v>
      </c>
      <c r="L305" s="47" t="n">
        <v/>
      </c>
      <c r="M305" s="47" t="n">
        <v/>
      </c>
      <c r="N305" s="47" t="n">
        <v/>
      </c>
      <c r="O305" s="26" t="n">
        <v/>
      </c>
      <c r="P305" s="88" t="n"/>
    </row>
    <row r="306" customFormat="1" s="2">
      <c r="A306" s="6" t="n"/>
      <c r="B306" s="4" t="n"/>
      <c r="C306" s="14" t="inlineStr">
        <is>
          <t>BM Cabin</t>
        </is>
      </c>
      <c r="D306" s="7" t="n"/>
      <c r="E306" s="17" t="n"/>
      <c r="F306" s="20" t="n"/>
      <c r="G306" s="47" t="n"/>
      <c r="H306" s="47" t="n"/>
      <c r="I306" s="47" t="n"/>
      <c r="J306" s="16">
        <f>PRODUCT(F306:I306)</f>
        <v/>
      </c>
      <c r="K306" s="20" t="n">
        <v/>
      </c>
      <c r="L306" s="47" t="n">
        <v/>
      </c>
      <c r="M306" s="47" t="n">
        <v/>
      </c>
      <c r="N306" s="47" t="n">
        <v/>
      </c>
      <c r="O306" s="16" t="n">
        <v/>
      </c>
      <c r="P306" s="88" t="n"/>
    </row>
    <row r="307" customFormat="1" s="2">
      <c r="A307" s="6" t="n"/>
      <c r="B307" s="4" t="n"/>
      <c r="C307" s="4" t="inlineStr">
        <is>
          <t>Grid Ceiling Area</t>
        </is>
      </c>
      <c r="D307" s="7" t="inlineStr">
        <is>
          <t>Sq.ft</t>
        </is>
      </c>
      <c r="E307" s="17" t="n"/>
      <c r="F307" s="20" t="n">
        <v>1</v>
      </c>
      <c r="G307" s="47" t="n">
        <v>4</v>
      </c>
      <c r="H307" s="47" t="n">
        <v>6</v>
      </c>
      <c r="I307" s="47" t="n"/>
      <c r="J307" s="26">
        <f>PRODUCT(F307:I307)</f>
        <v/>
      </c>
      <c r="K307" s="20" t="n">
        <v>1</v>
      </c>
      <c r="L307" s="47" t="n">
        <v/>
      </c>
      <c r="M307" s="47" t="n">
        <v/>
      </c>
      <c r="N307" s="47" t="n">
        <v/>
      </c>
      <c r="O307" s="26" t="n">
        <v/>
      </c>
      <c r="P307" s="88" t="n"/>
    </row>
    <row r="308" customFormat="1" s="2">
      <c r="A308" s="6" t="n"/>
      <c r="B308" s="4" t="n"/>
      <c r="C308" s="14" t="inlineStr">
        <is>
          <t>Back Office Area</t>
        </is>
      </c>
      <c r="D308" s="7" t="n"/>
      <c r="E308" s="17" t="n"/>
      <c r="F308" s="20" t="n"/>
      <c r="G308" s="47" t="n"/>
      <c r="H308" s="47" t="n"/>
      <c r="I308" s="47" t="n"/>
      <c r="J308" s="16">
        <f>PRODUCT(F308:I308)</f>
        <v/>
      </c>
      <c r="K308" s="20" t="n">
        <v/>
      </c>
      <c r="L308" s="47" t="n">
        <v/>
      </c>
      <c r="M308" s="47" t="n">
        <v/>
      </c>
      <c r="N308" s="47" t="n">
        <v/>
      </c>
      <c r="O308" s="16" t="n">
        <v/>
      </c>
      <c r="P308" s="88" t="n"/>
    </row>
    <row r="309" customFormat="1" s="2">
      <c r="A309" s="6" t="n"/>
      <c r="B309" s="4" t="n"/>
      <c r="C309" s="4" t="inlineStr">
        <is>
          <t>Grid Ceiling Area</t>
        </is>
      </c>
      <c r="D309" s="7" t="inlineStr">
        <is>
          <t>Sq.ft</t>
        </is>
      </c>
      <c r="E309" s="17" t="n"/>
      <c r="F309" s="20" t="n">
        <v>1</v>
      </c>
      <c r="G309" s="47" t="n">
        <v>4</v>
      </c>
      <c r="H309" s="47" t="n">
        <v>10</v>
      </c>
      <c r="I309" s="47" t="n"/>
      <c r="J309" s="26">
        <f>PRODUCT(F309:I309)</f>
        <v/>
      </c>
      <c r="K309" s="20" t="n">
        <v>1</v>
      </c>
      <c r="L309" s="47" t="n">
        <v/>
      </c>
      <c r="M309" s="47" t="n">
        <v/>
      </c>
      <c r="N309" s="47" t="n">
        <v/>
      </c>
      <c r="O309" s="26" t="n">
        <v/>
      </c>
      <c r="P309" s="88" t="n"/>
    </row>
    <row r="310" customFormat="1" s="2">
      <c r="A310" s="6" t="n"/>
      <c r="B310" s="4" t="n"/>
      <c r="C310" s="14" t="inlineStr">
        <is>
          <t>Store Room Passage</t>
        </is>
      </c>
      <c r="D310" s="7" t="n"/>
      <c r="E310" s="17" t="n"/>
      <c r="F310" s="20" t="n"/>
      <c r="G310" s="47" t="n"/>
      <c r="H310" s="47" t="n"/>
      <c r="I310" s="47" t="n"/>
      <c r="J310" s="16">
        <f>PRODUCT(F310:I310)</f>
        <v/>
      </c>
      <c r="K310" s="20" t="n">
        <v/>
      </c>
      <c r="L310" s="47" t="n">
        <v/>
      </c>
      <c r="M310" s="47" t="n">
        <v/>
      </c>
      <c r="N310" s="47" t="n">
        <v/>
      </c>
      <c r="O310" s="16" t="n">
        <v/>
      </c>
      <c r="P310" s="88" t="n"/>
    </row>
    <row r="311" customFormat="1" s="2">
      <c r="A311" s="6" t="n"/>
      <c r="B311" s="4" t="n"/>
      <c r="C311" s="4" t="inlineStr">
        <is>
          <t>Grid Ceiling Area</t>
        </is>
      </c>
      <c r="D311" s="7" t="inlineStr">
        <is>
          <t>Sq.ft</t>
        </is>
      </c>
      <c r="E311" s="17" t="n"/>
      <c r="F311" s="20" t="n">
        <v>1</v>
      </c>
      <c r="G311" s="47" t="n">
        <v>4</v>
      </c>
      <c r="H311" s="47" t="n">
        <v>8</v>
      </c>
      <c r="I311" s="47" t="n"/>
      <c r="J311" s="26">
        <f>PRODUCT(F311:I311)</f>
        <v/>
      </c>
      <c r="K311" s="20" t="n">
        <v>1</v>
      </c>
      <c r="L311" s="47" t="n">
        <v/>
      </c>
      <c r="M311" s="47" t="n">
        <v/>
      </c>
      <c r="N311" s="47" t="n">
        <v/>
      </c>
      <c r="O311" s="26" t="n">
        <v/>
      </c>
      <c r="P311" s="88" t="n"/>
    </row>
    <row r="312" customFormat="1" s="2">
      <c r="A312" s="6" t="n"/>
      <c r="B312" s="4" t="n"/>
      <c r="C312" s="14" t="inlineStr">
        <is>
          <t>Staircase Area</t>
        </is>
      </c>
      <c r="D312" s="7" t="n"/>
      <c r="E312" s="17" t="n"/>
      <c r="F312" s="20" t="n"/>
      <c r="G312" s="47" t="n"/>
      <c r="H312" s="47" t="n"/>
      <c r="I312" s="47" t="n"/>
      <c r="J312" s="16">
        <f>PRODUCT(F312:I312)</f>
        <v/>
      </c>
      <c r="K312" s="20" t="n">
        <v/>
      </c>
      <c r="L312" s="47" t="n">
        <v/>
      </c>
      <c r="M312" s="47" t="n">
        <v/>
      </c>
      <c r="N312" s="47" t="n">
        <v/>
      </c>
      <c r="O312" s="16" t="n">
        <v/>
      </c>
      <c r="P312" s="88" t="n"/>
    </row>
    <row r="313" customFormat="1" s="2">
      <c r="A313" s="6" t="n"/>
      <c r="B313" s="4" t="n"/>
      <c r="C313" s="4" t="inlineStr">
        <is>
          <t>Grid Ceiling Area</t>
        </is>
      </c>
      <c r="D313" s="7" t="inlineStr">
        <is>
          <t>Sq.ft</t>
        </is>
      </c>
      <c r="E313" s="17" t="n"/>
      <c r="F313" s="20" t="n">
        <v>1</v>
      </c>
      <c r="G313" s="47" t="n">
        <v>4</v>
      </c>
      <c r="H313" s="47" t="n">
        <v>10</v>
      </c>
      <c r="I313" s="47" t="n"/>
      <c r="J313" s="26">
        <f>PRODUCT(F313:I313)</f>
        <v/>
      </c>
      <c r="K313" s="20" t="n">
        <v>1</v>
      </c>
      <c r="L313" s="47" t="n">
        <v/>
      </c>
      <c r="M313" s="47" t="n">
        <v/>
      </c>
      <c r="N313" s="47" t="n">
        <v/>
      </c>
      <c r="O313" s="26" t="n">
        <v/>
      </c>
      <c r="P313" s="88" t="n"/>
    </row>
    <row r="314" customFormat="1" s="2">
      <c r="A314" s="6" t="n"/>
      <c r="B314" s="4" t="n"/>
      <c r="C314" s="14" t="inlineStr">
        <is>
          <t>JL Cabin</t>
        </is>
      </c>
      <c r="D314" s="7" t="n"/>
      <c r="E314" s="17" t="n"/>
      <c r="F314" s="20" t="n"/>
      <c r="G314" s="47" t="n"/>
      <c r="H314" s="47" t="n"/>
      <c r="I314" s="47" t="n"/>
      <c r="J314" s="16">
        <f>PRODUCT(F314:I314)</f>
        <v/>
      </c>
      <c r="K314" s="20" t="n">
        <v/>
      </c>
      <c r="L314" s="47" t="n">
        <v/>
      </c>
      <c r="M314" s="47" t="n">
        <v/>
      </c>
      <c r="N314" s="47" t="n">
        <v/>
      </c>
      <c r="O314" s="16" t="n">
        <v/>
      </c>
      <c r="P314" s="88" t="n"/>
    </row>
    <row r="315" customFormat="1" s="2">
      <c r="A315" s="6" t="n"/>
      <c r="B315" s="4" t="n"/>
      <c r="C315" s="4" t="inlineStr">
        <is>
          <t>Grid Ceiling Area</t>
        </is>
      </c>
      <c r="D315" s="7" t="inlineStr">
        <is>
          <t>Sq.ft</t>
        </is>
      </c>
      <c r="E315" s="17" t="n"/>
      <c r="F315" s="20" t="n">
        <v>1</v>
      </c>
      <c r="G315" s="47" t="n">
        <v>4</v>
      </c>
      <c r="H315" s="47" t="n">
        <v>6</v>
      </c>
      <c r="I315" s="47" t="n"/>
      <c r="J315" s="26">
        <f>PRODUCT(F315:I315)</f>
        <v/>
      </c>
      <c r="K315" s="20" t="n">
        <v>1</v>
      </c>
      <c r="L315" s="47" t="n">
        <v/>
      </c>
      <c r="M315" s="47" t="n">
        <v/>
      </c>
      <c r="N315" s="47" t="n">
        <v/>
      </c>
      <c r="O315" s="26" t="n">
        <v/>
      </c>
      <c r="P315" s="88" t="n"/>
    </row>
    <row r="316" customFormat="1" s="2">
      <c r="A316" s="6" t="n"/>
      <c r="B316" s="4" t="n"/>
      <c r="C316" s="14" t="inlineStr">
        <is>
          <t>Pantry Area</t>
        </is>
      </c>
      <c r="D316" s="7" t="n"/>
      <c r="E316" s="17" t="n"/>
      <c r="F316" s="20" t="n"/>
      <c r="G316" s="47" t="n"/>
      <c r="H316" s="47" t="n"/>
      <c r="I316" s="47" t="n"/>
      <c r="J316" s="16">
        <f>PRODUCT(F316:I316)</f>
        <v/>
      </c>
      <c r="K316" s="20" t="n">
        <v/>
      </c>
      <c r="L316" s="47" t="n">
        <v/>
      </c>
      <c r="M316" s="47" t="n">
        <v/>
      </c>
      <c r="N316" s="47" t="n">
        <v/>
      </c>
      <c r="O316" s="16" t="n">
        <v/>
      </c>
      <c r="P316" s="88" t="n"/>
    </row>
    <row r="317" customFormat="1" s="2">
      <c r="A317" s="6" t="n"/>
      <c r="B317" s="4" t="n"/>
      <c r="C317" s="4" t="inlineStr">
        <is>
          <t>Grid Ceiling Area</t>
        </is>
      </c>
      <c r="D317" s="7" t="inlineStr">
        <is>
          <t>Sq.ft</t>
        </is>
      </c>
      <c r="E317" s="17" t="n"/>
      <c r="F317" s="20" t="n">
        <v>1</v>
      </c>
      <c r="G317" s="47" t="n">
        <v>4</v>
      </c>
      <c r="H317" s="47" t="n">
        <v>8</v>
      </c>
      <c r="I317" s="47" t="n"/>
      <c r="J317" s="26">
        <f>PRODUCT(F317:I317)</f>
        <v/>
      </c>
      <c r="K317" s="20" t="n">
        <v>1</v>
      </c>
      <c r="L317" s="47" t="n">
        <v/>
      </c>
      <c r="M317" s="47" t="n">
        <v/>
      </c>
      <c r="N317" s="47" t="n">
        <v/>
      </c>
      <c r="O317" s="26" t="n">
        <v/>
      </c>
      <c r="P317" s="88" t="n"/>
    </row>
    <row r="318" customFormat="1" s="2">
      <c r="A318" s="6" t="n"/>
      <c r="B318" s="4" t="n"/>
      <c r="C318" s="4" t="n"/>
      <c r="D318" s="7" t="n"/>
      <c r="E318" s="17" t="n"/>
      <c r="F318" s="20" t="n"/>
      <c r="G318" s="47" t="n"/>
      <c r="H318" s="47" t="n"/>
      <c r="I318" s="47" t="n"/>
      <c r="J318" s="16">
        <f>PRODUCT(F318:I318)</f>
        <v/>
      </c>
      <c r="K318" s="20" t="n">
        <v/>
      </c>
      <c r="L318" s="47" t="n">
        <v/>
      </c>
      <c r="M318" s="47" t="n">
        <v/>
      </c>
      <c r="N318" s="47" t="n">
        <v/>
      </c>
      <c r="O318" s="16" t="n">
        <v/>
      </c>
      <c r="P318" s="88" t="n"/>
    </row>
    <row r="319" customFormat="1" s="2">
      <c r="A319" s="6" t="n"/>
      <c r="B319" s="6" t="n"/>
      <c r="C319" s="112" t="inlineStr">
        <is>
          <t>Total Qty</t>
        </is>
      </c>
      <c r="D319" s="7" t="n"/>
      <c r="E319" s="17" t="n"/>
      <c r="F319" s="16" t="n"/>
      <c r="G319" s="16" t="n"/>
      <c r="H319" s="16" t="n"/>
      <c r="I319" s="16" t="n"/>
      <c r="J319" s="26">
        <f>ROUND(SUM(J298:J318),)</f>
        <v/>
      </c>
      <c r="K319" s="16" t="n">
        <v/>
      </c>
      <c r="L319" s="16" t="n">
        <v/>
      </c>
      <c r="M319" s="16" t="n">
        <v/>
      </c>
      <c r="N319" s="16" t="n">
        <v/>
      </c>
      <c r="O319" s="26" t="n">
        <v/>
      </c>
      <c r="P319" s="88" t="n"/>
    </row>
    <row r="320" customFormat="1" s="2">
      <c r="A320" s="6" t="n"/>
      <c r="B320" s="4" t="n"/>
      <c r="C320" s="4" t="n"/>
      <c r="D320" s="7" t="n"/>
      <c r="E320" s="17" t="n"/>
      <c r="F320" s="20" t="n"/>
      <c r="G320" s="47" t="n"/>
      <c r="H320" s="47" t="n"/>
      <c r="I320" s="47" t="n"/>
      <c r="J320" s="47" t="n"/>
      <c r="K320" s="20" t="n">
        <v/>
      </c>
      <c r="L320" s="47" t="n">
        <v/>
      </c>
      <c r="M320" s="47" t="n">
        <v/>
      </c>
      <c r="N320" s="47" t="n">
        <v/>
      </c>
      <c r="O320" s="47" t="n">
        <v/>
      </c>
      <c r="P320" s="88" t="n"/>
    </row>
    <row r="321" ht="69" customFormat="1" customHeight="1" s="2">
      <c r="A321" s="6">
        <f>A297+1</f>
        <v/>
      </c>
      <c r="B321" s="4" t="inlineStr">
        <is>
          <t>Chasing floor- wall for electrical trunking</t>
        </is>
      </c>
      <c r="C321" s="4" t="inlineStr">
        <is>
          <t>Chasing in existing brick or siporex up to 200mm wide and 75mm deep, for installation of A.C. copper pipes and drain pipes as required and making good of chases with cement plaster or POP ready for application of paint.</t>
        </is>
      </c>
      <c r="D321" s="5" t="inlineStr">
        <is>
          <t>Rft</t>
        </is>
      </c>
      <c r="E321" s="16" t="n">
        <v>200</v>
      </c>
      <c r="F321" s="20" t="n"/>
      <c r="G321" s="47" t="n"/>
      <c r="H321" s="47" t="n"/>
      <c r="I321" s="47" t="n"/>
      <c r="J321" s="47" t="n"/>
      <c r="K321" s="20" t="n">
        <v/>
      </c>
      <c r="L321" s="47" t="n">
        <v/>
      </c>
      <c r="M321" s="47" t="n">
        <v/>
      </c>
      <c r="N321" s="47" t="n">
        <v/>
      </c>
      <c r="O321" s="47" t="n">
        <v/>
      </c>
      <c r="P321" s="88" t="n"/>
    </row>
    <row r="322" customFormat="1" s="2">
      <c r="A322" s="6" t="n"/>
      <c r="B322" s="4" t="n"/>
      <c r="C322" s="14" t="n"/>
      <c r="D322" s="7" t="n"/>
      <c r="E322" s="17" t="n"/>
      <c r="F322" s="20" t="n"/>
      <c r="G322" s="47" t="n"/>
      <c r="H322" s="47" t="n"/>
      <c r="I322" s="47" t="n"/>
      <c r="J322" s="47">
        <f>PRODUCT(E322:I322)</f>
        <v/>
      </c>
      <c r="K322" s="20" t="n">
        <v/>
      </c>
      <c r="L322" s="47" t="n">
        <v/>
      </c>
      <c r="M322" s="47" t="n">
        <v/>
      </c>
      <c r="N322" s="47" t="n">
        <v/>
      </c>
      <c r="O322" s="47" t="n">
        <v/>
      </c>
      <c r="P322" s="88" t="n"/>
    </row>
    <row r="323" customFormat="1" s="2">
      <c r="A323" s="6" t="n"/>
      <c r="B323" s="4" t="n"/>
      <c r="C323" s="4" t="inlineStr">
        <is>
          <t>As Per Site</t>
        </is>
      </c>
      <c r="D323" s="7" t="inlineStr">
        <is>
          <t>Rft</t>
        </is>
      </c>
      <c r="E323" s="17" t="n"/>
      <c r="F323" s="20" t="n">
        <v>1</v>
      </c>
      <c r="G323" s="34" t="n">
        <v>200</v>
      </c>
      <c r="H323" s="47" t="n"/>
      <c r="I323" s="47" t="n"/>
      <c r="J323" s="47">
        <f>PRODUCT(E323:I323)</f>
        <v/>
      </c>
      <c r="K323" s="20" t="n">
        <v>1</v>
      </c>
      <c r="L323" s="34" t="n">
        <v/>
      </c>
      <c r="M323" s="47" t="n">
        <v/>
      </c>
      <c r="N323" s="47" t="n">
        <v/>
      </c>
      <c r="O323" s="47" t="n">
        <v/>
      </c>
      <c r="P323" s="88" t="n"/>
    </row>
    <row r="324" customFormat="1" s="2">
      <c r="A324" s="6" t="n"/>
      <c r="B324" s="4" t="n"/>
      <c r="C324" s="4" t="n"/>
      <c r="D324" s="7" t="n"/>
      <c r="E324" s="17" t="n"/>
      <c r="F324" s="20" t="n"/>
      <c r="G324" s="47" t="n"/>
      <c r="H324" s="47" t="n"/>
      <c r="I324" s="47" t="n"/>
      <c r="J324" s="47">
        <f>PRODUCT(E324:I324)</f>
        <v/>
      </c>
      <c r="K324" s="20" t="n">
        <v/>
      </c>
      <c r="L324" s="47" t="n">
        <v/>
      </c>
      <c r="M324" s="47" t="n">
        <v/>
      </c>
      <c r="N324" s="47" t="n">
        <v/>
      </c>
      <c r="O324" s="47" t="n">
        <v/>
      </c>
      <c r="P324" s="88" t="n"/>
    </row>
    <row r="325" customFormat="1" s="2">
      <c r="A325" s="112" t="n"/>
      <c r="B325" s="112" t="n"/>
      <c r="C325" s="112" t="inlineStr">
        <is>
          <t>Total Qty</t>
        </is>
      </c>
      <c r="D325" s="120" t="n"/>
      <c r="E325" s="121" t="n"/>
      <c r="F325" s="123" t="n"/>
      <c r="G325" s="123" t="n"/>
      <c r="H325" s="123" t="n"/>
      <c r="I325" s="123" t="n"/>
      <c r="J325" s="123">
        <f>SUM(J322:J324)</f>
        <v/>
      </c>
      <c r="K325" s="123" t="n">
        <v/>
      </c>
      <c r="L325" s="123" t="n">
        <v/>
      </c>
      <c r="M325" s="123" t="n">
        <v/>
      </c>
      <c r="N325" s="123" t="n">
        <v/>
      </c>
      <c r="O325" s="123" t="n">
        <v/>
      </c>
      <c r="P325" s="88" t="n"/>
    </row>
    <row r="326" customFormat="1" s="2">
      <c r="A326" s="6" t="n"/>
      <c r="B326" s="4" t="n"/>
      <c r="C326" s="4" t="n"/>
      <c r="D326" s="7" t="n"/>
      <c r="E326" s="17" t="n"/>
      <c r="F326" s="20" t="n"/>
      <c r="G326" s="47" t="n"/>
      <c r="H326" s="47" t="n"/>
      <c r="I326" s="47" t="n"/>
      <c r="J326" s="47" t="n"/>
      <c r="K326" s="20" t="n">
        <v/>
      </c>
      <c r="L326" s="47" t="n">
        <v/>
      </c>
      <c r="M326" s="47" t="n">
        <v/>
      </c>
      <c r="N326" s="47" t="n">
        <v/>
      </c>
      <c r="O326" s="47" t="n">
        <v/>
      </c>
      <c r="P326" s="88" t="n"/>
    </row>
    <row r="327" ht="110.4" customFormat="1" customHeight="1" s="2">
      <c r="A327" s="6">
        <f>A321+1</f>
        <v/>
      </c>
      <c r="B327" s="4" t="inlineStr">
        <is>
          <t>Sill-lining with Red - Black granite at toilet door sill &amp;frame</t>
        </is>
      </c>
      <c r="C327" s="4"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D327" s="7" t="inlineStr">
        <is>
          <t>Rft</t>
        </is>
      </c>
      <c r="E327" s="17" t="n">
        <v>253</v>
      </c>
      <c r="F327" s="20" t="n"/>
      <c r="G327" s="47" t="n"/>
      <c r="H327" s="47" t="n"/>
      <c r="I327" s="47" t="n"/>
      <c r="J327" s="47" t="n"/>
      <c r="K327" s="20" t="n">
        <v/>
      </c>
      <c r="L327" s="47" t="n">
        <v/>
      </c>
      <c r="M327" s="47" t="n">
        <v/>
      </c>
      <c r="N327" s="47" t="n">
        <v/>
      </c>
      <c r="O327" s="47" t="n">
        <v/>
      </c>
      <c r="P327" s="88" t="n"/>
    </row>
    <row r="328" customFormat="1" s="2">
      <c r="A328" s="6" t="n"/>
      <c r="B328" s="4" t="n"/>
      <c r="C328" s="24" t="inlineStr">
        <is>
          <t>Gents Toilet</t>
        </is>
      </c>
      <c r="D328" s="7" t="n"/>
      <c r="E328" s="17" t="n"/>
      <c r="F328" s="20" t="n"/>
      <c r="G328" s="47" t="n"/>
      <c r="H328" s="47" t="n"/>
      <c r="I328" s="47" t="n"/>
      <c r="J328" s="47">
        <f>PRODUCT(E328:I328)</f>
        <v/>
      </c>
      <c r="K328" s="20" t="n">
        <v/>
      </c>
      <c r="L328" s="47" t="n">
        <v/>
      </c>
      <c r="M328" s="47" t="n">
        <v/>
      </c>
      <c r="N328" s="47" t="n">
        <v/>
      </c>
      <c r="O328" s="47" t="n">
        <v/>
      </c>
      <c r="P328" s="88" t="n"/>
    </row>
    <row r="329" customFormat="1" s="2">
      <c r="A329" s="6" t="n"/>
      <c r="B329" s="4" t="n"/>
      <c r="C329" s="25" t="inlineStr">
        <is>
          <t>Door Jamb</t>
        </is>
      </c>
      <c r="D329" s="7" t="inlineStr">
        <is>
          <t>Rft</t>
        </is>
      </c>
      <c r="E329" s="17" t="n"/>
      <c r="F329" s="20" t="n">
        <v>1</v>
      </c>
      <c r="G329" s="34">
        <f>2.67+6.7+6.7</f>
        <v/>
      </c>
      <c r="H329" s="47" t="n"/>
      <c r="I329" s="47" t="n"/>
      <c r="J329" s="47">
        <f>PRODUCT(E329:I329)</f>
        <v/>
      </c>
      <c r="K329" s="20" t="n">
        <v>1</v>
      </c>
      <c r="L329" s="34" t="n">
        <v/>
      </c>
      <c r="M329" s="47" t="n">
        <v/>
      </c>
      <c r="N329" s="47" t="n">
        <v/>
      </c>
      <c r="O329" s="47" t="n">
        <v/>
      </c>
      <c r="P329" s="88" t="n"/>
    </row>
    <row r="330" customFormat="1" s="2">
      <c r="A330" s="6" t="n"/>
      <c r="B330" s="4" t="n"/>
      <c r="C330" s="25" t="inlineStr">
        <is>
          <t>Ladge Sill</t>
        </is>
      </c>
      <c r="D330" s="7" t="inlineStr">
        <is>
          <t>Rft</t>
        </is>
      </c>
      <c r="E330" s="17" t="n"/>
      <c r="F330" s="20" t="n">
        <v>1</v>
      </c>
      <c r="G330" s="47" t="n">
        <v>3.82</v>
      </c>
      <c r="H330" s="47" t="n"/>
      <c r="I330" s="47" t="n"/>
      <c r="J330" s="47">
        <f>PRODUCT(E330:I330)</f>
        <v/>
      </c>
      <c r="K330" s="20" t="n">
        <v>1</v>
      </c>
      <c r="L330" s="47" t="n">
        <v/>
      </c>
      <c r="M330" s="47" t="n">
        <v/>
      </c>
      <c r="N330" s="47" t="n">
        <v/>
      </c>
      <c r="O330" s="47" t="n">
        <v/>
      </c>
      <c r="P330" s="88" t="n"/>
    </row>
    <row r="331" customFormat="1" s="2">
      <c r="A331" s="6" t="n"/>
      <c r="B331" s="4" t="n"/>
      <c r="C331" s="124" t="inlineStr">
        <is>
          <t>Ladies Toilet</t>
        </is>
      </c>
      <c r="D331" s="7" t="n"/>
      <c r="E331" s="17" t="n"/>
      <c r="F331" s="20" t="n"/>
      <c r="G331" s="47" t="n"/>
      <c r="H331" s="47" t="n"/>
      <c r="I331" s="47" t="n"/>
      <c r="J331" s="47">
        <f>PRODUCT(E331:I331)</f>
        <v/>
      </c>
      <c r="K331" s="20" t="n">
        <v/>
      </c>
      <c r="L331" s="47" t="n">
        <v/>
      </c>
      <c r="M331" s="47" t="n">
        <v/>
      </c>
      <c r="N331" s="47" t="n">
        <v/>
      </c>
      <c r="O331" s="47" t="n">
        <v/>
      </c>
      <c r="P331" s="88" t="n"/>
    </row>
    <row r="332" customFormat="1" s="2">
      <c r="A332" s="6" t="n"/>
      <c r="B332" s="4" t="n"/>
      <c r="C332" s="25" t="inlineStr">
        <is>
          <t>Door Jamb</t>
        </is>
      </c>
      <c r="D332" s="7" t="inlineStr">
        <is>
          <t>Rft</t>
        </is>
      </c>
      <c r="E332" s="17" t="n"/>
      <c r="F332" s="20" t="n">
        <v>1</v>
      </c>
      <c r="G332" s="34">
        <f>2.67+6.7+6.7</f>
        <v/>
      </c>
      <c r="H332" s="47" t="n"/>
      <c r="I332" s="47" t="n"/>
      <c r="J332" s="47">
        <f>PRODUCT(E332:I332)</f>
        <v/>
      </c>
      <c r="K332" s="20" t="n">
        <v>1</v>
      </c>
      <c r="L332" s="34" t="n">
        <v/>
      </c>
      <c r="M332" s="47" t="n">
        <v/>
      </c>
      <c r="N332" s="47" t="n">
        <v/>
      </c>
      <c r="O332" s="47" t="n">
        <v/>
      </c>
      <c r="P332" s="88" t="n"/>
    </row>
    <row r="333" customFormat="1" s="2">
      <c r="A333" s="6" t="n"/>
      <c r="B333" s="4" t="n"/>
      <c r="C333" s="25" t="inlineStr">
        <is>
          <t>Ladge Sill</t>
        </is>
      </c>
      <c r="D333" s="7" t="inlineStr">
        <is>
          <t>Rft</t>
        </is>
      </c>
      <c r="E333" s="17" t="n"/>
      <c r="F333" s="20" t="n">
        <v>1</v>
      </c>
      <c r="G333" s="47" t="n">
        <v>3.82</v>
      </c>
      <c r="H333" s="47" t="n"/>
      <c r="I333" s="47" t="n"/>
      <c r="J333" s="47">
        <f>PRODUCT(E333:I333)</f>
        <v/>
      </c>
      <c r="K333" s="20" t="n">
        <v>1</v>
      </c>
      <c r="L333" s="47" t="n">
        <v/>
      </c>
      <c r="M333" s="47" t="n">
        <v/>
      </c>
      <c r="N333" s="47" t="n">
        <v/>
      </c>
      <c r="O333" s="47" t="n">
        <v/>
      </c>
      <c r="P333" s="88" t="n"/>
    </row>
    <row r="334" customFormat="1" s="2">
      <c r="A334" s="6" t="n"/>
      <c r="B334" s="4" t="n"/>
      <c r="C334" s="24" t="inlineStr">
        <is>
          <t>Toilet Passage</t>
        </is>
      </c>
      <c r="D334" s="7" t="n"/>
      <c r="E334" s="17" t="n"/>
      <c r="F334" s="20" t="n"/>
      <c r="G334" s="47" t="n"/>
      <c r="H334" s="47" t="n"/>
      <c r="I334" s="47" t="n"/>
      <c r="J334" s="47">
        <f>PRODUCT(E334:I334)</f>
        <v/>
      </c>
      <c r="K334" s="20" t="n">
        <v/>
      </c>
      <c r="L334" s="47" t="n">
        <v/>
      </c>
      <c r="M334" s="47" t="n">
        <v/>
      </c>
      <c r="N334" s="47" t="n">
        <v/>
      </c>
      <c r="O334" s="47" t="n">
        <v/>
      </c>
      <c r="P334" s="88" t="n"/>
    </row>
    <row r="335" customFormat="1" s="2">
      <c r="A335" s="6" t="n"/>
      <c r="B335" s="4" t="n"/>
      <c r="C335" s="25" t="inlineStr">
        <is>
          <t>Door Jamb</t>
        </is>
      </c>
      <c r="D335" s="7" t="inlineStr">
        <is>
          <t>Rft</t>
        </is>
      </c>
      <c r="E335" s="17" t="n"/>
      <c r="F335" s="20" t="n">
        <v>1</v>
      </c>
      <c r="G335" s="34">
        <f>2.67+6.7+6.7</f>
        <v/>
      </c>
      <c r="H335" s="47" t="n"/>
      <c r="I335" s="47" t="n"/>
      <c r="J335" s="47">
        <f>PRODUCT(E335:I335)</f>
        <v/>
      </c>
      <c r="K335" s="20" t="n">
        <v>1</v>
      </c>
      <c r="L335" s="34" t="n">
        <v/>
      </c>
      <c r="M335" s="47" t="n">
        <v/>
      </c>
      <c r="N335" s="47" t="n">
        <v/>
      </c>
      <c r="O335" s="47" t="n">
        <v/>
      </c>
      <c r="P335" s="88" t="n"/>
    </row>
    <row r="336" customFormat="1" s="2">
      <c r="A336" s="6" t="n"/>
      <c r="B336" s="4" t="n"/>
      <c r="C336" s="25" t="inlineStr">
        <is>
          <t>Door Sill</t>
        </is>
      </c>
      <c r="D336" s="7" t="inlineStr">
        <is>
          <t>Rft</t>
        </is>
      </c>
      <c r="E336" s="17" t="n"/>
      <c r="F336" s="20" t="inlineStr">
        <is>
          <t xml:space="preserve"> </t>
        </is>
      </c>
      <c r="G336" s="47" t="n">
        <v>2.42</v>
      </c>
      <c r="H336" s="47" t="n"/>
      <c r="I336" s="47" t="n"/>
      <c r="J336" s="47">
        <f>PRODUCT(E336:I336)</f>
        <v/>
      </c>
      <c r="K336" s="20" t="inlineStr">
        <is>
          <t xml:space="preserve"> </t>
        </is>
      </c>
      <c r="L336" s="47" t="n">
        <v/>
      </c>
      <c r="M336" s="47" t="n">
        <v/>
      </c>
      <c r="N336" s="47" t="n">
        <v/>
      </c>
      <c r="O336" s="47" t="n">
        <v/>
      </c>
      <c r="P336" s="88" t="n"/>
    </row>
    <row r="337" customFormat="1" s="2">
      <c r="A337" s="6" t="n"/>
      <c r="B337" s="4" t="n"/>
      <c r="C337" s="4" t="n"/>
      <c r="D337" s="7" t="n"/>
      <c r="E337" s="17" t="n"/>
      <c r="F337" s="20" t="n"/>
      <c r="G337" s="47" t="n"/>
      <c r="H337" s="47" t="n"/>
      <c r="I337" s="47" t="n"/>
      <c r="J337" s="47">
        <f>PRODUCT(E337:I337)</f>
        <v/>
      </c>
      <c r="K337" s="20" t="n">
        <v/>
      </c>
      <c r="L337" s="47" t="n">
        <v/>
      </c>
      <c r="M337" s="47" t="n">
        <v/>
      </c>
      <c r="N337" s="47" t="n">
        <v/>
      </c>
      <c r="O337" s="47" t="n">
        <v/>
      </c>
      <c r="P337" s="88" t="n"/>
    </row>
    <row r="338" customFormat="1" s="2">
      <c r="A338" s="112" t="n"/>
      <c r="B338" s="112" t="n"/>
      <c r="C338" s="112" t="inlineStr">
        <is>
          <t>Total Qty</t>
        </is>
      </c>
      <c r="D338" s="120" t="n"/>
      <c r="E338" s="121" t="n"/>
      <c r="F338" s="123" t="n"/>
      <c r="G338" s="123" t="n"/>
      <c r="H338" s="123" t="n"/>
      <c r="I338" s="123" t="n"/>
      <c r="J338" s="123">
        <f>ROUND(SUM(J328:J337),)</f>
        <v/>
      </c>
      <c r="K338" s="123" t="n">
        <v/>
      </c>
      <c r="L338" s="123" t="n">
        <v/>
      </c>
      <c r="M338" s="123" t="n">
        <v/>
      </c>
      <c r="N338" s="123" t="n">
        <v/>
      </c>
      <c r="O338" s="123" t="n">
        <v/>
      </c>
      <c r="P338" s="88" t="n"/>
    </row>
    <row r="339" customFormat="1" s="2">
      <c r="A339" s="6" t="n"/>
      <c r="B339" s="4" t="n"/>
      <c r="C339" s="4" t="n"/>
      <c r="D339" s="7" t="n"/>
      <c r="E339" s="17" t="n"/>
      <c r="F339" s="20" t="n"/>
      <c r="G339" s="47" t="n"/>
      <c r="H339" s="47" t="n"/>
      <c r="I339" s="47" t="n"/>
      <c r="J339" s="47" t="n"/>
      <c r="K339" s="20" t="n">
        <v/>
      </c>
      <c r="L339" s="47" t="n">
        <v/>
      </c>
      <c r="M339" s="47" t="n">
        <v/>
      </c>
      <c r="N339" s="47" t="n">
        <v/>
      </c>
      <c r="O339" s="47" t="n">
        <v/>
      </c>
      <c r="P339" s="88" t="n"/>
    </row>
    <row r="340" ht="124.2" customFormat="1" customHeight="1" s="2">
      <c r="A340" s="6">
        <f>A327+1</f>
        <v/>
      </c>
      <c r="B340" s="4" t="inlineStr">
        <is>
          <t>WC - Water Closet</t>
        </is>
      </c>
      <c r="C340" s="4"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D340" s="7" t="inlineStr">
        <is>
          <t>Nos</t>
        </is>
      </c>
      <c r="E340" s="17" t="n">
        <v>2</v>
      </c>
      <c r="F340" s="20" t="n"/>
      <c r="G340" s="47" t="n"/>
      <c r="H340" s="47" t="n"/>
      <c r="I340" s="47" t="n"/>
      <c r="J340" s="47" t="n"/>
      <c r="K340" s="20" t="n">
        <v/>
      </c>
      <c r="L340" s="47" t="n">
        <v/>
      </c>
      <c r="M340" s="47" t="n">
        <v/>
      </c>
      <c r="N340" s="47" t="n">
        <v/>
      </c>
      <c r="O340" s="47" t="n">
        <v/>
      </c>
      <c r="P340" s="88" t="n"/>
    </row>
    <row r="341" customFormat="1" s="2">
      <c r="A341" s="6" t="n"/>
      <c r="B341" s="4" t="n"/>
      <c r="C341" s="14" t="inlineStr">
        <is>
          <t>Gents Toilet</t>
        </is>
      </c>
      <c r="D341" s="7" t="n"/>
      <c r="E341" s="17" t="n"/>
      <c r="F341" s="20" t="n"/>
      <c r="G341" s="47" t="n"/>
      <c r="H341" s="47" t="n"/>
      <c r="I341" s="47" t="n"/>
      <c r="J341" s="47">
        <f>PRODUCT(E341:I341)</f>
        <v/>
      </c>
      <c r="K341" s="20" t="n">
        <v/>
      </c>
      <c r="L341" s="47" t="n">
        <v/>
      </c>
      <c r="M341" s="47" t="n">
        <v/>
      </c>
      <c r="N341" s="47" t="n">
        <v/>
      </c>
      <c r="O341" s="47" t="n">
        <v/>
      </c>
      <c r="P341" s="88" t="n"/>
    </row>
    <row r="342" customFormat="1" s="2">
      <c r="A342" s="6" t="n"/>
      <c r="B342" s="4" t="n"/>
      <c r="C342" s="4" t="inlineStr">
        <is>
          <t>WC - Water Closet</t>
        </is>
      </c>
      <c r="D342" s="7" t="inlineStr">
        <is>
          <t>Nos</t>
        </is>
      </c>
      <c r="E342" s="17" t="n"/>
      <c r="F342" s="20" t="n">
        <v>1</v>
      </c>
      <c r="G342" s="47" t="n"/>
      <c r="H342" s="47" t="n"/>
      <c r="I342" s="47" t="n"/>
      <c r="J342" s="47">
        <f>PRODUCT(E342:I342)</f>
        <v/>
      </c>
      <c r="K342" s="20" t="n">
        <v>1</v>
      </c>
      <c r="L342" s="47" t="n">
        <v/>
      </c>
      <c r="M342" s="47" t="n">
        <v/>
      </c>
      <c r="N342" s="47" t="n">
        <v/>
      </c>
      <c r="O342" s="47" t="n">
        <v/>
      </c>
      <c r="P342" s="88" t="n"/>
    </row>
    <row r="343" customFormat="1" s="2">
      <c r="A343" s="6" t="n"/>
      <c r="B343" s="4" t="n"/>
      <c r="C343" s="14" t="inlineStr">
        <is>
          <t>Ladies Toilet</t>
        </is>
      </c>
      <c r="D343" s="7" t="n"/>
      <c r="E343" s="17" t="n"/>
      <c r="F343" s="20" t="n"/>
      <c r="G343" s="47" t="n"/>
      <c r="H343" s="47" t="n"/>
      <c r="I343" s="47" t="n"/>
      <c r="J343" s="47" t="n"/>
      <c r="K343" s="20" t="n">
        <v/>
      </c>
      <c r="L343" s="47" t="n">
        <v/>
      </c>
      <c r="M343" s="47" t="n">
        <v/>
      </c>
      <c r="N343" s="47" t="n">
        <v/>
      </c>
      <c r="O343" s="47" t="n">
        <v/>
      </c>
      <c r="P343" s="88" t="n"/>
    </row>
    <row r="344" customFormat="1" s="2">
      <c r="A344" s="6" t="n"/>
      <c r="B344" s="4" t="n"/>
      <c r="C344" s="4" t="inlineStr">
        <is>
          <t>WC - Water Closet</t>
        </is>
      </c>
      <c r="D344" s="7" t="inlineStr">
        <is>
          <t>Nos</t>
        </is>
      </c>
      <c r="E344" s="17" t="n"/>
      <c r="F344" s="20" t="n">
        <v>1</v>
      </c>
      <c r="G344" s="47" t="n"/>
      <c r="H344" s="47" t="n"/>
      <c r="I344" s="47" t="n"/>
      <c r="J344" s="47">
        <f>PRODUCT(E344:I344)</f>
        <v/>
      </c>
      <c r="K344" s="20" t="n">
        <v>1</v>
      </c>
      <c r="L344" s="47" t="n">
        <v/>
      </c>
      <c r="M344" s="47" t="n">
        <v/>
      </c>
      <c r="N344" s="47" t="n">
        <v/>
      </c>
      <c r="O344" s="47" t="n">
        <v/>
      </c>
      <c r="P344" s="88" t="n"/>
    </row>
    <row r="345" customFormat="1" s="2">
      <c r="A345" s="6" t="n"/>
      <c r="B345" s="4" t="n"/>
      <c r="C345" s="4" t="n"/>
      <c r="D345" s="7" t="n"/>
      <c r="E345" s="17" t="n"/>
      <c r="F345" s="20" t="n"/>
      <c r="G345" s="47" t="n"/>
      <c r="H345" s="47" t="n"/>
      <c r="I345" s="47" t="n"/>
      <c r="J345" s="47">
        <f>PRODUCT(E345:I345)</f>
        <v/>
      </c>
      <c r="K345" s="20" t="n">
        <v/>
      </c>
      <c r="L345" s="47" t="n">
        <v/>
      </c>
      <c r="M345" s="47" t="n">
        <v/>
      </c>
      <c r="N345" s="47" t="n">
        <v/>
      </c>
      <c r="O345" s="47" t="n">
        <v/>
      </c>
      <c r="P345" s="88" t="n"/>
    </row>
    <row r="346" customFormat="1" s="2">
      <c r="A346" s="112" t="n"/>
      <c r="B346" s="112" t="n"/>
      <c r="C346" s="112" t="inlineStr">
        <is>
          <t>Total Qty</t>
        </is>
      </c>
      <c r="D346" s="120" t="n"/>
      <c r="E346" s="121" t="n"/>
      <c r="F346" s="123" t="n"/>
      <c r="G346" s="123" t="n"/>
      <c r="H346" s="123" t="n"/>
      <c r="I346" s="123" t="n"/>
      <c r="J346" s="123">
        <f>SUM(J341:J345)</f>
        <v/>
      </c>
      <c r="K346" s="123" t="n">
        <v/>
      </c>
      <c r="L346" s="123" t="n">
        <v/>
      </c>
      <c r="M346" s="123" t="n">
        <v/>
      </c>
      <c r="N346" s="123" t="n">
        <v/>
      </c>
      <c r="O346" s="123" t="n">
        <v/>
      </c>
      <c r="P346" s="88" t="n"/>
    </row>
    <row r="347" customFormat="1" s="2">
      <c r="A347" s="6" t="n"/>
      <c r="B347" s="4" t="n"/>
      <c r="C347" s="4" t="n"/>
      <c r="D347" s="7" t="n"/>
      <c r="E347" s="17" t="n"/>
      <c r="F347" s="20" t="n"/>
      <c r="G347" s="47" t="n"/>
      <c r="H347" s="47" t="n"/>
      <c r="I347" s="47" t="n"/>
      <c r="J347" s="47" t="n"/>
      <c r="K347" s="20" t="n">
        <v/>
      </c>
      <c r="L347" s="47" t="n">
        <v/>
      </c>
      <c r="M347" s="47" t="n">
        <v/>
      </c>
      <c r="N347" s="47" t="n">
        <v/>
      </c>
      <c r="O347" s="47" t="n">
        <v/>
      </c>
      <c r="P347" s="88" t="n"/>
    </row>
    <row r="348" ht="151.8" customFormat="1" customHeight="1" s="2">
      <c r="A348" s="6">
        <f>A340+1</f>
        <v/>
      </c>
      <c r="B348" s="4" t="inlineStr">
        <is>
          <t>PVC pipes [Toilets
&amp;Pantry]</t>
        </is>
      </c>
      <c r="C348" s="4"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D348" s="7" t="inlineStr">
        <is>
          <t>Lsum</t>
        </is>
      </c>
      <c r="E348" s="17" t="n">
        <v>3</v>
      </c>
      <c r="F348" s="20" t="n"/>
      <c r="G348" s="47" t="n"/>
      <c r="H348" s="47" t="n"/>
      <c r="I348" s="47" t="n"/>
      <c r="J348" s="47" t="n"/>
      <c r="K348" s="20" t="n">
        <v/>
      </c>
      <c r="L348" s="47" t="n">
        <v/>
      </c>
      <c r="M348" s="47" t="n">
        <v/>
      </c>
      <c r="N348" s="47" t="n">
        <v/>
      </c>
      <c r="O348" s="47" t="n">
        <v/>
      </c>
      <c r="P348" s="88" t="n"/>
    </row>
    <row r="349" customFormat="1" s="2">
      <c r="A349" s="6" t="n"/>
      <c r="B349" s="4" t="n"/>
      <c r="C349" s="14" t="inlineStr">
        <is>
          <t>Gents Toilet</t>
        </is>
      </c>
      <c r="D349" s="7" t="n"/>
      <c r="E349" s="17" t="n"/>
      <c r="F349" s="20" t="n"/>
      <c r="G349" s="47" t="n"/>
      <c r="H349" s="47" t="n"/>
      <c r="I349" s="47" t="n"/>
      <c r="J349" s="47">
        <f>PRODUCT(E349:I349)</f>
        <v/>
      </c>
      <c r="K349" s="20" t="n">
        <v/>
      </c>
      <c r="L349" s="47" t="n">
        <v/>
      </c>
      <c r="M349" s="47" t="n">
        <v/>
      </c>
      <c r="N349" s="47" t="n">
        <v/>
      </c>
      <c r="O349" s="47" t="n">
        <v/>
      </c>
      <c r="P349" s="88" t="n"/>
    </row>
    <row r="350" customFormat="1" s="2">
      <c r="A350" s="6" t="n"/>
      <c r="B350" s="4" t="n"/>
      <c r="C350" s="4" t="inlineStr">
        <is>
          <t>PVC pipes for Point</t>
        </is>
      </c>
      <c r="D350" s="7" t="inlineStr">
        <is>
          <t>L/s</t>
        </is>
      </c>
      <c r="E350" s="17" t="n"/>
      <c r="F350" s="20" t="n">
        <v>1</v>
      </c>
      <c r="G350" s="47" t="n"/>
      <c r="H350" s="47" t="n"/>
      <c r="I350" s="47" t="n"/>
      <c r="J350" s="47">
        <f>PRODUCT(E350:I350)</f>
        <v/>
      </c>
      <c r="K350" s="20" t="n">
        <v>1</v>
      </c>
      <c r="L350" s="47" t="n">
        <v/>
      </c>
      <c r="M350" s="47" t="n">
        <v/>
      </c>
      <c r="N350" s="47" t="n">
        <v/>
      </c>
      <c r="O350" s="47" t="n">
        <v/>
      </c>
      <c r="P350" s="88" t="n"/>
    </row>
    <row r="351" customFormat="1" s="2">
      <c r="A351" s="6" t="n"/>
      <c r="B351" s="4" t="n"/>
      <c r="C351" s="14" t="inlineStr">
        <is>
          <t>Ladies Toilet</t>
        </is>
      </c>
      <c r="D351" s="7" t="n"/>
      <c r="E351" s="17" t="n"/>
      <c r="F351" s="20" t="n"/>
      <c r="G351" s="47" t="n"/>
      <c r="H351" s="47" t="n"/>
      <c r="I351" s="47" t="n"/>
      <c r="J351" s="47" t="n"/>
      <c r="K351" s="20" t="n">
        <v/>
      </c>
      <c r="L351" s="47" t="n">
        <v/>
      </c>
      <c r="M351" s="47" t="n">
        <v/>
      </c>
      <c r="N351" s="47" t="n">
        <v/>
      </c>
      <c r="O351" s="47" t="n">
        <v/>
      </c>
      <c r="P351" s="88" t="n"/>
    </row>
    <row r="352" customFormat="1" s="2">
      <c r="A352" s="6" t="n"/>
      <c r="B352" s="4" t="n"/>
      <c r="C352" s="4" t="inlineStr">
        <is>
          <t>PVC pipes for Point</t>
        </is>
      </c>
      <c r="D352" s="7" t="inlineStr">
        <is>
          <t>L/s</t>
        </is>
      </c>
      <c r="E352" s="17" t="n"/>
      <c r="F352" s="20" t="n">
        <v>1</v>
      </c>
      <c r="G352" s="47" t="n"/>
      <c r="H352" s="47" t="n"/>
      <c r="I352" s="47" t="n"/>
      <c r="J352" s="47">
        <f>PRODUCT(E352:I352)</f>
        <v/>
      </c>
      <c r="K352" s="20" t="n">
        <v>1</v>
      </c>
      <c r="L352" s="47" t="n">
        <v/>
      </c>
      <c r="M352" s="47" t="n">
        <v/>
      </c>
      <c r="N352" s="47" t="n">
        <v/>
      </c>
      <c r="O352" s="47" t="n">
        <v/>
      </c>
      <c r="P352" s="88" t="n"/>
    </row>
    <row r="353" customFormat="1" s="2">
      <c r="A353" s="6" t="n"/>
      <c r="B353" s="4" t="n"/>
      <c r="C353" s="14" t="inlineStr">
        <is>
          <t>Pantry Area</t>
        </is>
      </c>
      <c r="D353" s="7" t="n"/>
      <c r="E353" s="17" t="n"/>
      <c r="F353" s="20" t="n"/>
      <c r="G353" s="47" t="n"/>
      <c r="H353" s="47" t="n"/>
      <c r="I353" s="47" t="n"/>
      <c r="J353" s="47" t="n"/>
      <c r="K353" s="20" t="n">
        <v/>
      </c>
      <c r="L353" s="47" t="n">
        <v/>
      </c>
      <c r="M353" s="47" t="n">
        <v/>
      </c>
      <c r="N353" s="47" t="n">
        <v/>
      </c>
      <c r="O353" s="47" t="n">
        <v/>
      </c>
      <c r="P353" s="88" t="n"/>
    </row>
    <row r="354" customFormat="1" s="2">
      <c r="A354" s="6" t="n"/>
      <c r="B354" s="4" t="n"/>
      <c r="C354" s="4" t="inlineStr">
        <is>
          <t>PVC pipes for Point</t>
        </is>
      </c>
      <c r="D354" s="7" t="inlineStr">
        <is>
          <t>L/s</t>
        </is>
      </c>
      <c r="E354" s="17" t="n"/>
      <c r="F354" s="20" t="n">
        <v>1</v>
      </c>
      <c r="G354" s="47" t="n"/>
      <c r="H354" s="47" t="n"/>
      <c r="I354" s="47" t="n"/>
      <c r="J354" s="47">
        <f>PRODUCT(E354:I354)</f>
        <v/>
      </c>
      <c r="K354" s="20" t="n">
        <v>1</v>
      </c>
      <c r="L354" s="47" t="n">
        <v/>
      </c>
      <c r="M354" s="47" t="n">
        <v/>
      </c>
      <c r="N354" s="47" t="n">
        <v/>
      </c>
      <c r="O354" s="47" t="n">
        <v/>
      </c>
      <c r="P354" s="88" t="n"/>
    </row>
    <row r="355" customFormat="1" s="2">
      <c r="A355" s="6" t="n"/>
      <c r="B355" s="4" t="n"/>
      <c r="C355" s="4" t="n"/>
      <c r="D355" s="7" t="n"/>
      <c r="E355" s="17" t="n"/>
      <c r="F355" s="20" t="n"/>
      <c r="G355" s="47" t="n"/>
      <c r="H355" s="47" t="n"/>
      <c r="I355" s="47" t="n"/>
      <c r="J355" s="47">
        <f>PRODUCT(E355:I355)</f>
        <v/>
      </c>
      <c r="K355" s="20" t="n">
        <v/>
      </c>
      <c r="L355" s="47" t="n">
        <v/>
      </c>
      <c r="M355" s="47" t="n">
        <v/>
      </c>
      <c r="N355" s="47" t="n">
        <v/>
      </c>
      <c r="O355" s="47" t="n">
        <v/>
      </c>
      <c r="P355" s="88" t="n"/>
    </row>
    <row r="356" customFormat="1" s="2">
      <c r="A356" s="112" t="n"/>
      <c r="B356" s="112" t="n"/>
      <c r="C356" s="112" t="inlineStr">
        <is>
          <t>Total Qty</t>
        </is>
      </c>
      <c r="D356" s="120" t="n"/>
      <c r="E356" s="121" t="n"/>
      <c r="F356" s="123" t="n"/>
      <c r="G356" s="123" t="n"/>
      <c r="H356" s="123" t="n"/>
      <c r="I356" s="123" t="n"/>
      <c r="J356" s="123">
        <f>SUM(J349:J355)</f>
        <v/>
      </c>
      <c r="K356" s="123" t="n">
        <v/>
      </c>
      <c r="L356" s="123" t="n">
        <v/>
      </c>
      <c r="M356" s="123" t="n">
        <v/>
      </c>
      <c r="N356" s="123" t="n">
        <v/>
      </c>
      <c r="O356" s="123" t="n">
        <v/>
      </c>
      <c r="P356" s="88" t="n"/>
    </row>
    <row r="357" customFormat="1" s="2">
      <c r="A357" s="6" t="n"/>
      <c r="B357" s="4" t="n"/>
      <c r="C357" s="4" t="n"/>
      <c r="D357" s="7" t="n"/>
      <c r="E357" s="17" t="n"/>
      <c r="F357" s="20" t="n"/>
      <c r="G357" s="47" t="n"/>
      <c r="H357" s="47" t="n"/>
      <c r="I357" s="47" t="n"/>
      <c r="J357" s="47" t="n"/>
      <c r="K357" s="20" t="n">
        <v/>
      </c>
      <c r="L357" s="47" t="n">
        <v/>
      </c>
      <c r="M357" s="47" t="n">
        <v/>
      </c>
      <c r="N357" s="47" t="n">
        <v/>
      </c>
      <c r="O357" s="47" t="n">
        <v/>
      </c>
      <c r="P357" s="88" t="n"/>
    </row>
    <row r="358" ht="55.2" customFormat="1" customHeight="1" s="2">
      <c r="A358" s="6">
        <f>A348+1</f>
        <v/>
      </c>
      <c r="B358" s="4" t="inlineStr">
        <is>
          <t>Bib Cock</t>
        </is>
      </c>
      <c r="C358" s="4" t="inlineStr">
        <is>
          <t>Supplying and Fixing of Jaquar Florentine, 15mm CP Brass Bib Tap with necessary CP Brass wall flanges etc., complete. [Fixing in Janitor] with auto closing. Model code- FLR-CHR-5047N</t>
        </is>
      </c>
      <c r="D358" s="5" t="inlineStr">
        <is>
          <t>Nos</t>
        </is>
      </c>
      <c r="E358" s="16" t="n">
        <v>2</v>
      </c>
      <c r="F358" s="20" t="n"/>
      <c r="G358" s="47" t="n"/>
      <c r="H358" s="47" t="n"/>
      <c r="I358" s="47" t="n"/>
      <c r="J358" s="47" t="n"/>
      <c r="K358" s="20" t="n">
        <v/>
      </c>
      <c r="L358" s="47" t="n">
        <v/>
      </c>
      <c r="M358" s="47" t="n">
        <v/>
      </c>
      <c r="N358" s="47" t="n">
        <v/>
      </c>
      <c r="O358" s="47" t="n">
        <v/>
      </c>
      <c r="P358" s="88" t="n"/>
    </row>
    <row r="359" ht="55.2" customFormat="1" customHeight="1" s="2">
      <c r="A359" s="6">
        <f>A358+1</f>
        <v/>
      </c>
      <c r="B359" s="4" t="inlineStr">
        <is>
          <t>Angular Stop Cock</t>
        </is>
      </c>
      <c r="C359" s="4" t="inlineStr">
        <is>
          <t>Supply fixing and installation of Angular stop cocks with wall flange [ Make Jaguar Florentine, model - FLR-CHR-5053N] to be provided only at the entry point of plumbing lines within the toilets and pantry</t>
        </is>
      </c>
      <c r="D359" s="5" t="inlineStr">
        <is>
          <t>Nos</t>
        </is>
      </c>
      <c r="E359" s="16" t="n">
        <v>4</v>
      </c>
      <c r="F359" s="20" t="n"/>
      <c r="G359" s="47" t="n"/>
      <c r="H359" s="47" t="n"/>
      <c r="I359" s="47" t="n"/>
      <c r="J359" s="47" t="n"/>
      <c r="K359" s="20" t="n">
        <v/>
      </c>
      <c r="L359" s="47" t="n">
        <v/>
      </c>
      <c r="M359" s="47" t="n">
        <v/>
      </c>
      <c r="N359" s="47" t="n">
        <v/>
      </c>
      <c r="O359" s="47" t="n">
        <v/>
      </c>
      <c r="P359" s="88" t="n"/>
    </row>
    <row r="360" customFormat="1" s="2">
      <c r="A360" s="6" t="n"/>
      <c r="B360" s="4" t="n"/>
      <c r="C360" s="14" t="inlineStr">
        <is>
          <t>Ladies Toilet</t>
        </is>
      </c>
      <c r="D360" s="7" t="n"/>
      <c r="E360" s="17" t="n"/>
      <c r="F360" s="20" t="n"/>
      <c r="G360" s="47" t="n"/>
      <c r="H360" s="47" t="n"/>
      <c r="I360" s="47" t="n"/>
      <c r="J360" s="47" t="n"/>
      <c r="K360" s="20" t="n">
        <v/>
      </c>
      <c r="L360" s="47" t="n">
        <v/>
      </c>
      <c r="M360" s="47" t="n">
        <v/>
      </c>
      <c r="N360" s="47" t="n">
        <v/>
      </c>
      <c r="O360" s="47" t="n">
        <v/>
      </c>
      <c r="P360" s="88" t="n"/>
    </row>
    <row r="361" customFormat="1" s="2">
      <c r="A361" s="6" t="n"/>
      <c r="B361" s="4" t="n"/>
      <c r="C361" s="4" t="inlineStr">
        <is>
          <t>Angular Stop Cock</t>
        </is>
      </c>
      <c r="D361" s="7" t="inlineStr">
        <is>
          <t>Nos</t>
        </is>
      </c>
      <c r="E361" s="17" t="n"/>
      <c r="F361" s="20" t="n">
        <v>1</v>
      </c>
      <c r="G361" s="47" t="n"/>
      <c r="H361" s="47" t="n"/>
      <c r="I361" s="47" t="n"/>
      <c r="J361" s="47">
        <f>PRODUCT(E361:I361)</f>
        <v/>
      </c>
      <c r="K361" s="20" t="n">
        <v>1</v>
      </c>
      <c r="L361" s="47" t="n">
        <v/>
      </c>
      <c r="M361" s="47" t="n">
        <v/>
      </c>
      <c r="N361" s="47" t="n">
        <v/>
      </c>
      <c r="O361" s="47" t="n">
        <v/>
      </c>
      <c r="P361" s="88" t="n"/>
    </row>
    <row r="362" customFormat="1" s="2">
      <c r="A362" s="6" t="n"/>
      <c r="B362" s="4" t="n"/>
      <c r="C362" s="4" t="n"/>
      <c r="D362" s="7" t="n"/>
      <c r="E362" s="17" t="n"/>
      <c r="F362" s="20" t="n"/>
      <c r="G362" s="47" t="n"/>
      <c r="H362" s="47" t="n"/>
      <c r="I362" s="47" t="n"/>
      <c r="J362" s="47">
        <f>PRODUCT(E362:I362)</f>
        <v/>
      </c>
      <c r="K362" s="20" t="n">
        <v/>
      </c>
      <c r="L362" s="47" t="n">
        <v/>
      </c>
      <c r="M362" s="47" t="n">
        <v/>
      </c>
      <c r="N362" s="47" t="n">
        <v/>
      </c>
      <c r="O362" s="47" t="n">
        <v/>
      </c>
      <c r="P362" s="88" t="n"/>
    </row>
    <row r="363" customFormat="1" s="2">
      <c r="A363" s="112" t="n"/>
      <c r="B363" s="112" t="n"/>
      <c r="C363" s="112" t="inlineStr">
        <is>
          <t>Total Qty</t>
        </is>
      </c>
      <c r="D363" s="120" t="n"/>
      <c r="E363" s="121" t="n"/>
      <c r="F363" s="123" t="n"/>
      <c r="G363" s="123" t="n"/>
      <c r="H363" s="123" t="n"/>
      <c r="I363" s="123" t="n"/>
      <c r="J363" s="123">
        <f>SUM(J360:J362)</f>
        <v/>
      </c>
      <c r="K363" s="123" t="n">
        <v/>
      </c>
      <c r="L363" s="123" t="n">
        <v/>
      </c>
      <c r="M363" s="123" t="n">
        <v/>
      </c>
      <c r="N363" s="123" t="n">
        <v/>
      </c>
      <c r="O363" s="123" t="n">
        <v/>
      </c>
      <c r="P363" s="88" t="n"/>
    </row>
    <row r="364" customFormat="1" s="2">
      <c r="A364" s="6" t="n"/>
      <c r="B364" s="4" t="n"/>
      <c r="C364" s="4" t="n"/>
      <c r="D364" s="7" t="n"/>
      <c r="E364" s="17" t="n"/>
      <c r="F364" s="20" t="n"/>
      <c r="G364" s="47" t="n"/>
      <c r="H364" s="47" t="n"/>
      <c r="I364" s="47" t="n"/>
      <c r="J364" s="47" t="n"/>
      <c r="K364" s="20" t="n">
        <v/>
      </c>
      <c r="L364" s="47" t="n">
        <v/>
      </c>
      <c r="M364" s="47" t="n">
        <v/>
      </c>
      <c r="N364" s="47" t="n">
        <v/>
      </c>
      <c r="O364" s="47" t="n">
        <v/>
      </c>
      <c r="P364" s="88" t="n"/>
    </row>
    <row r="365" ht="193.2" customFormat="1" customHeight="1" s="2">
      <c r="A365" s="6">
        <f>A359+1</f>
        <v/>
      </c>
      <c r="B365" s="4" t="inlineStr">
        <is>
          <t>Shutter below pantry platform</t>
        </is>
      </c>
      <c r="C365" s="4"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D365" s="7" t="inlineStr">
        <is>
          <t>sft</t>
        </is>
      </c>
      <c r="E365" s="17" t="n">
        <v>14</v>
      </c>
      <c r="F365" s="20" t="n"/>
      <c r="G365" s="47" t="n"/>
      <c r="H365" s="47" t="n"/>
      <c r="I365" s="47" t="n"/>
      <c r="J365" s="47" t="n"/>
      <c r="K365" s="20" t="n">
        <v/>
      </c>
      <c r="L365" s="47" t="n">
        <v/>
      </c>
      <c r="M365" s="47" t="n">
        <v/>
      </c>
      <c r="N365" s="47" t="n">
        <v/>
      </c>
      <c r="O365" s="47" t="n">
        <v/>
      </c>
      <c r="P365" s="88" t="n"/>
    </row>
    <row r="366" customFormat="1" s="2">
      <c r="A366" s="6" t="n"/>
      <c r="B366" s="4" t="n"/>
      <c r="C366" s="14" t="inlineStr">
        <is>
          <t>Pantry Area</t>
        </is>
      </c>
      <c r="D366" s="7" t="n"/>
      <c r="E366" s="17" t="n"/>
      <c r="F366" s="20" t="n"/>
      <c r="G366" s="47" t="n"/>
      <c r="H366" s="47" t="n"/>
      <c r="I366" s="47" t="n"/>
      <c r="J366" s="47" t="n"/>
      <c r="K366" s="20" t="n">
        <v/>
      </c>
      <c r="L366" s="47" t="n">
        <v/>
      </c>
      <c r="M366" s="47" t="n">
        <v/>
      </c>
      <c r="N366" s="47" t="n">
        <v/>
      </c>
      <c r="O366" s="47" t="n">
        <v/>
      </c>
      <c r="P366" s="88" t="n"/>
    </row>
    <row r="367" customFormat="1" s="2">
      <c r="A367" s="6" t="n"/>
      <c r="B367" s="4" t="n"/>
      <c r="C367" s="4" t="inlineStr">
        <is>
          <t>Shutter below pantry platform</t>
        </is>
      </c>
      <c r="D367" s="7" t="inlineStr">
        <is>
          <t>Sq.ft</t>
        </is>
      </c>
      <c r="E367" s="17" t="n"/>
      <c r="F367" s="20" t="n">
        <v>1</v>
      </c>
      <c r="G367" s="47" t="n">
        <v>5.17</v>
      </c>
      <c r="H367" s="47" t="n"/>
      <c r="I367" s="47" t="n">
        <v>2.17</v>
      </c>
      <c r="J367" s="47">
        <f>PRODUCT(E367:I367)</f>
        <v/>
      </c>
      <c r="K367" s="20" t="n">
        <v>1</v>
      </c>
      <c r="L367" s="47" t="n">
        <v/>
      </c>
      <c r="M367" s="47" t="n">
        <v/>
      </c>
      <c r="N367" s="47" t="n">
        <v/>
      </c>
      <c r="O367" s="47" t="n">
        <v/>
      </c>
      <c r="P367" s="88" t="n"/>
    </row>
    <row r="368" customFormat="1" s="2">
      <c r="A368" s="6" t="n"/>
      <c r="B368" s="4" t="n"/>
      <c r="C368" s="4" t="n"/>
      <c r="D368" s="7" t="n"/>
      <c r="E368" s="17" t="n"/>
      <c r="F368" s="20" t="n"/>
      <c r="G368" s="47" t="n"/>
      <c r="H368" s="47" t="n"/>
      <c r="I368" s="47" t="n"/>
      <c r="J368" s="47">
        <f>PRODUCT(E368:I368)</f>
        <v/>
      </c>
      <c r="K368" s="20" t="n">
        <v/>
      </c>
      <c r="L368" s="47" t="n">
        <v/>
      </c>
      <c r="M368" s="47" t="n">
        <v/>
      </c>
      <c r="N368" s="47" t="n">
        <v/>
      </c>
      <c r="O368" s="47" t="n">
        <v/>
      </c>
      <c r="P368" s="88" t="n"/>
    </row>
    <row r="369" customFormat="1" s="2">
      <c r="A369" s="112" t="n"/>
      <c r="B369" s="112" t="n"/>
      <c r="C369" s="112" t="inlineStr">
        <is>
          <t>Total Qty</t>
        </is>
      </c>
      <c r="D369" s="120" t="n"/>
      <c r="E369" s="121" t="n"/>
      <c r="F369" s="123" t="n"/>
      <c r="G369" s="123" t="n"/>
      <c r="H369" s="123" t="n"/>
      <c r="I369" s="123" t="n"/>
      <c r="J369" s="123">
        <f>ROUND(SUM(J366:J368),)</f>
        <v/>
      </c>
      <c r="K369" s="123" t="n">
        <v/>
      </c>
      <c r="L369" s="123" t="n">
        <v/>
      </c>
      <c r="M369" s="123" t="n">
        <v/>
      </c>
      <c r="N369" s="123" t="n">
        <v/>
      </c>
      <c r="O369" s="123" t="n">
        <v/>
      </c>
      <c r="P369" s="88" t="n"/>
    </row>
    <row r="370">
      <c r="A370" s="117" t="n"/>
      <c r="B370" s="117" t="n"/>
      <c r="C370" s="117" t="n"/>
      <c r="D370" s="117" t="n"/>
      <c r="E370" s="118" t="n"/>
      <c r="F370" s="119" t="n"/>
      <c r="G370" s="119" t="n"/>
      <c r="H370" s="119" t="n"/>
      <c r="I370" s="119" t="n"/>
      <c r="J370" s="119" t="n"/>
      <c r="K370" s="119" t="n">
        <v/>
      </c>
      <c r="L370" s="119" t="n">
        <v/>
      </c>
      <c r="M370" s="119" t="n">
        <v/>
      </c>
      <c r="N370" s="119" t="n">
        <v/>
      </c>
      <c r="O370" s="119" t="n">
        <v/>
      </c>
      <c r="P370" s="117" t="n"/>
    </row>
    <row r="371" ht="27.6" customFormat="1" customHeight="1" s="2">
      <c r="A371" s="6">
        <f>A365+1</f>
        <v/>
      </c>
      <c r="B371" s="4" t="inlineStr">
        <is>
          <t>Nahani Traps</t>
        </is>
      </c>
      <c r="C371" s="4" t="inlineStr">
        <is>
          <t>Supply and fixing of S.S. Nahani Trap Insect-Proof type as per approved sample in toilets and pantry.</t>
        </is>
      </c>
      <c r="D371" s="5" t="inlineStr">
        <is>
          <t>Nos</t>
        </is>
      </c>
      <c r="E371" s="16" t="n">
        <v>4</v>
      </c>
      <c r="F371" s="20" t="n"/>
      <c r="G371" s="47" t="n"/>
      <c r="H371" s="47" t="n"/>
      <c r="I371" s="47" t="n"/>
      <c r="J371" s="47" t="n"/>
      <c r="K371" s="20" t="n">
        <v/>
      </c>
      <c r="L371" s="47" t="n">
        <v/>
      </c>
      <c r="M371" s="47" t="n">
        <v/>
      </c>
      <c r="N371" s="47" t="n">
        <v/>
      </c>
      <c r="O371" s="47" t="n">
        <v/>
      </c>
      <c r="P371" s="88" t="n"/>
    </row>
    <row r="372" customFormat="1" s="2">
      <c r="A372" s="6" t="n"/>
      <c r="B372" s="4" t="n"/>
      <c r="C372" s="14" t="inlineStr">
        <is>
          <t>Gents Toilet</t>
        </is>
      </c>
      <c r="D372" s="7" t="n"/>
      <c r="E372" s="17" t="n"/>
      <c r="F372" s="20" t="n"/>
      <c r="G372" s="47" t="n"/>
      <c r="H372" s="47" t="n"/>
      <c r="I372" s="47" t="n"/>
      <c r="J372" s="47">
        <f>PRODUCT(E372:I372)</f>
        <v/>
      </c>
      <c r="K372" s="20" t="n">
        <v/>
      </c>
      <c r="L372" s="47" t="n">
        <v/>
      </c>
      <c r="M372" s="47" t="n">
        <v/>
      </c>
      <c r="N372" s="47" t="n">
        <v/>
      </c>
      <c r="O372" s="47" t="n">
        <v/>
      </c>
      <c r="P372" s="88" t="n"/>
    </row>
    <row r="373" customFormat="1" s="2">
      <c r="A373" s="6" t="n"/>
      <c r="B373" s="4" t="n"/>
      <c r="C373" s="4" t="inlineStr">
        <is>
          <t>Nahani Traps</t>
        </is>
      </c>
      <c r="D373" s="7" t="inlineStr">
        <is>
          <t>Nos</t>
        </is>
      </c>
      <c r="E373" s="17" t="n"/>
      <c r="F373" s="20" t="n">
        <v>2</v>
      </c>
      <c r="G373" s="47" t="n"/>
      <c r="H373" s="47" t="n"/>
      <c r="I373" s="47" t="n"/>
      <c r="J373" s="47">
        <f>PRODUCT(E373:I373)</f>
        <v/>
      </c>
      <c r="K373" s="20" t="n">
        <v>2</v>
      </c>
      <c r="L373" s="47" t="n">
        <v/>
      </c>
      <c r="M373" s="47" t="n">
        <v/>
      </c>
      <c r="N373" s="47" t="n">
        <v/>
      </c>
      <c r="O373" s="47" t="n">
        <v/>
      </c>
      <c r="P373" s="88" t="n"/>
    </row>
    <row r="374" customFormat="1" s="2">
      <c r="A374" s="6" t="n"/>
      <c r="B374" s="4" t="n"/>
      <c r="C374" s="14" t="inlineStr">
        <is>
          <t>Ladies Toilet</t>
        </is>
      </c>
      <c r="D374" s="7" t="n"/>
      <c r="E374" s="17" t="n"/>
      <c r="F374" s="20" t="n"/>
      <c r="G374" s="47" t="n"/>
      <c r="H374" s="47" t="n"/>
      <c r="I374" s="47" t="n"/>
      <c r="J374" s="47" t="n"/>
      <c r="K374" s="20" t="n">
        <v/>
      </c>
      <c r="L374" s="47" t="n">
        <v/>
      </c>
      <c r="M374" s="47" t="n">
        <v/>
      </c>
      <c r="N374" s="47" t="n">
        <v/>
      </c>
      <c r="O374" s="47" t="n">
        <v/>
      </c>
      <c r="P374" s="88" t="n"/>
    </row>
    <row r="375" customFormat="1" s="2">
      <c r="A375" s="6" t="n"/>
      <c r="B375" s="4" t="n"/>
      <c r="C375" s="4" t="inlineStr">
        <is>
          <t>Nahani Traps</t>
        </is>
      </c>
      <c r="D375" s="7" t="inlineStr">
        <is>
          <t>Nos</t>
        </is>
      </c>
      <c r="E375" s="17" t="n"/>
      <c r="F375" s="20" t="n">
        <v>1</v>
      </c>
      <c r="G375" s="47" t="n"/>
      <c r="H375" s="47" t="n"/>
      <c r="I375" s="47" t="n"/>
      <c r="J375" s="47">
        <f>PRODUCT(E375:I375)</f>
        <v/>
      </c>
      <c r="K375" s="20" t="n">
        <v>1</v>
      </c>
      <c r="L375" s="47" t="n">
        <v/>
      </c>
      <c r="M375" s="47" t="n">
        <v/>
      </c>
      <c r="N375" s="47" t="n">
        <v/>
      </c>
      <c r="O375" s="47" t="n">
        <v/>
      </c>
      <c r="P375" s="88" t="n"/>
    </row>
    <row r="376" customFormat="1" s="2">
      <c r="A376" s="6" t="n"/>
      <c r="B376" s="4" t="n"/>
      <c r="C376" s="14" t="inlineStr">
        <is>
          <t>Pantry Area</t>
        </is>
      </c>
      <c r="D376" s="7" t="n"/>
      <c r="E376" s="17" t="n"/>
      <c r="F376" s="20" t="n"/>
      <c r="G376" s="47" t="n"/>
      <c r="H376" s="47" t="n"/>
      <c r="I376" s="47" t="n"/>
      <c r="J376" s="47" t="n"/>
      <c r="K376" s="20" t="n">
        <v/>
      </c>
      <c r="L376" s="47" t="n">
        <v/>
      </c>
      <c r="M376" s="47" t="n">
        <v/>
      </c>
      <c r="N376" s="47" t="n">
        <v/>
      </c>
      <c r="O376" s="47" t="n">
        <v/>
      </c>
      <c r="P376" s="88" t="n"/>
    </row>
    <row r="377" customFormat="1" s="2">
      <c r="A377" s="6" t="n"/>
      <c r="B377" s="4" t="n"/>
      <c r="C377" s="4" t="inlineStr">
        <is>
          <t>Nahani Traps</t>
        </is>
      </c>
      <c r="D377" s="7" t="inlineStr">
        <is>
          <t>Nos</t>
        </is>
      </c>
      <c r="E377" s="17" t="n"/>
      <c r="F377" s="20" t="n"/>
      <c r="G377" s="47" t="n"/>
      <c r="H377" s="47" t="n"/>
      <c r="I377" s="47" t="n"/>
      <c r="J377" s="47">
        <f>PRODUCT(E377:I377)</f>
        <v/>
      </c>
      <c r="K377" s="20" t="n">
        <v/>
      </c>
      <c r="L377" s="47" t="n">
        <v/>
      </c>
      <c r="M377" s="47" t="n">
        <v/>
      </c>
      <c r="N377" s="47" t="n">
        <v/>
      </c>
      <c r="O377" s="47" t="n">
        <v/>
      </c>
      <c r="P377" s="88" t="n"/>
    </row>
    <row r="378" customFormat="1" s="2">
      <c r="A378" s="6" t="n"/>
      <c r="B378" s="4" t="n"/>
      <c r="C378" s="4" t="n"/>
      <c r="D378" s="7" t="n"/>
      <c r="E378" s="17" t="n"/>
      <c r="F378" s="20" t="n"/>
      <c r="G378" s="47" t="n"/>
      <c r="H378" s="47" t="n"/>
      <c r="I378" s="47" t="n"/>
      <c r="J378" s="47">
        <f>PRODUCT(E378:I378)</f>
        <v/>
      </c>
      <c r="K378" s="20" t="n">
        <v/>
      </c>
      <c r="L378" s="47" t="n">
        <v/>
      </c>
      <c r="M378" s="47" t="n">
        <v/>
      </c>
      <c r="N378" s="47" t="n">
        <v/>
      </c>
      <c r="O378" s="47" t="n">
        <v/>
      </c>
      <c r="P378" s="88" t="n"/>
    </row>
    <row r="379" customFormat="1" s="2">
      <c r="A379" s="112" t="n"/>
      <c r="B379" s="112" t="n"/>
      <c r="C379" s="112" t="inlineStr">
        <is>
          <t>Total Qty</t>
        </is>
      </c>
      <c r="D379" s="120" t="n"/>
      <c r="E379" s="121" t="n"/>
      <c r="F379" s="123" t="n"/>
      <c r="G379" s="123" t="n"/>
      <c r="H379" s="123" t="n"/>
      <c r="I379" s="123" t="n"/>
      <c r="J379" s="123">
        <f>SUM(J372:J378)</f>
        <v/>
      </c>
      <c r="K379" s="123" t="n">
        <v/>
      </c>
      <c r="L379" s="123" t="n">
        <v/>
      </c>
      <c r="M379" s="123" t="n">
        <v/>
      </c>
      <c r="N379" s="123" t="n">
        <v/>
      </c>
      <c r="O379" s="123" t="n">
        <v/>
      </c>
      <c r="P379" s="88" t="n"/>
    </row>
    <row r="380" customFormat="1" s="2">
      <c r="A380" s="6" t="n"/>
      <c r="B380" s="4" t="n"/>
      <c r="C380" s="4" t="n"/>
      <c r="D380" s="7" t="n"/>
      <c r="E380" s="17" t="n"/>
      <c r="F380" s="20" t="n"/>
      <c r="G380" s="47" t="n"/>
      <c r="H380" s="47" t="n"/>
      <c r="I380" s="47" t="n"/>
      <c r="J380" s="47" t="n"/>
      <c r="K380" s="20" t="n">
        <v/>
      </c>
      <c r="L380" s="47" t="n">
        <v/>
      </c>
      <c r="M380" s="47" t="n">
        <v/>
      </c>
      <c r="N380" s="47" t="n">
        <v/>
      </c>
      <c r="O380" s="47" t="n">
        <v/>
      </c>
      <c r="P380" s="88" t="n"/>
    </row>
    <row r="381" ht="41.4" customFormat="1" customHeight="1" s="2">
      <c r="A381" s="6">
        <f>A371+1</f>
        <v/>
      </c>
      <c r="B381" s="4" t="inlineStr">
        <is>
          <t>Robe Hooks</t>
        </is>
      </c>
      <c r="C381" s="4" t="inlineStr">
        <is>
          <t>Supply &amp;fixing of SS finish Double Coat Hooks manufactured by Jaquar or as approved by bank or CPC team</t>
        </is>
      </c>
      <c r="D381" s="5" t="inlineStr">
        <is>
          <t>Nos</t>
        </is>
      </c>
      <c r="E381" s="16" t="n">
        <v>2</v>
      </c>
      <c r="F381" s="20" t="n"/>
      <c r="G381" s="47" t="n"/>
      <c r="H381" s="47" t="n"/>
      <c r="I381" s="47" t="n"/>
      <c r="J381" s="47" t="n"/>
      <c r="K381" s="20" t="n">
        <v/>
      </c>
      <c r="L381" s="47" t="n">
        <v/>
      </c>
      <c r="M381" s="47" t="n">
        <v/>
      </c>
      <c r="N381" s="47" t="n">
        <v/>
      </c>
      <c r="O381" s="47" t="n">
        <v/>
      </c>
      <c r="P381" s="88" t="n"/>
    </row>
    <row r="382" customFormat="1" s="2">
      <c r="A382" s="6" t="n"/>
      <c r="B382" s="4" t="n"/>
      <c r="C382" s="14" t="inlineStr">
        <is>
          <t>Ladies Toilet</t>
        </is>
      </c>
      <c r="D382" s="7" t="n"/>
      <c r="E382" s="17" t="n"/>
      <c r="F382" s="20" t="n"/>
      <c r="G382" s="47" t="n"/>
      <c r="H382" s="47" t="n"/>
      <c r="I382" s="47" t="n"/>
      <c r="J382" s="47" t="n"/>
      <c r="K382" s="20" t="n">
        <v/>
      </c>
      <c r="L382" s="47" t="n">
        <v/>
      </c>
      <c r="M382" s="47" t="n">
        <v/>
      </c>
      <c r="N382" s="47" t="n">
        <v/>
      </c>
      <c r="O382" s="47" t="n">
        <v/>
      </c>
      <c r="P382" s="88" t="n"/>
    </row>
    <row r="383" customFormat="1" s="2">
      <c r="A383" s="6" t="n"/>
      <c r="B383" s="4" t="n"/>
      <c r="C383" s="4" t="inlineStr">
        <is>
          <t>Robe Hooks</t>
        </is>
      </c>
      <c r="D383" s="7" t="inlineStr">
        <is>
          <t>Nos</t>
        </is>
      </c>
      <c r="E383" s="17" t="n"/>
      <c r="F383" s="35" t="n">
        <v>2</v>
      </c>
      <c r="G383" s="47" t="n"/>
      <c r="H383" s="47" t="n"/>
      <c r="I383" s="47" t="n"/>
      <c r="J383" s="47">
        <f>PRODUCT(E383:I383)</f>
        <v/>
      </c>
      <c r="K383" s="35" t="n">
        <v>2</v>
      </c>
      <c r="L383" s="47" t="n">
        <v/>
      </c>
      <c r="M383" s="47" t="n">
        <v/>
      </c>
      <c r="N383" s="47" t="n">
        <v/>
      </c>
      <c r="O383" s="47" t="n">
        <v/>
      </c>
      <c r="P383" s="88" t="n"/>
    </row>
    <row r="384" customFormat="1" s="2">
      <c r="A384" s="6" t="n"/>
      <c r="B384" s="4" t="n"/>
      <c r="C384" s="4" t="n"/>
      <c r="D384" s="7" t="n"/>
      <c r="E384" s="17" t="n"/>
      <c r="F384" s="20" t="n"/>
      <c r="G384" s="47" t="n"/>
      <c r="H384" s="47" t="n"/>
      <c r="I384" s="47" t="n"/>
      <c r="J384" s="47">
        <f>PRODUCT(E384:I384)</f>
        <v/>
      </c>
      <c r="K384" s="20" t="n">
        <v/>
      </c>
      <c r="L384" s="47" t="n">
        <v/>
      </c>
      <c r="M384" s="47" t="n">
        <v/>
      </c>
      <c r="N384" s="47" t="n">
        <v/>
      </c>
      <c r="O384" s="47" t="n">
        <v/>
      </c>
      <c r="P384" s="88" t="n"/>
    </row>
    <row r="385" customFormat="1" s="2">
      <c r="A385" s="112" t="n"/>
      <c r="B385" s="112" t="n"/>
      <c r="C385" s="112" t="inlineStr">
        <is>
          <t>Total Qty</t>
        </is>
      </c>
      <c r="D385" s="120" t="n"/>
      <c r="E385" s="121" t="n"/>
      <c r="F385" s="123" t="n"/>
      <c r="G385" s="123" t="n"/>
      <c r="H385" s="123" t="n"/>
      <c r="I385" s="123" t="n"/>
      <c r="J385" s="123">
        <f>SUM(J382:J384)</f>
        <v/>
      </c>
      <c r="K385" s="123" t="n">
        <v/>
      </c>
      <c r="L385" s="123" t="n">
        <v/>
      </c>
      <c r="M385" s="123" t="n">
        <v/>
      </c>
      <c r="N385" s="123" t="n">
        <v/>
      </c>
      <c r="O385" s="123" t="n">
        <v/>
      </c>
      <c r="P385" s="88" t="n"/>
    </row>
    <row r="386">
      <c r="A386" s="117" t="n"/>
      <c r="B386" s="117" t="n"/>
      <c r="C386" s="117" t="n"/>
      <c r="D386" s="117" t="n"/>
      <c r="E386" s="118" t="n"/>
      <c r="F386" s="119" t="n"/>
      <c r="G386" s="119" t="n"/>
      <c r="H386" s="119" t="n"/>
      <c r="I386" s="119" t="n"/>
      <c r="J386" s="119" t="n"/>
      <c r="K386" s="119" t="n">
        <v/>
      </c>
      <c r="L386" s="119" t="n">
        <v/>
      </c>
      <c r="M386" s="119" t="n">
        <v/>
      </c>
      <c r="N386" s="119" t="n">
        <v/>
      </c>
      <c r="O386" s="119" t="n">
        <v/>
      </c>
      <c r="P386" s="117" t="n"/>
    </row>
    <row r="387" ht="179.4" customFormat="1" customHeight="1" s="2">
      <c r="A387" s="6">
        <f>A381+1</f>
        <v/>
      </c>
      <c r="B387" s="4" t="inlineStr">
        <is>
          <t>Over Head Storage</t>
        </is>
      </c>
      <c r="C387"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D387" s="7" t="inlineStr">
        <is>
          <t>sft</t>
        </is>
      </c>
      <c r="E387" s="17" t="n">
        <v>14</v>
      </c>
      <c r="F387" s="20" t="n"/>
      <c r="G387" s="47" t="n"/>
      <c r="H387" s="47" t="n"/>
      <c r="I387" s="47" t="n"/>
      <c r="J387" s="47" t="n"/>
      <c r="K387" s="20" t="n">
        <v/>
      </c>
      <c r="L387" s="47" t="n">
        <v/>
      </c>
      <c r="M387" s="47" t="n">
        <v/>
      </c>
      <c r="N387" s="47" t="n">
        <v/>
      </c>
      <c r="O387" s="47" t="n">
        <v/>
      </c>
      <c r="P387" s="88" t="n"/>
    </row>
    <row r="388" customFormat="1" s="2">
      <c r="A388" s="6" t="n"/>
      <c r="B388" s="4" t="n"/>
      <c r="C388" s="14" t="inlineStr">
        <is>
          <t>Pantry Area</t>
        </is>
      </c>
      <c r="D388" s="7" t="n"/>
      <c r="E388" s="17" t="n"/>
      <c r="F388" s="20" t="n"/>
      <c r="G388" s="47" t="n"/>
      <c r="H388" s="47" t="n"/>
      <c r="I388" s="47" t="n"/>
      <c r="J388" s="47">
        <f>PRODUCT(E388:I388)</f>
        <v/>
      </c>
      <c r="K388" s="20" t="n">
        <v/>
      </c>
      <c r="L388" s="47" t="n">
        <v/>
      </c>
      <c r="M388" s="47" t="n">
        <v/>
      </c>
      <c r="N388" s="47" t="n">
        <v/>
      </c>
      <c r="O388" s="47" t="n">
        <v/>
      </c>
      <c r="P388" s="88" t="n"/>
    </row>
    <row r="389" customFormat="1" s="2">
      <c r="A389" s="6" t="n"/>
      <c r="B389" s="4" t="n"/>
      <c r="C389" s="4" t="inlineStr">
        <is>
          <t>Above Counter</t>
        </is>
      </c>
      <c r="D389" s="7" t="inlineStr">
        <is>
          <t>Sq.ft</t>
        </is>
      </c>
      <c r="E389" s="17" t="n"/>
      <c r="F389" s="20" t="n">
        <v>1</v>
      </c>
      <c r="G389" s="47" t="n">
        <v>5.25</v>
      </c>
      <c r="H389" s="47" t="n"/>
      <c r="I389" s="47" t="n">
        <v>2.5</v>
      </c>
      <c r="J389" s="47">
        <f>PRODUCT(E389:I389)</f>
        <v/>
      </c>
      <c r="K389" s="20" t="n">
        <v>1</v>
      </c>
      <c r="L389" s="47" t="n">
        <v/>
      </c>
      <c r="M389" s="47" t="n">
        <v/>
      </c>
      <c r="N389" s="47" t="n">
        <v/>
      </c>
      <c r="O389" s="47" t="n">
        <v/>
      </c>
      <c r="P389" s="88" t="n"/>
    </row>
    <row r="390" customFormat="1" s="2">
      <c r="A390" s="6" t="n"/>
      <c r="B390" s="4" t="n"/>
      <c r="C390" s="14" t="inlineStr">
        <is>
          <t>Back Office Area</t>
        </is>
      </c>
      <c r="D390" s="7" t="n"/>
      <c r="E390" s="17" t="n"/>
      <c r="F390" s="20" t="n"/>
      <c r="G390" s="47" t="n"/>
      <c r="H390" s="47" t="n"/>
      <c r="I390" s="47" t="n"/>
      <c r="J390" s="47" t="n"/>
      <c r="K390" s="20" t="n">
        <v/>
      </c>
      <c r="L390" s="47" t="n">
        <v/>
      </c>
      <c r="M390" s="47" t="n">
        <v/>
      </c>
      <c r="N390" s="47" t="n">
        <v/>
      </c>
      <c r="O390" s="47" t="n">
        <v/>
      </c>
      <c r="P390" s="88" t="n"/>
    </row>
    <row r="391" customFormat="1" s="2">
      <c r="A391" s="6" t="n"/>
      <c r="B391" s="4" t="n"/>
      <c r="C391" s="4" t="inlineStr">
        <is>
          <t>Aove Table</t>
        </is>
      </c>
      <c r="D391" s="7" t="inlineStr">
        <is>
          <t>Sq.ft</t>
        </is>
      </c>
      <c r="E391" s="17" t="n"/>
      <c r="F391" s="20" t="n">
        <v>1</v>
      </c>
      <c r="G391" s="47" t="n">
        <v>13.73</v>
      </c>
      <c r="H391" s="47" t="n"/>
      <c r="I391" s="47" t="n">
        <v>2.5</v>
      </c>
      <c r="J391" s="47">
        <f>PRODUCT(E391:I391)</f>
        <v/>
      </c>
      <c r="K391" s="20" t="n">
        <v>1</v>
      </c>
      <c r="L391" s="47" t="n">
        <v/>
      </c>
      <c r="M391" s="47" t="n">
        <v/>
      </c>
      <c r="N391" s="47" t="n">
        <v/>
      </c>
      <c r="O391" s="47" t="n">
        <v/>
      </c>
      <c r="P391" s="88" t="n"/>
    </row>
    <row r="392" customFormat="1" s="2">
      <c r="A392" s="6" t="n"/>
      <c r="B392" s="4" t="n"/>
      <c r="C392" s="4" t="n"/>
      <c r="D392" s="7" t="n"/>
      <c r="E392" s="17" t="n"/>
      <c r="F392" s="20" t="n"/>
      <c r="G392" s="47" t="n"/>
      <c r="H392" s="47" t="n"/>
      <c r="I392" s="47" t="n"/>
      <c r="J392" s="47">
        <f>PRODUCT(E392:I392)</f>
        <v/>
      </c>
      <c r="K392" s="20" t="n">
        <v/>
      </c>
      <c r="L392" s="47" t="n">
        <v/>
      </c>
      <c r="M392" s="47" t="n">
        <v/>
      </c>
      <c r="N392" s="47" t="n">
        <v/>
      </c>
      <c r="O392" s="47" t="n">
        <v/>
      </c>
      <c r="P392" s="88" t="n"/>
    </row>
    <row r="393" customFormat="1" s="2">
      <c r="A393" s="112" t="n"/>
      <c r="B393" s="112" t="n"/>
      <c r="C393" s="112" t="inlineStr">
        <is>
          <t>Total Qty</t>
        </is>
      </c>
      <c r="D393" s="120" t="n"/>
      <c r="E393" s="121" t="n"/>
      <c r="F393" s="123" t="n"/>
      <c r="G393" s="123" t="n"/>
      <c r="H393" s="123" t="n"/>
      <c r="I393" s="123" t="n"/>
      <c r="J393" s="123">
        <f>ROUND(SUM(J388:J392),0)</f>
        <v/>
      </c>
      <c r="K393" s="123" t="n">
        <v/>
      </c>
      <c r="L393" s="123" t="n">
        <v/>
      </c>
      <c r="M393" s="123" t="n">
        <v/>
      </c>
      <c r="N393" s="123" t="n">
        <v/>
      </c>
      <c r="O393" s="123" t="n">
        <v/>
      </c>
      <c r="P393" s="88" t="n"/>
    </row>
    <row r="394" customFormat="1" s="2">
      <c r="A394" s="6" t="n"/>
      <c r="B394" s="4" t="n"/>
      <c r="C394" s="4" t="n"/>
      <c r="D394" s="7" t="n"/>
      <c r="E394" s="17" t="n"/>
      <c r="F394" s="20" t="n"/>
      <c r="G394" s="47" t="n"/>
      <c r="H394" s="47" t="n"/>
      <c r="I394" s="47" t="n"/>
      <c r="J394" s="47" t="n"/>
      <c r="K394" s="20" t="n">
        <v/>
      </c>
      <c r="L394" s="47" t="n">
        <v/>
      </c>
      <c r="M394" s="47" t="n">
        <v/>
      </c>
      <c r="N394" s="47" t="n">
        <v/>
      </c>
      <c r="O394" s="47" t="n">
        <v/>
      </c>
      <c r="P394" s="88" t="n"/>
    </row>
    <row r="395" ht="69" customFormat="1" customHeight="1" s="2">
      <c r="A395" s="6">
        <f>A387+1</f>
        <v/>
      </c>
      <c r="B395" s="4" t="inlineStr">
        <is>
          <t>Mirror</t>
        </is>
      </c>
      <c r="C395" s="4" t="inlineStr">
        <is>
          <t>Supply and fixing Mirrors of Saint Gobain or Asahi make 5.0mm thick with plastic film backing, backing to have 12 mm shuttering plywood [marine grade], with 25 x 10mm wooden beading of all four sides with french polish.</t>
        </is>
      </c>
      <c r="D395" s="5" t="inlineStr">
        <is>
          <t>Sft</t>
        </is>
      </c>
      <c r="E395" s="16" t="n">
        <v>27</v>
      </c>
      <c r="F395" s="20" t="n"/>
      <c r="G395" s="47" t="n"/>
      <c r="H395" s="47" t="n"/>
      <c r="I395" s="47" t="n"/>
      <c r="J395" s="47" t="n"/>
      <c r="K395" s="20" t="n">
        <v/>
      </c>
      <c r="L395" s="47" t="n">
        <v/>
      </c>
      <c r="M395" s="47" t="n">
        <v/>
      </c>
      <c r="N395" s="47" t="n">
        <v/>
      </c>
      <c r="O395" s="47" t="n">
        <v/>
      </c>
      <c r="P395" s="88" t="n"/>
    </row>
    <row r="396" customFormat="1" s="2">
      <c r="A396" s="6" t="n"/>
      <c r="B396" s="4" t="n"/>
      <c r="C396" s="14" t="inlineStr">
        <is>
          <t>Gents Toilet</t>
        </is>
      </c>
      <c r="D396" s="7" t="n"/>
      <c r="E396" s="17" t="n"/>
      <c r="F396" s="20" t="n"/>
      <c r="G396" s="47" t="n"/>
      <c r="H396" s="47" t="n"/>
      <c r="I396" s="47" t="n"/>
      <c r="J396" s="47">
        <f>PRODUCT(E396:I396)</f>
        <v/>
      </c>
      <c r="K396" s="20" t="n">
        <v/>
      </c>
      <c r="L396" s="47" t="n">
        <v/>
      </c>
      <c r="M396" s="47" t="n">
        <v/>
      </c>
      <c r="N396" s="47" t="n">
        <v/>
      </c>
      <c r="O396" s="47" t="n">
        <v/>
      </c>
      <c r="P396" s="88" t="n"/>
    </row>
    <row r="397" customFormat="1" s="2">
      <c r="A397" s="6" t="n"/>
      <c r="B397" s="4" t="n"/>
      <c r="C397" s="4" t="inlineStr">
        <is>
          <t>Mirror</t>
        </is>
      </c>
      <c r="D397" s="7" t="inlineStr">
        <is>
          <t>Sq.ft</t>
        </is>
      </c>
      <c r="E397" s="17" t="n"/>
      <c r="F397" s="20" t="n">
        <v>1</v>
      </c>
      <c r="G397" s="47" t="n">
        <v>2</v>
      </c>
      <c r="H397" s="47" t="n"/>
      <c r="I397" s="47" t="n">
        <v>2.58</v>
      </c>
      <c r="J397" s="47">
        <f>PRODUCT(E397:I397)</f>
        <v/>
      </c>
      <c r="K397" s="20" t="n">
        <v>1</v>
      </c>
      <c r="L397" s="47" t="n">
        <v/>
      </c>
      <c r="M397" s="47" t="n">
        <v/>
      </c>
      <c r="N397" s="47" t="n">
        <v/>
      </c>
      <c r="O397" s="47" t="n">
        <v/>
      </c>
      <c r="P397" s="88" t="n"/>
    </row>
    <row r="398" customFormat="1" s="2">
      <c r="A398" s="6" t="n"/>
      <c r="B398" s="4" t="n"/>
      <c r="C398" s="14" t="inlineStr">
        <is>
          <t>Ladies Toilet</t>
        </is>
      </c>
      <c r="D398" s="7" t="n"/>
      <c r="E398" s="17" t="n"/>
      <c r="F398" s="20" t="n"/>
      <c r="G398" s="47" t="n"/>
      <c r="H398" s="47" t="n"/>
      <c r="I398" s="47" t="n"/>
      <c r="J398" s="47" t="n"/>
      <c r="K398" s="20" t="n">
        <v/>
      </c>
      <c r="L398" s="47" t="n">
        <v/>
      </c>
      <c r="M398" s="47" t="n">
        <v/>
      </c>
      <c r="N398" s="47" t="n">
        <v/>
      </c>
      <c r="O398" s="47" t="n">
        <v/>
      </c>
      <c r="P398" s="88" t="n"/>
    </row>
    <row r="399" customFormat="1" s="2">
      <c r="A399" s="6" t="n"/>
      <c r="B399" s="4" t="n"/>
      <c r="C399" s="4" t="inlineStr">
        <is>
          <t>Mirror</t>
        </is>
      </c>
      <c r="D399" s="7" t="inlineStr">
        <is>
          <t>Sq.ft</t>
        </is>
      </c>
      <c r="E399" s="17" t="n"/>
      <c r="F399" s="20" t="n">
        <v>1</v>
      </c>
      <c r="G399" s="47" t="n">
        <v>2</v>
      </c>
      <c r="H399" s="47" t="n"/>
      <c r="I399" s="47" t="n">
        <v>2.58</v>
      </c>
      <c r="J399" s="47">
        <f>PRODUCT(E399:I399)</f>
        <v/>
      </c>
      <c r="K399" s="20" t="n">
        <v>1</v>
      </c>
      <c r="L399" s="47" t="n">
        <v/>
      </c>
      <c r="M399" s="47" t="n">
        <v/>
      </c>
      <c r="N399" s="47" t="n">
        <v/>
      </c>
      <c r="O399" s="47" t="n">
        <v/>
      </c>
      <c r="P399" s="88" t="n"/>
    </row>
    <row r="400" customFormat="1" s="2">
      <c r="A400" s="6" t="n"/>
      <c r="B400" s="4" t="n"/>
      <c r="C400" s="14" t="inlineStr">
        <is>
          <t>Strong Room</t>
        </is>
      </c>
      <c r="D400" s="7" t="n"/>
      <c r="E400" s="17" t="n"/>
      <c r="F400" s="20" t="n"/>
      <c r="G400" s="47" t="n"/>
      <c r="H400" s="47" t="n"/>
      <c r="I400" s="47" t="n"/>
      <c r="J400" s="47" t="n"/>
      <c r="K400" s="20" t="n">
        <v/>
      </c>
      <c r="L400" s="47" t="n">
        <v/>
      </c>
      <c r="M400" s="47" t="n">
        <v/>
      </c>
      <c r="N400" s="47" t="n">
        <v/>
      </c>
      <c r="O400" s="47" t="n">
        <v/>
      </c>
      <c r="P400" s="88" t="n"/>
    </row>
    <row r="401" customFormat="1" s="2">
      <c r="A401" s="6" t="n"/>
      <c r="B401" s="4" t="n"/>
      <c r="C401" s="4" t="inlineStr">
        <is>
          <t>Mirror</t>
        </is>
      </c>
      <c r="D401" s="7" t="inlineStr">
        <is>
          <t>Sq.ft</t>
        </is>
      </c>
      <c r="E401" s="17" t="n"/>
      <c r="F401" s="20" t="n">
        <v>1</v>
      </c>
      <c r="G401" s="47" t="n">
        <v>2.08</v>
      </c>
      <c r="H401" s="47" t="n"/>
      <c r="I401" s="47" t="n">
        <v>4.08</v>
      </c>
      <c r="J401" s="47">
        <f>PRODUCT(E401:I401)</f>
        <v/>
      </c>
      <c r="K401" s="20" t="n">
        <v>1</v>
      </c>
      <c r="L401" s="47" t="n">
        <v/>
      </c>
      <c r="M401" s="47" t="n">
        <v/>
      </c>
      <c r="N401" s="47" t="n">
        <v/>
      </c>
      <c r="O401" s="47" t="n">
        <v/>
      </c>
      <c r="P401" s="88" t="n"/>
    </row>
    <row r="402" customFormat="1" s="2">
      <c r="A402" s="6" t="n"/>
      <c r="B402" s="4" t="n"/>
      <c r="C402" s="4" t="n"/>
      <c r="D402" s="7" t="n"/>
      <c r="E402" s="17" t="n"/>
      <c r="F402" s="20" t="n"/>
      <c r="G402" s="47" t="n"/>
      <c r="H402" s="47" t="n"/>
      <c r="I402" s="47" t="n"/>
      <c r="J402" s="47">
        <f>PRODUCT(E402:I402)</f>
        <v/>
      </c>
      <c r="K402" s="20" t="n">
        <v/>
      </c>
      <c r="L402" s="47" t="n">
        <v/>
      </c>
      <c r="M402" s="47" t="n">
        <v/>
      </c>
      <c r="N402" s="47" t="n">
        <v/>
      </c>
      <c r="O402" s="47" t="n">
        <v/>
      </c>
      <c r="P402" s="88" t="n"/>
    </row>
    <row r="403" customFormat="1" s="2">
      <c r="A403" s="112" t="n"/>
      <c r="B403" s="112" t="n"/>
      <c r="C403" s="112" t="inlineStr">
        <is>
          <t>Total Qty</t>
        </is>
      </c>
      <c r="D403" s="120" t="n"/>
      <c r="E403" s="121" t="n"/>
      <c r="F403" s="123" t="n"/>
      <c r="G403" s="123" t="n"/>
      <c r="H403" s="123" t="n"/>
      <c r="I403" s="123" t="n"/>
      <c r="J403" s="123">
        <f>ROUND(SUM(J396:J402),)</f>
        <v/>
      </c>
      <c r="K403" s="123" t="n">
        <v/>
      </c>
      <c r="L403" s="123" t="n">
        <v/>
      </c>
      <c r="M403" s="123" t="n">
        <v/>
      </c>
      <c r="N403" s="123" t="n">
        <v/>
      </c>
      <c r="O403" s="123" t="n">
        <v/>
      </c>
      <c r="P403" s="88" t="n"/>
    </row>
    <row r="404" customFormat="1" s="2">
      <c r="A404" s="6" t="n"/>
      <c r="B404" s="4" t="n"/>
      <c r="C404" s="4" t="n"/>
      <c r="D404" s="7" t="n"/>
      <c r="E404" s="17" t="n"/>
      <c r="F404" s="20" t="n"/>
      <c r="G404" s="47" t="n"/>
      <c r="H404" s="47" t="n"/>
      <c r="I404" s="47" t="n"/>
      <c r="J404" s="47" t="n"/>
      <c r="K404" s="20" t="n">
        <v/>
      </c>
      <c r="L404" s="47" t="n">
        <v/>
      </c>
      <c r="M404" s="47" t="n">
        <v/>
      </c>
      <c r="N404" s="47" t="n">
        <v/>
      </c>
      <c r="O404" s="47" t="n">
        <v/>
      </c>
      <c r="P404" s="88" t="n"/>
    </row>
    <row r="405" ht="55.2" customFormat="1" customHeight="1" s="2">
      <c r="A405" s="6">
        <f>A395+1</f>
        <v/>
      </c>
      <c r="B405" s="4" t="inlineStr">
        <is>
          <t>Health Faucet</t>
        </is>
      </c>
      <c r="C405" s="4" t="inlineStr">
        <is>
          <t>Supply &amp;fixing of Jaguar make [model no. ALD- CHR-565] Health Faucet in all WC cubicles complete with all accessories such as flexible hose, wall hook, Jaguar make etc. All of CP finish. Separate rate for angle cock.</t>
        </is>
      </c>
      <c r="D405" s="5" t="inlineStr">
        <is>
          <t>Nos</t>
        </is>
      </c>
      <c r="E405" s="16" t="n">
        <v>2</v>
      </c>
      <c r="F405" s="20" t="n"/>
      <c r="G405" s="47" t="n"/>
      <c r="H405" s="47" t="n"/>
      <c r="I405" s="47" t="n"/>
      <c r="J405" s="47" t="n"/>
      <c r="K405" s="20" t="n">
        <v/>
      </c>
      <c r="L405" s="47" t="n">
        <v/>
      </c>
      <c r="M405" s="47" t="n">
        <v/>
      </c>
      <c r="N405" s="47" t="n">
        <v/>
      </c>
      <c r="O405" s="47" t="n">
        <v/>
      </c>
      <c r="P405" s="88" t="n"/>
    </row>
    <row r="406" customFormat="1" s="2">
      <c r="A406" s="6" t="n"/>
      <c r="B406" s="4" t="n"/>
      <c r="C406" s="14" t="inlineStr">
        <is>
          <t>Gents Toilet</t>
        </is>
      </c>
      <c r="D406" s="7" t="n"/>
      <c r="E406" s="17" t="n"/>
      <c r="F406" s="20" t="n"/>
      <c r="G406" s="47" t="n"/>
      <c r="H406" s="47" t="n"/>
      <c r="I406" s="47" t="n"/>
      <c r="J406" s="47">
        <f>PRODUCT(E406:I406)</f>
        <v/>
      </c>
      <c r="K406" s="20" t="n">
        <v/>
      </c>
      <c r="L406" s="47" t="n">
        <v/>
      </c>
      <c r="M406" s="47" t="n">
        <v/>
      </c>
      <c r="N406" s="47" t="n">
        <v/>
      </c>
      <c r="O406" s="47" t="n">
        <v/>
      </c>
      <c r="P406" s="88" t="n"/>
    </row>
    <row r="407" customFormat="1" s="2">
      <c r="A407" s="6" t="n"/>
      <c r="B407" s="4" t="n"/>
      <c r="C407" s="4" t="inlineStr">
        <is>
          <t>Health Faucet</t>
        </is>
      </c>
      <c r="D407" s="7" t="inlineStr">
        <is>
          <t>Nos</t>
        </is>
      </c>
      <c r="E407" s="17" t="n"/>
      <c r="F407" s="20" t="n">
        <v>1</v>
      </c>
      <c r="G407" s="47" t="n"/>
      <c r="H407" s="47" t="n"/>
      <c r="I407" s="47" t="n"/>
      <c r="J407" s="47">
        <f>PRODUCT(E407:I407)</f>
        <v/>
      </c>
      <c r="K407" s="20" t="n">
        <v>1</v>
      </c>
      <c r="L407" s="47" t="n">
        <v/>
      </c>
      <c r="M407" s="47" t="n">
        <v/>
      </c>
      <c r="N407" s="47" t="n">
        <v/>
      </c>
      <c r="O407" s="47" t="n">
        <v/>
      </c>
      <c r="P407" s="88" t="n"/>
    </row>
    <row r="408" customFormat="1" s="2">
      <c r="A408" s="6" t="n"/>
      <c r="B408" s="4" t="n"/>
      <c r="C408" s="14" t="inlineStr">
        <is>
          <t>Ladies Toilet</t>
        </is>
      </c>
      <c r="D408" s="7" t="n"/>
      <c r="E408" s="17" t="n"/>
      <c r="F408" s="20" t="n"/>
      <c r="G408" s="47" t="n"/>
      <c r="H408" s="47" t="n"/>
      <c r="I408" s="47" t="n"/>
      <c r="J408" s="47" t="n"/>
      <c r="K408" s="20" t="n">
        <v/>
      </c>
      <c r="L408" s="47" t="n">
        <v/>
      </c>
      <c r="M408" s="47" t="n">
        <v/>
      </c>
      <c r="N408" s="47" t="n">
        <v/>
      </c>
      <c r="O408" s="47" t="n">
        <v/>
      </c>
      <c r="P408" s="88" t="n"/>
    </row>
    <row r="409" customFormat="1" s="2">
      <c r="A409" s="6" t="n"/>
      <c r="B409" s="4" t="n"/>
      <c r="C409" s="4" t="inlineStr">
        <is>
          <t>Health Faucet</t>
        </is>
      </c>
      <c r="D409" s="7" t="inlineStr">
        <is>
          <t>Nos</t>
        </is>
      </c>
      <c r="E409" s="17" t="n"/>
      <c r="F409" s="20" t="n">
        <v>1</v>
      </c>
      <c r="G409" s="47" t="n"/>
      <c r="H409" s="47" t="n"/>
      <c r="I409" s="47" t="n"/>
      <c r="J409" s="47">
        <f>PRODUCT(E409:I409)</f>
        <v/>
      </c>
      <c r="K409" s="20" t="n">
        <v>1</v>
      </c>
      <c r="L409" s="47" t="n">
        <v/>
      </c>
      <c r="M409" s="47" t="n">
        <v/>
      </c>
      <c r="N409" s="47" t="n">
        <v/>
      </c>
      <c r="O409" s="47" t="n">
        <v/>
      </c>
      <c r="P409" s="88" t="n"/>
    </row>
    <row r="410" customFormat="1" s="2">
      <c r="A410" s="6" t="n"/>
      <c r="B410" s="4" t="n"/>
      <c r="C410" s="4" t="n"/>
      <c r="D410" s="7" t="n"/>
      <c r="E410" s="17" t="n"/>
      <c r="F410" s="20" t="n"/>
      <c r="G410" s="47" t="n"/>
      <c r="H410" s="47" t="n"/>
      <c r="I410" s="47" t="n"/>
      <c r="J410" s="47">
        <f>PRODUCT(E410:I410)</f>
        <v/>
      </c>
      <c r="K410" s="20" t="n">
        <v/>
      </c>
      <c r="L410" s="47" t="n">
        <v/>
      </c>
      <c r="M410" s="47" t="n">
        <v/>
      </c>
      <c r="N410" s="47" t="n">
        <v/>
      </c>
      <c r="O410" s="47" t="n">
        <v/>
      </c>
      <c r="P410" s="88" t="n"/>
    </row>
    <row r="411" customFormat="1" s="2">
      <c r="A411" s="112" t="n"/>
      <c r="B411" s="112" t="n"/>
      <c r="C411" s="112" t="inlineStr">
        <is>
          <t>Total Qty</t>
        </is>
      </c>
      <c r="D411" s="120" t="n"/>
      <c r="E411" s="121" t="n"/>
      <c r="F411" s="123" t="n"/>
      <c r="G411" s="123" t="n"/>
      <c r="H411" s="123" t="n"/>
      <c r="I411" s="123" t="n"/>
      <c r="J411" s="123">
        <f>SUM(J406:J410)</f>
        <v/>
      </c>
      <c r="K411" s="123" t="n">
        <v/>
      </c>
      <c r="L411" s="123" t="n">
        <v/>
      </c>
      <c r="M411" s="123" t="n">
        <v/>
      </c>
      <c r="N411" s="123" t="n">
        <v/>
      </c>
      <c r="O411" s="123" t="n">
        <v/>
      </c>
      <c r="P411" s="88" t="n"/>
    </row>
    <row r="412" customFormat="1" s="2">
      <c r="A412" s="6" t="n"/>
      <c r="B412" s="4" t="n"/>
      <c r="C412" s="4" t="n"/>
      <c r="D412" s="7" t="n"/>
      <c r="E412" s="17" t="n"/>
      <c r="F412" s="20" t="n"/>
      <c r="G412" s="47" t="n"/>
      <c r="H412" s="47" t="n"/>
      <c r="I412" s="47" t="n"/>
      <c r="J412" s="47" t="n"/>
      <c r="K412" s="20" t="n">
        <v/>
      </c>
      <c r="L412" s="47" t="n">
        <v/>
      </c>
      <c r="M412" s="47" t="n">
        <v/>
      </c>
      <c r="N412" s="47" t="n">
        <v/>
      </c>
      <c r="O412" s="47" t="n">
        <v/>
      </c>
      <c r="P412" s="88" t="n"/>
    </row>
    <row r="413" ht="55.2" customFormat="1" customHeight="1" s="2">
      <c r="A413" s="6">
        <f>A405+1</f>
        <v/>
      </c>
      <c r="B413" s="4" t="inlineStr">
        <is>
          <t>Kichen Sink Cock</t>
        </is>
      </c>
      <c r="C413" s="4" t="inlineStr">
        <is>
          <t>Supply and Fixing in position Long body Sink Cock, heavy duty brass chromium-plated, of Jaguar Florentine Make FLR-CHR-5347N [wall mount] OR FLR-CHR-5357N [Floor Mount].</t>
        </is>
      </c>
      <c r="D413" s="5" t="inlineStr">
        <is>
          <t>Nos</t>
        </is>
      </c>
      <c r="E413" s="16" t="n">
        <v>1</v>
      </c>
      <c r="F413" s="20" t="n"/>
      <c r="G413" s="47" t="n"/>
      <c r="H413" s="47" t="n"/>
      <c r="I413" s="47" t="n"/>
      <c r="J413" s="47" t="n"/>
      <c r="K413" s="20" t="n">
        <v/>
      </c>
      <c r="L413" s="47" t="n">
        <v/>
      </c>
      <c r="M413" s="47" t="n">
        <v/>
      </c>
      <c r="N413" s="47" t="n">
        <v/>
      </c>
      <c r="O413" s="47" t="n">
        <v/>
      </c>
      <c r="P413" s="88" t="n"/>
    </row>
    <row r="414" customFormat="1" s="2">
      <c r="A414" s="6" t="n"/>
      <c r="B414" s="4" t="n"/>
      <c r="C414" s="14" t="inlineStr">
        <is>
          <t>Pantry Area</t>
        </is>
      </c>
      <c r="D414" s="7" t="n"/>
      <c r="E414" s="17" t="n"/>
      <c r="F414" s="20" t="n"/>
      <c r="G414" s="47" t="n"/>
      <c r="H414" s="47" t="n"/>
      <c r="I414" s="47" t="n"/>
      <c r="J414" s="47" t="n"/>
      <c r="K414" s="20" t="n">
        <v/>
      </c>
      <c r="L414" s="47" t="n">
        <v/>
      </c>
      <c r="M414" s="47" t="n">
        <v/>
      </c>
      <c r="N414" s="47" t="n">
        <v/>
      </c>
      <c r="O414" s="47" t="n">
        <v/>
      </c>
      <c r="P414" s="88" t="n"/>
    </row>
    <row r="415" customFormat="1" s="2">
      <c r="A415" s="6" t="n"/>
      <c r="B415" s="4" t="n"/>
      <c r="C415" s="4" t="inlineStr">
        <is>
          <t>Kichen Sink Cock</t>
        </is>
      </c>
      <c r="D415" s="7" t="inlineStr">
        <is>
          <t>Nos</t>
        </is>
      </c>
      <c r="E415" s="17" t="n"/>
      <c r="F415" s="20" t="n">
        <v>1</v>
      </c>
      <c r="G415" s="47" t="n"/>
      <c r="H415" s="47" t="n"/>
      <c r="I415" s="47" t="n"/>
      <c r="J415" s="47">
        <f>PRODUCT(E415:I415)</f>
        <v/>
      </c>
      <c r="K415" s="20" t="n">
        <v>1</v>
      </c>
      <c r="L415" s="47" t="n">
        <v/>
      </c>
      <c r="M415" s="47" t="n">
        <v/>
      </c>
      <c r="N415" s="47" t="n">
        <v/>
      </c>
      <c r="O415" s="47" t="n">
        <v/>
      </c>
      <c r="P415" s="88" t="n"/>
    </row>
    <row r="416" customFormat="1" s="2">
      <c r="A416" s="6" t="n"/>
      <c r="B416" s="4" t="n"/>
      <c r="C416" s="4" t="n"/>
      <c r="D416" s="7" t="n"/>
      <c r="E416" s="17" t="n"/>
      <c r="F416" s="20" t="n"/>
      <c r="G416" s="47" t="n"/>
      <c r="H416" s="47" t="n"/>
      <c r="I416" s="47" t="n"/>
      <c r="J416" s="47">
        <f>PRODUCT(E416:I416)</f>
        <v/>
      </c>
      <c r="K416" s="20" t="n">
        <v/>
      </c>
      <c r="L416" s="47" t="n">
        <v/>
      </c>
      <c r="M416" s="47" t="n">
        <v/>
      </c>
      <c r="N416" s="47" t="n">
        <v/>
      </c>
      <c r="O416" s="47" t="n">
        <v/>
      </c>
      <c r="P416" s="88" t="n"/>
    </row>
    <row r="417" customFormat="1" s="2">
      <c r="A417" s="112" t="n"/>
      <c r="B417" s="112" t="n"/>
      <c r="C417" s="112" t="inlineStr">
        <is>
          <t>Total Qty</t>
        </is>
      </c>
      <c r="D417" s="120" t="n"/>
      <c r="E417" s="121" t="n"/>
      <c r="F417" s="123" t="n"/>
      <c r="G417" s="123" t="n"/>
      <c r="H417" s="123" t="n"/>
      <c r="I417" s="123" t="n"/>
      <c r="J417" s="123">
        <f>SUM(J414:J416)</f>
        <v/>
      </c>
      <c r="K417" s="123" t="n">
        <v/>
      </c>
      <c r="L417" s="123" t="n">
        <v/>
      </c>
      <c r="M417" s="123" t="n">
        <v/>
      </c>
      <c r="N417" s="123" t="n">
        <v/>
      </c>
      <c r="O417" s="123" t="n">
        <v/>
      </c>
      <c r="P417" s="88" t="n"/>
    </row>
    <row r="418">
      <c r="A418" s="117" t="n"/>
      <c r="B418" s="117" t="n"/>
      <c r="C418" s="117" t="n"/>
      <c r="D418" s="117" t="n"/>
      <c r="E418" s="118" t="n"/>
      <c r="F418" s="119" t="n"/>
      <c r="G418" s="119" t="n"/>
      <c r="H418" s="119" t="n"/>
      <c r="I418" s="119" t="n"/>
      <c r="J418" s="119" t="n"/>
      <c r="K418" s="119" t="n">
        <v/>
      </c>
      <c r="L418" s="119" t="n">
        <v/>
      </c>
      <c r="M418" s="119" t="n">
        <v/>
      </c>
      <c r="N418" s="119" t="n">
        <v/>
      </c>
      <c r="O418" s="119" t="n">
        <v/>
      </c>
      <c r="P418" s="117" t="n"/>
    </row>
    <row r="419" ht="69" customFormat="1" customHeight="1" s="2">
      <c r="A419" s="6">
        <f>A413+1</f>
        <v/>
      </c>
      <c r="B419" s="4" t="inlineStr">
        <is>
          <t>Jet Black Granite</t>
        </is>
      </c>
      <c r="C419"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D419" s="5" t="inlineStr">
        <is>
          <t>Rft</t>
        </is>
      </c>
      <c r="E419" s="16" t="n">
        <v>117</v>
      </c>
      <c r="F419" s="20" t="n"/>
      <c r="G419" s="47" t="n"/>
      <c r="H419" s="47" t="n"/>
      <c r="I419" s="47" t="n"/>
      <c r="J419" s="47" t="n"/>
      <c r="K419" s="20" t="n">
        <v/>
      </c>
      <c r="L419" s="47" t="n">
        <v/>
      </c>
      <c r="M419" s="47" t="n">
        <v/>
      </c>
      <c r="N419" s="47" t="n">
        <v/>
      </c>
      <c r="O419" s="47" t="n">
        <v/>
      </c>
      <c r="P419" s="88" t="n"/>
    </row>
    <row r="420" customFormat="1" s="2">
      <c r="A420" s="6" t="n"/>
      <c r="B420" s="4" t="n"/>
      <c r="C420" s="24" t="inlineStr">
        <is>
          <t xml:space="preserve">Step Up TO Down </t>
        </is>
      </c>
      <c r="D420" s="7" t="n"/>
      <c r="E420" s="17" t="n"/>
      <c r="F420" s="20" t="n"/>
      <c r="G420" s="47" t="n"/>
      <c r="H420" s="47" t="n"/>
      <c r="I420" s="47" t="n"/>
      <c r="J420" s="47">
        <f>PRODUCT(E420:I420)</f>
        <v/>
      </c>
      <c r="K420" s="20" t="n">
        <v/>
      </c>
      <c r="L420" s="47" t="n">
        <v/>
      </c>
      <c r="M420" s="47" t="n">
        <v/>
      </c>
      <c r="N420" s="47" t="n">
        <v/>
      </c>
      <c r="O420" s="47" t="n">
        <v/>
      </c>
      <c r="P420" s="88" t="n"/>
    </row>
    <row r="421" customFormat="1" s="2">
      <c r="A421" s="6" t="n"/>
      <c r="B421" s="4" t="n"/>
      <c r="C421" s="25" t="inlineStr">
        <is>
          <t>Raiser</t>
        </is>
      </c>
      <c r="D421" s="7" t="inlineStr">
        <is>
          <t>Rft</t>
        </is>
      </c>
      <c r="E421" s="17" t="n"/>
      <c r="F421" s="20" t="n">
        <v>1</v>
      </c>
      <c r="G421" s="47" t="n">
        <v>3.08</v>
      </c>
      <c r="H421" s="47" t="n"/>
      <c r="I421" s="47" t="n"/>
      <c r="J421" s="47">
        <f>PRODUCT(E421:I421)</f>
        <v/>
      </c>
      <c r="K421" s="20" t="n">
        <v>1</v>
      </c>
      <c r="L421" s="47" t="n">
        <v/>
      </c>
      <c r="M421" s="47" t="n">
        <v/>
      </c>
      <c r="N421" s="47" t="n">
        <v/>
      </c>
      <c r="O421" s="47" t="n">
        <v/>
      </c>
      <c r="P421" s="88" t="n"/>
    </row>
    <row r="422" customFormat="1" s="2">
      <c r="A422" s="6" t="n"/>
      <c r="B422" s="4" t="n"/>
      <c r="C422" s="25" t="inlineStr">
        <is>
          <t>Trade</t>
        </is>
      </c>
      <c r="D422" s="7" t="inlineStr">
        <is>
          <t>Rft</t>
        </is>
      </c>
      <c r="E422" s="17" t="n"/>
      <c r="F422" s="20" t="n">
        <v>1</v>
      </c>
      <c r="G422" s="47" t="n">
        <v>3.17</v>
      </c>
      <c r="H422" s="47" t="n"/>
      <c r="I422" s="47" t="n"/>
      <c r="J422" s="47">
        <f>PRODUCT(E422:I422)</f>
        <v/>
      </c>
      <c r="K422" s="20" t="n">
        <v>1</v>
      </c>
      <c r="L422" s="47" t="n">
        <v/>
      </c>
      <c r="M422" s="47" t="n">
        <v/>
      </c>
      <c r="N422" s="47" t="n">
        <v/>
      </c>
      <c r="O422" s="47" t="n">
        <v/>
      </c>
      <c r="P422" s="88" t="n"/>
    </row>
    <row r="423" customFormat="1" s="2">
      <c r="A423" s="6" t="n"/>
      <c r="B423" s="4" t="n"/>
      <c r="C423" s="25" t="inlineStr">
        <is>
          <t>Raiser</t>
        </is>
      </c>
      <c r="D423" s="7" t="inlineStr">
        <is>
          <t>Rft</t>
        </is>
      </c>
      <c r="E423" s="17" t="n"/>
      <c r="F423" s="20" t="n">
        <v>1</v>
      </c>
      <c r="G423" s="47" t="n">
        <v>3.08</v>
      </c>
      <c r="H423" s="47" t="n"/>
      <c r="I423" s="47" t="n"/>
      <c r="J423" s="47">
        <f>PRODUCT(E423:I423)</f>
        <v/>
      </c>
      <c r="K423" s="20" t="n">
        <v>1</v>
      </c>
      <c r="L423" s="47" t="n">
        <v/>
      </c>
      <c r="M423" s="47" t="n">
        <v/>
      </c>
      <c r="N423" s="47" t="n">
        <v/>
      </c>
      <c r="O423" s="47" t="n">
        <v/>
      </c>
      <c r="P423" s="88" t="n"/>
    </row>
    <row r="424" customFormat="1" s="2">
      <c r="A424" s="6" t="n"/>
      <c r="B424" s="4" t="n"/>
      <c r="C424" s="25" t="inlineStr">
        <is>
          <t>Trade</t>
        </is>
      </c>
      <c r="D424" s="7" t="inlineStr">
        <is>
          <t>Rft</t>
        </is>
      </c>
      <c r="E424" s="17" t="n"/>
      <c r="F424" s="20" t="n">
        <v>1</v>
      </c>
      <c r="G424" s="47" t="n">
        <v>3.17</v>
      </c>
      <c r="H424" s="47" t="n"/>
      <c r="I424" s="47" t="n"/>
      <c r="J424" s="47">
        <f>PRODUCT(E424:I424)</f>
        <v/>
      </c>
      <c r="K424" s="20" t="n">
        <v>1</v>
      </c>
      <c r="L424" s="47" t="n">
        <v/>
      </c>
      <c r="M424" s="47" t="n">
        <v/>
      </c>
      <c r="N424" s="47" t="n">
        <v/>
      </c>
      <c r="O424" s="47" t="n">
        <v/>
      </c>
      <c r="P424" s="88" t="n"/>
    </row>
    <row r="425" customFormat="1" s="2">
      <c r="A425" s="6" t="n"/>
      <c r="B425" s="4" t="n"/>
      <c r="C425" s="25" t="inlineStr">
        <is>
          <t>Raiser</t>
        </is>
      </c>
      <c r="D425" s="7" t="inlineStr">
        <is>
          <t>Rft</t>
        </is>
      </c>
      <c r="E425" s="17" t="n"/>
      <c r="F425" s="20" t="n">
        <v>1</v>
      </c>
      <c r="G425" s="47" t="n">
        <v>3.08</v>
      </c>
      <c r="H425" s="47" t="n"/>
      <c r="I425" s="47" t="n"/>
      <c r="J425" s="47">
        <f>PRODUCT(E425:I425)</f>
        <v/>
      </c>
      <c r="K425" s="20" t="n">
        <v>1</v>
      </c>
      <c r="L425" s="47" t="n">
        <v/>
      </c>
      <c r="M425" s="47" t="n">
        <v/>
      </c>
      <c r="N425" s="47" t="n">
        <v/>
      </c>
      <c r="O425" s="47" t="n">
        <v/>
      </c>
      <c r="P425" s="88" t="n"/>
    </row>
    <row r="426" customFormat="1" s="2">
      <c r="A426" s="6" t="n"/>
      <c r="B426" s="4" t="n"/>
      <c r="C426" s="25" t="inlineStr">
        <is>
          <t>Trade</t>
        </is>
      </c>
      <c r="D426" s="7" t="inlineStr">
        <is>
          <t>Rft</t>
        </is>
      </c>
      <c r="E426" s="17" t="n"/>
      <c r="F426" s="20" t="n">
        <v>1</v>
      </c>
      <c r="G426" s="47" t="n">
        <v>3.17</v>
      </c>
      <c r="H426" s="47" t="n"/>
      <c r="I426" s="47" t="n"/>
      <c r="J426" s="47">
        <f>PRODUCT(E426:I426)</f>
        <v/>
      </c>
      <c r="K426" s="20" t="n">
        <v>1</v>
      </c>
      <c r="L426" s="47" t="n">
        <v/>
      </c>
      <c r="M426" s="47" t="n">
        <v/>
      </c>
      <c r="N426" s="47" t="n">
        <v/>
      </c>
      <c r="O426" s="47" t="n">
        <v/>
      </c>
      <c r="P426" s="88" t="n"/>
    </row>
    <row r="427" customFormat="1" s="2">
      <c r="A427" s="6" t="n"/>
      <c r="B427" s="4" t="n"/>
      <c r="C427" s="25" t="inlineStr">
        <is>
          <t>Raiser</t>
        </is>
      </c>
      <c r="D427" s="7" t="inlineStr">
        <is>
          <t>Rft</t>
        </is>
      </c>
      <c r="E427" s="17" t="n"/>
      <c r="F427" s="20" t="n">
        <v>1</v>
      </c>
      <c r="G427" s="47" t="n">
        <v>3.42</v>
      </c>
      <c r="H427" s="47" t="n"/>
      <c r="I427" s="47" t="n"/>
      <c r="J427" s="47">
        <f>PRODUCT(E427:I427)</f>
        <v/>
      </c>
      <c r="K427" s="20" t="n">
        <v>1</v>
      </c>
      <c r="L427" s="47" t="n">
        <v/>
      </c>
      <c r="M427" s="47" t="n">
        <v/>
      </c>
      <c r="N427" s="47" t="n">
        <v/>
      </c>
      <c r="O427" s="47" t="n">
        <v/>
      </c>
      <c r="P427" s="88" t="n"/>
    </row>
    <row r="428" customFormat="1" s="2">
      <c r="A428" s="6" t="n"/>
      <c r="B428" s="4" t="n"/>
      <c r="C428" s="25" t="inlineStr">
        <is>
          <t>Trade</t>
        </is>
      </c>
      <c r="D428" s="7" t="inlineStr">
        <is>
          <t>Rft</t>
        </is>
      </c>
      <c r="E428" s="17" t="n"/>
      <c r="F428" s="20" t="n">
        <v>1</v>
      </c>
      <c r="G428" s="47" t="n">
        <v>3.5</v>
      </c>
      <c r="H428" s="47" t="n"/>
      <c r="I428" s="47" t="n"/>
      <c r="J428" s="47">
        <f>PRODUCT(E428:I428)</f>
        <v/>
      </c>
      <c r="K428" s="20" t="n">
        <v>1</v>
      </c>
      <c r="L428" s="47" t="n">
        <v/>
      </c>
      <c r="M428" s="47" t="n">
        <v/>
      </c>
      <c r="N428" s="47" t="n">
        <v/>
      </c>
      <c r="O428" s="47" t="n">
        <v/>
      </c>
      <c r="P428" s="88" t="n"/>
    </row>
    <row r="429" customFormat="1" s="2">
      <c r="A429" s="6" t="n"/>
      <c r="B429" s="4" t="n"/>
      <c r="C429" s="25" t="inlineStr">
        <is>
          <t>Raiser</t>
        </is>
      </c>
      <c r="D429" s="7" t="inlineStr">
        <is>
          <t>Rft</t>
        </is>
      </c>
      <c r="E429" s="17" t="n"/>
      <c r="F429" s="20" t="n">
        <v>1</v>
      </c>
      <c r="G429" s="47" t="n">
        <v>3.58</v>
      </c>
      <c r="H429" s="47" t="n"/>
      <c r="I429" s="47" t="n"/>
      <c r="J429" s="47">
        <f>PRODUCT(E429:I429)</f>
        <v/>
      </c>
      <c r="K429" s="20" t="n">
        <v>1</v>
      </c>
      <c r="L429" s="47" t="n">
        <v/>
      </c>
      <c r="M429" s="47" t="n">
        <v/>
      </c>
      <c r="N429" s="47" t="n">
        <v/>
      </c>
      <c r="O429" s="47" t="n">
        <v/>
      </c>
      <c r="P429" s="88" t="n"/>
    </row>
    <row r="430" customFormat="1" s="2">
      <c r="A430" s="6" t="n"/>
      <c r="B430" s="4" t="n"/>
      <c r="C430" s="25" t="inlineStr">
        <is>
          <t xml:space="preserve">Raiser </t>
        </is>
      </c>
      <c r="D430" s="7" t="inlineStr">
        <is>
          <t>Rft</t>
        </is>
      </c>
      <c r="E430" s="17" t="n"/>
      <c r="F430" s="20" t="n">
        <v>11</v>
      </c>
      <c r="G430" s="47" t="n">
        <v>3.17</v>
      </c>
      <c r="H430" s="47" t="n"/>
      <c r="I430" s="47" t="n"/>
      <c r="J430" s="47">
        <f>PRODUCT(E430:I430)</f>
        <v/>
      </c>
      <c r="K430" s="20" t="n">
        <v>11</v>
      </c>
      <c r="L430" s="47" t="n">
        <v/>
      </c>
      <c r="M430" s="47" t="n">
        <v/>
      </c>
      <c r="N430" s="47" t="n">
        <v/>
      </c>
      <c r="O430" s="47" t="n">
        <v/>
      </c>
      <c r="P430" s="88" t="n"/>
    </row>
    <row r="431" customFormat="1" s="2">
      <c r="A431" s="6" t="n"/>
      <c r="B431" s="4" t="n"/>
      <c r="C431" s="25" t="inlineStr">
        <is>
          <t xml:space="preserve">Trade </t>
        </is>
      </c>
      <c r="D431" s="7" t="inlineStr">
        <is>
          <t>Rft</t>
        </is>
      </c>
      <c r="E431" s="17" t="n"/>
      <c r="F431" s="20" t="n">
        <v>10</v>
      </c>
      <c r="G431" s="47" t="n">
        <v>3.17</v>
      </c>
      <c r="H431" s="47" t="n"/>
      <c r="I431" s="47" t="n"/>
      <c r="J431" s="47">
        <f>PRODUCT(E431:I431)</f>
        <v/>
      </c>
      <c r="K431" s="20" t="n">
        <v>10</v>
      </c>
      <c r="L431" s="47" t="n">
        <v/>
      </c>
      <c r="M431" s="47" t="n">
        <v/>
      </c>
      <c r="N431" s="47" t="n">
        <v/>
      </c>
      <c r="O431" s="47" t="n">
        <v/>
      </c>
      <c r="P431" s="88" t="n"/>
    </row>
    <row r="432" customFormat="1" s="2">
      <c r="A432" s="6" t="n"/>
      <c r="B432" s="4" t="n"/>
      <c r="C432" s="25" t="inlineStr">
        <is>
          <t>Raise</t>
        </is>
      </c>
      <c r="D432" s="7" t="inlineStr">
        <is>
          <t>Rft</t>
        </is>
      </c>
      <c r="E432" s="17" t="n"/>
      <c r="F432" s="20" t="n">
        <v>1</v>
      </c>
      <c r="G432" s="47" t="n">
        <v>3.17</v>
      </c>
      <c r="H432" s="47" t="n"/>
      <c r="I432" s="47" t="n"/>
      <c r="J432" s="47">
        <f>PRODUCT(E432:I432)</f>
        <v/>
      </c>
      <c r="K432" s="20" t="n">
        <v>1</v>
      </c>
      <c r="L432" s="47" t="n">
        <v/>
      </c>
      <c r="M432" s="47" t="n">
        <v/>
      </c>
      <c r="N432" s="47" t="n">
        <v/>
      </c>
      <c r="O432" s="47" t="n">
        <v/>
      </c>
      <c r="P432" s="88" t="n"/>
    </row>
    <row r="433" customFormat="1" s="2">
      <c r="A433" s="6" t="n"/>
      <c r="B433" s="4" t="n"/>
      <c r="C433" s="24" t="inlineStr">
        <is>
          <t>Skrting Area</t>
        </is>
      </c>
      <c r="D433" s="7" t="n"/>
      <c r="E433" s="17" t="n"/>
      <c r="F433" s="20" t="n"/>
      <c r="G433" s="47" t="n"/>
      <c r="H433" s="47" t="n"/>
      <c r="I433" s="47" t="n"/>
      <c r="J433" s="47">
        <f>PRODUCT(E433:I433)</f>
        <v/>
      </c>
      <c r="K433" s="20" t="n">
        <v/>
      </c>
      <c r="L433" s="47" t="n">
        <v/>
      </c>
      <c r="M433" s="47" t="n">
        <v/>
      </c>
      <c r="N433" s="47" t="n">
        <v/>
      </c>
      <c r="O433" s="47" t="n">
        <v/>
      </c>
      <c r="P433" s="88" t="n"/>
    </row>
    <row r="434" customFormat="1" s="2">
      <c r="A434" s="6" t="n"/>
      <c r="B434" s="4" t="n"/>
      <c r="C434" s="25" t="inlineStr">
        <is>
          <t>Staircase Left Side</t>
        </is>
      </c>
      <c r="D434" s="7" t="inlineStr">
        <is>
          <t>Rft</t>
        </is>
      </c>
      <c r="E434" s="17" t="n"/>
      <c r="F434" s="20" t="n">
        <v>1</v>
      </c>
      <c r="G434" s="47" t="n">
        <v>10</v>
      </c>
      <c r="H434" s="47" t="n"/>
      <c r="I434" s="47" t="n"/>
      <c r="J434" s="47">
        <f>PRODUCT(E434:I434)</f>
        <v/>
      </c>
      <c r="K434" s="20" t="n">
        <v>1</v>
      </c>
      <c r="L434" s="47" t="n">
        <v/>
      </c>
      <c r="M434" s="47" t="n">
        <v/>
      </c>
      <c r="N434" s="47" t="n">
        <v/>
      </c>
      <c r="O434" s="47" t="n">
        <v/>
      </c>
      <c r="P434" s="88" t="n"/>
    </row>
    <row r="435" customFormat="1" s="2">
      <c r="A435" s="6" t="n"/>
      <c r="B435" s="4" t="n"/>
      <c r="C435" s="124" t="inlineStr">
        <is>
          <t>Railing Side</t>
        </is>
      </c>
      <c r="D435" s="7" t="n"/>
      <c r="E435" s="17" t="n"/>
      <c r="F435" s="20" t="n"/>
      <c r="G435" s="47" t="n"/>
      <c r="H435" s="47" t="n"/>
      <c r="I435" s="47" t="n"/>
      <c r="J435" s="47">
        <f>PRODUCT(E435:I435)</f>
        <v/>
      </c>
      <c r="K435" s="20" t="n">
        <v/>
      </c>
      <c r="L435" s="47" t="n">
        <v/>
      </c>
      <c r="M435" s="47" t="n">
        <v/>
      </c>
      <c r="N435" s="47" t="n">
        <v/>
      </c>
      <c r="O435" s="47" t="n">
        <v/>
      </c>
      <c r="P435" s="88" t="n"/>
    </row>
    <row r="436" customFormat="1" s="2">
      <c r="A436" s="6" t="n"/>
      <c r="B436" s="4" t="n"/>
      <c r="C436" s="25" t="inlineStr">
        <is>
          <t>Door Sill</t>
        </is>
      </c>
      <c r="D436" s="7" t="inlineStr">
        <is>
          <t>Rft</t>
        </is>
      </c>
      <c r="E436" s="17" t="n"/>
      <c r="F436" s="20" t="n">
        <v>1</v>
      </c>
      <c r="G436" s="47" t="n">
        <v>25</v>
      </c>
      <c r="H436" s="47" t="n"/>
      <c r="I436" s="47" t="n"/>
      <c r="J436" s="47">
        <f>PRODUCT(E436:I436)</f>
        <v/>
      </c>
      <c r="K436" s="20" t="n">
        <v>1</v>
      </c>
      <c r="L436" s="47" t="n">
        <v/>
      </c>
      <c r="M436" s="47" t="n">
        <v/>
      </c>
      <c r="N436" s="47" t="n">
        <v/>
      </c>
      <c r="O436" s="47" t="n">
        <v/>
      </c>
      <c r="P436" s="88" t="n"/>
    </row>
    <row r="437" customFormat="1" s="2">
      <c r="A437" s="6" t="n"/>
      <c r="B437" s="4" t="n"/>
      <c r="C437" s="124" t="inlineStr">
        <is>
          <t>Back Office Side</t>
        </is>
      </c>
      <c r="D437" s="7" t="n"/>
      <c r="E437" s="17" t="n"/>
      <c r="F437" s="20" t="n"/>
      <c r="G437" s="47" t="n"/>
      <c r="H437" s="47" t="n"/>
      <c r="I437" s="47" t="n"/>
      <c r="J437" s="47">
        <f>PRODUCT(E437:I437)</f>
        <v/>
      </c>
      <c r="K437" s="20" t="n">
        <v/>
      </c>
      <c r="L437" s="47" t="n">
        <v/>
      </c>
      <c r="M437" s="47" t="n">
        <v/>
      </c>
      <c r="N437" s="47" t="n">
        <v/>
      </c>
      <c r="O437" s="47" t="n">
        <v/>
      </c>
      <c r="P437" s="88" t="n"/>
    </row>
    <row r="438" customFormat="1" s="2">
      <c r="A438" s="6" t="n"/>
      <c r="B438" s="4" t="n"/>
      <c r="C438" s="25" t="inlineStr">
        <is>
          <t>Door Sill</t>
        </is>
      </c>
      <c r="D438" s="7" t="inlineStr">
        <is>
          <t>Rft</t>
        </is>
      </c>
      <c r="E438" s="17" t="n"/>
      <c r="F438" s="20" t="n">
        <v>1</v>
      </c>
      <c r="G438" s="47" t="n">
        <v>12</v>
      </c>
      <c r="H438" s="47" t="n"/>
      <c r="I438" s="47" t="n"/>
      <c r="J438" s="47">
        <f>PRODUCT(E438:I438)</f>
        <v/>
      </c>
      <c r="K438" s="20" t="n">
        <v>1</v>
      </c>
      <c r="L438" s="47" t="n">
        <v/>
      </c>
      <c r="M438" s="47" t="n">
        <v/>
      </c>
      <c r="N438" s="47" t="n">
        <v/>
      </c>
      <c r="O438" s="47" t="n">
        <v/>
      </c>
      <c r="P438" s="88" t="n"/>
    </row>
    <row r="439" customFormat="1" s="2">
      <c r="A439" s="6" t="n"/>
      <c r="B439" s="4" t="n"/>
      <c r="C439" s="24" t="inlineStr">
        <is>
          <t xml:space="preserve">ATM </t>
        </is>
      </c>
      <c r="D439" s="7" t="n"/>
      <c r="E439" s="17" t="n"/>
      <c r="F439" s="20" t="n"/>
      <c r="G439" s="47" t="n"/>
      <c r="H439" s="47" t="n"/>
      <c r="I439" s="47" t="n"/>
      <c r="J439" s="47">
        <f>PRODUCT(E439:I439)</f>
        <v/>
      </c>
      <c r="K439" s="20" t="n">
        <v/>
      </c>
      <c r="L439" s="47" t="n">
        <v/>
      </c>
      <c r="M439" s="47" t="n">
        <v/>
      </c>
      <c r="N439" s="47" t="n">
        <v/>
      </c>
      <c r="O439" s="47" t="n">
        <v/>
      </c>
      <c r="P439" s="88" t="n"/>
    </row>
    <row r="440" customFormat="1" s="2">
      <c r="A440" s="6" t="n"/>
      <c r="B440" s="4" t="n"/>
      <c r="C440" s="25" t="inlineStr">
        <is>
          <t>Raiser</t>
        </is>
      </c>
      <c r="D440" s="7" t="inlineStr">
        <is>
          <t>Rft</t>
        </is>
      </c>
      <c r="E440" s="17" t="n"/>
      <c r="F440" s="20" t="n">
        <v>1</v>
      </c>
      <c r="G440" s="47" t="n">
        <v>10</v>
      </c>
      <c r="H440" s="47" t="n"/>
      <c r="I440" s="47" t="n"/>
      <c r="J440" s="47">
        <f>PRODUCT(E440:I440)</f>
        <v/>
      </c>
      <c r="K440" s="20" t="n">
        <v>1</v>
      </c>
      <c r="L440" s="47" t="n">
        <v/>
      </c>
      <c r="M440" s="47" t="n">
        <v/>
      </c>
      <c r="N440" s="47" t="n">
        <v/>
      </c>
      <c r="O440" s="47" t="n">
        <v/>
      </c>
      <c r="P440" s="88" t="n"/>
    </row>
    <row r="441" customFormat="1" s="2">
      <c r="A441" s="6" t="n"/>
      <c r="B441" s="4" t="n"/>
      <c r="C441" s="24" t="inlineStr">
        <is>
          <t xml:space="preserve">Branch Area </t>
        </is>
      </c>
      <c r="D441" s="7" t="n"/>
      <c r="E441" s="17" t="n"/>
      <c r="F441" s="20" t="n"/>
      <c r="G441" s="47" t="n"/>
      <c r="H441" s="47" t="n"/>
      <c r="I441" s="47" t="n"/>
      <c r="J441" s="47">
        <f>PRODUCT(E441:I441)</f>
        <v/>
      </c>
      <c r="K441" s="20" t="n">
        <v/>
      </c>
      <c r="L441" s="47" t="n">
        <v/>
      </c>
      <c r="M441" s="47" t="n">
        <v/>
      </c>
      <c r="N441" s="47" t="n">
        <v/>
      </c>
      <c r="O441" s="47" t="n">
        <v/>
      </c>
      <c r="P441" s="88" t="n"/>
    </row>
    <row r="442" customFormat="1" s="2">
      <c r="A442" s="6" t="n"/>
      <c r="B442" s="4" t="n"/>
      <c r="C442" s="25" t="inlineStr">
        <is>
          <t>Raiser</t>
        </is>
      </c>
      <c r="D442" s="7" t="inlineStr">
        <is>
          <t>Rft</t>
        </is>
      </c>
      <c r="E442" s="17" t="n"/>
      <c r="F442" s="20" t="n">
        <v>1</v>
      </c>
      <c r="G442" s="47" t="n">
        <v>9.42</v>
      </c>
      <c r="H442" s="47" t="n"/>
      <c r="I442" s="47" t="n"/>
      <c r="J442" s="47">
        <f>PRODUCT(E442:I442)</f>
        <v/>
      </c>
      <c r="K442" s="20" t="n">
        <v>1</v>
      </c>
      <c r="L442" s="47" t="n">
        <v/>
      </c>
      <c r="M442" s="47" t="n">
        <v/>
      </c>
      <c r="N442" s="47" t="n">
        <v/>
      </c>
      <c r="O442" s="47" t="n">
        <v/>
      </c>
      <c r="P442" s="88" t="n"/>
    </row>
    <row r="443" customFormat="1" s="2">
      <c r="A443" s="6" t="n"/>
      <c r="B443" s="4" t="n"/>
      <c r="C443" s="25" t="inlineStr">
        <is>
          <t>Raiser</t>
        </is>
      </c>
      <c r="D443" s="7" t="inlineStr">
        <is>
          <t>Rft</t>
        </is>
      </c>
      <c r="E443" s="17" t="n"/>
      <c r="F443" s="20" t="n">
        <v>1</v>
      </c>
      <c r="G443" s="47" t="n">
        <v>10.25</v>
      </c>
      <c r="H443" s="47" t="n"/>
      <c r="I443" s="47" t="n"/>
      <c r="J443" s="47">
        <f>PRODUCT(E443:I443)</f>
        <v/>
      </c>
      <c r="K443" s="20" t="n">
        <v>1</v>
      </c>
      <c r="L443" s="47" t="n">
        <v/>
      </c>
      <c r="M443" s="47" t="n">
        <v/>
      </c>
      <c r="N443" s="47" t="n">
        <v/>
      </c>
      <c r="O443" s="47" t="n">
        <v/>
      </c>
      <c r="P443" s="88" t="n"/>
    </row>
    <row r="444" customFormat="1" s="2">
      <c r="A444" s="6" t="n"/>
      <c r="B444" s="4" t="n"/>
      <c r="C444" s="4" t="n"/>
      <c r="D444" s="7" t="n"/>
      <c r="E444" s="17" t="n"/>
      <c r="F444" s="20" t="n"/>
      <c r="G444" s="47" t="n"/>
      <c r="H444" s="47" t="n"/>
      <c r="I444" s="47" t="n"/>
      <c r="J444" s="47">
        <f>PRODUCT(E444:I444)</f>
        <v/>
      </c>
      <c r="K444" s="20" t="n">
        <v/>
      </c>
      <c r="L444" s="47" t="n">
        <v/>
      </c>
      <c r="M444" s="47" t="n">
        <v/>
      </c>
      <c r="N444" s="47" t="n">
        <v/>
      </c>
      <c r="O444" s="47" t="n">
        <v/>
      </c>
      <c r="P444" s="88" t="n"/>
    </row>
    <row r="445" customFormat="1" s="2">
      <c r="A445" s="112" t="n"/>
      <c r="B445" s="112" t="n"/>
      <c r="C445" s="112" t="inlineStr">
        <is>
          <t>Total Qty</t>
        </is>
      </c>
      <c r="D445" s="120" t="n"/>
      <c r="E445" s="121" t="n"/>
      <c r="F445" s="123" t="n"/>
      <c r="G445" s="123" t="n"/>
      <c r="H445" s="123" t="n"/>
      <c r="I445" s="123" t="n"/>
      <c r="J445" s="123">
        <f>ROUND(SUM(J420:J444),)</f>
        <v/>
      </c>
      <c r="K445" s="123" t="n">
        <v/>
      </c>
      <c r="L445" s="123" t="n">
        <v/>
      </c>
      <c r="M445" s="123" t="n">
        <v/>
      </c>
      <c r="N445" s="123" t="n">
        <v/>
      </c>
      <c r="O445" s="123" t="n">
        <v/>
      </c>
      <c r="P445" s="88" t="n"/>
    </row>
    <row r="446" customFormat="1" s="2">
      <c r="A446" s="6" t="n"/>
      <c r="B446" s="4" t="n"/>
      <c r="C446" s="4" t="n"/>
      <c r="D446" s="7" t="n"/>
      <c r="E446" s="17" t="n"/>
      <c r="F446" s="20" t="n"/>
      <c r="G446" s="47" t="n"/>
      <c r="H446" s="47" t="n"/>
      <c r="I446" s="47" t="n"/>
      <c r="J446" s="47" t="n"/>
      <c r="K446" s="20" t="n">
        <v/>
      </c>
      <c r="L446" s="47" t="n">
        <v/>
      </c>
      <c r="M446" s="47" t="n">
        <v/>
      </c>
      <c r="N446" s="47" t="n">
        <v/>
      </c>
      <c r="O446" s="47" t="n">
        <v/>
      </c>
      <c r="P446" s="88" t="n"/>
    </row>
    <row r="447" ht="41.4" customFormat="1" customHeight="1" s="2">
      <c r="A447" s="6">
        <f>A419+1</f>
        <v/>
      </c>
      <c r="B447" s="4" t="inlineStr">
        <is>
          <t>Tissue Roll Holders</t>
        </is>
      </c>
      <c r="C447" s="4" t="inlineStr">
        <is>
          <t>Supply &amp;fixing of Toilet paper holder manufactured by Jaquar or as approved by bank or CPC team Make : Jaquar ACN-1151N</t>
        </is>
      </c>
      <c r="D447" s="5" t="inlineStr">
        <is>
          <t>Nos</t>
        </is>
      </c>
      <c r="E447" s="16" t="n">
        <v>2</v>
      </c>
      <c r="F447" s="20" t="n"/>
      <c r="G447" s="47" t="n"/>
      <c r="H447" s="47" t="n"/>
      <c r="I447" s="47" t="n"/>
      <c r="J447" s="47" t="n"/>
      <c r="K447" s="20" t="n">
        <v/>
      </c>
      <c r="L447" s="47" t="n">
        <v/>
      </c>
      <c r="M447" s="47" t="n">
        <v/>
      </c>
      <c r="N447" s="47" t="n">
        <v/>
      </c>
      <c r="O447" s="47" t="n">
        <v/>
      </c>
      <c r="P447" s="88" t="n"/>
    </row>
    <row r="448" customFormat="1" s="2">
      <c r="A448" s="6" t="n"/>
      <c r="B448" s="4" t="n"/>
      <c r="C448" s="14" t="inlineStr">
        <is>
          <t>Gents Toilet</t>
        </is>
      </c>
      <c r="D448" s="7" t="n"/>
      <c r="E448" s="17" t="n"/>
      <c r="F448" s="20" t="n"/>
      <c r="G448" s="47" t="n"/>
      <c r="H448" s="47" t="n"/>
      <c r="I448" s="47" t="n"/>
      <c r="J448" s="47">
        <f>PRODUCT(E448:I448)</f>
        <v/>
      </c>
      <c r="K448" s="20" t="n">
        <v/>
      </c>
      <c r="L448" s="47" t="n">
        <v/>
      </c>
      <c r="M448" s="47" t="n">
        <v/>
      </c>
      <c r="N448" s="47" t="n">
        <v/>
      </c>
      <c r="O448" s="47" t="n">
        <v/>
      </c>
      <c r="P448" s="88" t="n"/>
    </row>
    <row r="449" customFormat="1" s="2">
      <c r="A449" s="6" t="n"/>
      <c r="B449" s="4" t="n"/>
      <c r="C449" s="4" t="inlineStr">
        <is>
          <t>Tissue Roll Holders</t>
        </is>
      </c>
      <c r="D449" s="7" t="inlineStr">
        <is>
          <t>Nos</t>
        </is>
      </c>
      <c r="E449" s="17" t="n"/>
      <c r="F449" s="20" t="n">
        <v>1</v>
      </c>
      <c r="G449" s="47" t="n"/>
      <c r="H449" s="47" t="n"/>
      <c r="I449" s="47" t="n"/>
      <c r="J449" s="47">
        <f>PRODUCT(E449:I449)</f>
        <v/>
      </c>
      <c r="K449" s="20" t="n">
        <v>1</v>
      </c>
      <c r="L449" s="47" t="n">
        <v/>
      </c>
      <c r="M449" s="47" t="n">
        <v/>
      </c>
      <c r="N449" s="47" t="n">
        <v/>
      </c>
      <c r="O449" s="47" t="n">
        <v/>
      </c>
      <c r="P449" s="88" t="n"/>
    </row>
    <row r="450" customFormat="1" s="2">
      <c r="A450" s="6" t="n"/>
      <c r="B450" s="4" t="n"/>
      <c r="C450" s="14" t="inlineStr">
        <is>
          <t>Ladies Toilet</t>
        </is>
      </c>
      <c r="D450" s="7" t="n"/>
      <c r="E450" s="17" t="n"/>
      <c r="F450" s="20" t="n"/>
      <c r="G450" s="47" t="n"/>
      <c r="H450" s="47" t="n"/>
      <c r="I450" s="47" t="n"/>
      <c r="J450" s="47" t="n"/>
      <c r="K450" s="20" t="n">
        <v/>
      </c>
      <c r="L450" s="47" t="n">
        <v/>
      </c>
      <c r="M450" s="47" t="n">
        <v/>
      </c>
      <c r="N450" s="47" t="n">
        <v/>
      </c>
      <c r="O450" s="47" t="n">
        <v/>
      </c>
      <c r="P450" s="88" t="n"/>
    </row>
    <row r="451" customFormat="1" s="2">
      <c r="A451" s="6" t="n"/>
      <c r="B451" s="4" t="n"/>
      <c r="C451" s="4" t="inlineStr">
        <is>
          <t>Tissue Roll Holders</t>
        </is>
      </c>
      <c r="D451" s="7" t="inlineStr">
        <is>
          <t>Nos</t>
        </is>
      </c>
      <c r="E451" s="17" t="n"/>
      <c r="F451" s="20" t="n">
        <v>1</v>
      </c>
      <c r="G451" s="47" t="n"/>
      <c r="H451" s="47" t="n"/>
      <c r="I451" s="47" t="n"/>
      <c r="J451" s="47">
        <f>PRODUCT(E451:I451)</f>
        <v/>
      </c>
      <c r="K451" s="20" t="n">
        <v>1</v>
      </c>
      <c r="L451" s="47" t="n">
        <v/>
      </c>
      <c r="M451" s="47" t="n">
        <v/>
      </c>
      <c r="N451" s="47" t="n">
        <v/>
      </c>
      <c r="O451" s="47" t="n">
        <v/>
      </c>
      <c r="P451" s="88" t="n"/>
    </row>
    <row r="452" customFormat="1" s="2">
      <c r="A452" s="6" t="n"/>
      <c r="B452" s="4" t="n"/>
      <c r="C452" s="4" t="n"/>
      <c r="D452" s="7" t="n"/>
      <c r="E452" s="17" t="n"/>
      <c r="F452" s="20" t="n"/>
      <c r="G452" s="47" t="n"/>
      <c r="H452" s="47" t="n"/>
      <c r="I452" s="47" t="n"/>
      <c r="J452" s="47">
        <f>PRODUCT(E452:I452)</f>
        <v/>
      </c>
      <c r="K452" s="20" t="n">
        <v/>
      </c>
      <c r="L452" s="47" t="n">
        <v/>
      </c>
      <c r="M452" s="47" t="n">
        <v/>
      </c>
      <c r="N452" s="47" t="n">
        <v/>
      </c>
      <c r="O452" s="47" t="n">
        <v/>
      </c>
      <c r="P452" s="88" t="n"/>
    </row>
    <row r="453" customFormat="1" s="2">
      <c r="A453" s="112" t="n"/>
      <c r="B453" s="112" t="n"/>
      <c r="C453" s="112" t="inlineStr">
        <is>
          <t>Total Qty</t>
        </is>
      </c>
      <c r="D453" s="120" t="n"/>
      <c r="E453" s="121" t="n"/>
      <c r="F453" s="123" t="n"/>
      <c r="G453" s="123" t="n"/>
      <c r="H453" s="123" t="n"/>
      <c r="I453" s="123" t="n"/>
      <c r="J453" s="123">
        <f>SUM(J448:J452)</f>
        <v/>
      </c>
      <c r="K453" s="123" t="n">
        <v/>
      </c>
      <c r="L453" s="123" t="n">
        <v/>
      </c>
      <c r="M453" s="123" t="n">
        <v/>
      </c>
      <c r="N453" s="123" t="n">
        <v/>
      </c>
      <c r="O453" s="123" t="n">
        <v/>
      </c>
      <c r="P453" s="88" t="n"/>
    </row>
    <row r="454" customFormat="1" s="2">
      <c r="A454" s="6" t="n"/>
      <c r="B454" s="4" t="n"/>
      <c r="C454" s="4" t="n"/>
      <c r="D454" s="7" t="n"/>
      <c r="E454" s="17" t="n"/>
      <c r="F454" s="20" t="n"/>
      <c r="G454" s="47" t="n"/>
      <c r="H454" s="47" t="n"/>
      <c r="I454" s="47" t="n"/>
      <c r="J454" s="47" t="n"/>
      <c r="K454" s="20" t="n">
        <v/>
      </c>
      <c r="L454" s="47" t="n">
        <v/>
      </c>
      <c r="M454" s="47" t="n">
        <v/>
      </c>
      <c r="N454" s="47" t="n">
        <v/>
      </c>
      <c r="O454" s="47" t="n">
        <v/>
      </c>
      <c r="P454" s="88" t="n"/>
    </row>
    <row r="455" ht="96.59999999999999" customFormat="1" customHeight="1" s="2">
      <c r="A455" s="6">
        <f>A447+1</f>
        <v/>
      </c>
      <c r="B455" s="4" t="inlineStr">
        <is>
          <t>RCC lintels for door, window &amp;Wall</t>
        </is>
      </c>
      <c r="C455" s="4"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D455" s="7" t="inlineStr">
        <is>
          <t>Nos</t>
        </is>
      </c>
      <c r="E455" s="17" t="n">
        <v>3</v>
      </c>
      <c r="F455" s="20" t="n"/>
      <c r="G455" s="47" t="n"/>
      <c r="H455" s="47" t="n"/>
      <c r="I455" s="47" t="n"/>
      <c r="J455" s="47" t="n"/>
      <c r="K455" s="20" t="n">
        <v/>
      </c>
      <c r="L455" s="47" t="n">
        <v/>
      </c>
      <c r="M455" s="47" t="n">
        <v/>
      </c>
      <c r="N455" s="47" t="n">
        <v/>
      </c>
      <c r="O455" s="47" t="n">
        <v/>
      </c>
      <c r="P455" s="88" t="n"/>
    </row>
    <row r="456" customFormat="1" s="2">
      <c r="A456" s="6" t="n"/>
      <c r="B456" s="4" t="n"/>
      <c r="C456" s="14" t="inlineStr">
        <is>
          <t>Gents Toilet</t>
        </is>
      </c>
      <c r="D456" s="7" t="n"/>
      <c r="E456" s="17" t="n"/>
      <c r="F456" s="20" t="n"/>
      <c r="G456" s="47" t="n"/>
      <c r="H456" s="47" t="n"/>
      <c r="I456" s="47" t="n"/>
      <c r="J456" s="47">
        <f>PRODUCT(E456:I456)</f>
        <v/>
      </c>
      <c r="K456" s="20" t="n">
        <v/>
      </c>
      <c r="L456" s="47" t="n">
        <v/>
      </c>
      <c r="M456" s="47" t="n">
        <v/>
      </c>
      <c r="N456" s="47" t="n">
        <v/>
      </c>
      <c r="O456" s="47" t="n">
        <v/>
      </c>
      <c r="P456" s="88" t="n"/>
    </row>
    <row r="457" customFormat="1" s="2">
      <c r="A457" s="6" t="n"/>
      <c r="B457" s="4" t="n"/>
      <c r="C457" s="4" t="inlineStr">
        <is>
          <t>Door Lintels</t>
        </is>
      </c>
      <c r="D457" s="7" t="inlineStr">
        <is>
          <t>Nos</t>
        </is>
      </c>
      <c r="E457" s="17" t="n"/>
      <c r="F457" s="20" t="n">
        <v>1</v>
      </c>
      <c r="G457" s="47" t="n"/>
      <c r="H457" s="47" t="n"/>
      <c r="I457" s="47" t="n"/>
      <c r="J457" s="47">
        <f>PRODUCT(E457:I457)</f>
        <v/>
      </c>
      <c r="K457" s="20" t="n">
        <v>1</v>
      </c>
      <c r="L457" s="47" t="n">
        <v/>
      </c>
      <c r="M457" s="47" t="n">
        <v/>
      </c>
      <c r="N457" s="47" t="n">
        <v/>
      </c>
      <c r="O457" s="47" t="n">
        <v/>
      </c>
      <c r="P457" s="88" t="n"/>
    </row>
    <row r="458" customFormat="1" s="2">
      <c r="A458" s="6" t="n"/>
      <c r="B458" s="4" t="n"/>
      <c r="C458" s="14" t="inlineStr">
        <is>
          <t>Toilet Passage</t>
        </is>
      </c>
      <c r="D458" s="7" t="n"/>
      <c r="E458" s="17" t="n"/>
      <c r="F458" s="20" t="n"/>
      <c r="G458" s="47" t="n"/>
      <c r="H458" s="47" t="n"/>
      <c r="I458" s="47" t="n"/>
      <c r="J458" s="47" t="n"/>
      <c r="K458" s="20" t="n">
        <v/>
      </c>
      <c r="L458" s="47" t="n">
        <v/>
      </c>
      <c r="M458" s="47" t="n">
        <v/>
      </c>
      <c r="N458" s="47" t="n">
        <v/>
      </c>
      <c r="O458" s="47" t="n">
        <v/>
      </c>
      <c r="P458" s="88" t="n"/>
    </row>
    <row r="459" customFormat="1" s="2">
      <c r="A459" s="6" t="n"/>
      <c r="B459" s="4" t="n"/>
      <c r="C459" s="4" t="inlineStr">
        <is>
          <t>Door Lintels</t>
        </is>
      </c>
      <c r="D459" s="7" t="inlineStr">
        <is>
          <t>Nos</t>
        </is>
      </c>
      <c r="E459" s="17" t="n"/>
      <c r="F459" s="20" t="n">
        <v>1</v>
      </c>
      <c r="G459" s="47" t="n"/>
      <c r="H459" s="47" t="n"/>
      <c r="I459" s="47" t="n"/>
      <c r="J459" s="47">
        <f>PRODUCT(E459:I459)</f>
        <v/>
      </c>
      <c r="K459" s="20" t="n">
        <v>1</v>
      </c>
      <c r="L459" s="47" t="n">
        <v/>
      </c>
      <c r="M459" s="47" t="n">
        <v/>
      </c>
      <c r="N459" s="47" t="n">
        <v/>
      </c>
      <c r="O459" s="47" t="n">
        <v/>
      </c>
      <c r="P459" s="88" t="n"/>
    </row>
    <row r="460" customFormat="1" s="2">
      <c r="A460" s="6" t="n"/>
      <c r="B460" s="4" t="n"/>
      <c r="C460" s="14" t="inlineStr">
        <is>
          <t>Ladies Toilet</t>
        </is>
      </c>
      <c r="D460" s="7" t="n"/>
      <c r="E460" s="17" t="n"/>
      <c r="F460" s="20" t="n"/>
      <c r="G460" s="47" t="n"/>
      <c r="H460" s="47" t="n"/>
      <c r="I460" s="47" t="n"/>
      <c r="J460" s="47" t="n"/>
      <c r="K460" s="20" t="n">
        <v/>
      </c>
      <c r="L460" s="47" t="n">
        <v/>
      </c>
      <c r="M460" s="47" t="n">
        <v/>
      </c>
      <c r="N460" s="47" t="n">
        <v/>
      </c>
      <c r="O460" s="47" t="n">
        <v/>
      </c>
      <c r="P460" s="88" t="n"/>
    </row>
    <row r="461" customFormat="1" s="2">
      <c r="A461" s="6" t="n"/>
      <c r="B461" s="4" t="n"/>
      <c r="C461" s="4" t="inlineStr">
        <is>
          <t>Door Lintels</t>
        </is>
      </c>
      <c r="D461" s="7" t="inlineStr">
        <is>
          <t>Nos</t>
        </is>
      </c>
      <c r="E461" s="17" t="n"/>
      <c r="F461" s="20" t="n">
        <v>1</v>
      </c>
      <c r="G461" s="47" t="n"/>
      <c r="H461" s="47" t="n"/>
      <c r="I461" s="47" t="n"/>
      <c r="J461" s="47">
        <f>PRODUCT(E461:I461)</f>
        <v/>
      </c>
      <c r="K461" s="20" t="n">
        <v>1</v>
      </c>
      <c r="L461" s="47" t="n">
        <v/>
      </c>
      <c r="M461" s="47" t="n">
        <v/>
      </c>
      <c r="N461" s="47" t="n">
        <v/>
      </c>
      <c r="O461" s="47" t="n">
        <v/>
      </c>
      <c r="P461" s="88" t="n"/>
    </row>
    <row r="462" customFormat="1" s="2">
      <c r="A462" s="6" t="n"/>
      <c r="B462" s="4" t="n"/>
      <c r="C462" s="4" t="n"/>
      <c r="D462" s="7" t="n"/>
      <c r="E462" s="17" t="n"/>
      <c r="F462" s="20" t="n"/>
      <c r="G462" s="47" t="n"/>
      <c r="H462" s="47" t="n"/>
      <c r="I462" s="47" t="n"/>
      <c r="J462" s="47">
        <f>PRODUCT(E462:I462)</f>
        <v/>
      </c>
      <c r="K462" s="20" t="n">
        <v/>
      </c>
      <c r="L462" s="47" t="n">
        <v/>
      </c>
      <c r="M462" s="47" t="n">
        <v/>
      </c>
      <c r="N462" s="47" t="n">
        <v/>
      </c>
      <c r="O462" s="47" t="n">
        <v/>
      </c>
      <c r="P462" s="88" t="n"/>
    </row>
    <row r="463" customFormat="1" s="2">
      <c r="A463" s="112" t="n"/>
      <c r="B463" s="112" t="n"/>
      <c r="C463" s="112" t="inlineStr">
        <is>
          <t>Total Qty</t>
        </is>
      </c>
      <c r="D463" s="120" t="n"/>
      <c r="E463" s="121" t="n"/>
      <c r="F463" s="123" t="n"/>
      <c r="G463" s="123" t="n"/>
      <c r="H463" s="123" t="n"/>
      <c r="I463" s="123" t="n"/>
      <c r="J463" s="123">
        <f>SUM(J456:J462)</f>
        <v/>
      </c>
      <c r="K463" s="123" t="n">
        <v/>
      </c>
      <c r="L463" s="123" t="n">
        <v/>
      </c>
      <c r="M463" s="123" t="n">
        <v/>
      </c>
      <c r="N463" s="123" t="n">
        <v/>
      </c>
      <c r="O463" s="123" t="n">
        <v/>
      </c>
      <c r="P463" s="88" t="n"/>
    </row>
    <row r="464" customFormat="1" s="2">
      <c r="A464" s="6" t="n"/>
      <c r="B464" s="4" t="n"/>
      <c r="C464" s="4" t="n"/>
      <c r="D464" s="7" t="n"/>
      <c r="E464" s="17" t="n"/>
      <c r="F464" s="20" t="n"/>
      <c r="G464" s="47" t="n"/>
      <c r="H464" s="47" t="n"/>
      <c r="I464" s="47" t="n"/>
      <c r="J464" s="47" t="n"/>
      <c r="K464" s="20" t="n">
        <v/>
      </c>
      <c r="L464" s="47" t="n">
        <v/>
      </c>
      <c r="M464" s="47" t="n">
        <v/>
      </c>
      <c r="N464" s="47" t="n">
        <v/>
      </c>
      <c r="O464" s="47" t="n">
        <v/>
      </c>
      <c r="P464" s="88" t="n"/>
    </row>
    <row r="465" ht="138" customFormat="1" customHeight="1" s="2">
      <c r="A465" s="6">
        <f>A455+1</f>
        <v/>
      </c>
      <c r="B465" s="4" t="inlineStr">
        <is>
          <t>Janitor Box _House keeping storage unit</t>
        </is>
      </c>
      <c r="C465" s="4"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D465" s="7" t="inlineStr">
        <is>
          <t>nos</t>
        </is>
      </c>
      <c r="E465" s="17" t="n">
        <v>1</v>
      </c>
      <c r="F465" s="20" t="n"/>
      <c r="G465" s="47" t="n"/>
      <c r="H465" s="47" t="n"/>
      <c r="I465" s="47" t="n"/>
      <c r="J465" s="47" t="n"/>
      <c r="K465" s="20" t="n">
        <v/>
      </c>
      <c r="L465" s="47" t="n">
        <v/>
      </c>
      <c r="M465" s="47" t="n">
        <v/>
      </c>
      <c r="N465" s="47" t="n">
        <v/>
      </c>
      <c r="O465" s="47" t="n">
        <v/>
      </c>
      <c r="P465" s="88" t="n"/>
    </row>
    <row r="466" customFormat="1" s="2">
      <c r="A466" s="6" t="n"/>
      <c r="B466" s="4" t="n"/>
      <c r="C466" s="14" t="inlineStr">
        <is>
          <t>Mezzanine Floor</t>
        </is>
      </c>
      <c r="D466" s="7" t="n"/>
      <c r="E466" s="17" t="n"/>
      <c r="F466" s="20" t="n"/>
      <c r="G466" s="47" t="n"/>
      <c r="H466" s="47" t="n"/>
      <c r="I466" s="47" t="n"/>
      <c r="J466" s="17">
        <f>PRODUCT(F466:I466)</f>
        <v/>
      </c>
      <c r="K466" s="20" t="n">
        <v/>
      </c>
      <c r="L466" s="47" t="n">
        <v/>
      </c>
      <c r="M466" s="47" t="n">
        <v/>
      </c>
      <c r="N466" s="47" t="n">
        <v/>
      </c>
      <c r="O466" s="17" t="n">
        <v/>
      </c>
      <c r="P466" s="88" t="n"/>
    </row>
    <row r="467" customFormat="1" s="2">
      <c r="A467" s="6" t="n"/>
      <c r="B467" s="4" t="n"/>
      <c r="C467" s="4" t="inlineStr">
        <is>
          <t xml:space="preserve">Out Side Toilet </t>
        </is>
      </c>
      <c r="D467" s="7" t="inlineStr">
        <is>
          <t>Nos</t>
        </is>
      </c>
      <c r="E467" s="17" t="n"/>
      <c r="F467" s="20" t="n">
        <v>1</v>
      </c>
      <c r="G467" s="47" t="n"/>
      <c r="H467" s="47" t="n"/>
      <c r="I467" s="47" t="n"/>
      <c r="J467" s="17">
        <f>PRODUCT(F467:I467)</f>
        <v/>
      </c>
      <c r="K467" s="20" t="n">
        <v>1</v>
      </c>
      <c r="L467" s="47" t="n">
        <v/>
      </c>
      <c r="M467" s="47" t="n">
        <v/>
      </c>
      <c r="N467" s="47" t="n">
        <v/>
      </c>
      <c r="O467" s="17" t="n">
        <v/>
      </c>
      <c r="P467" s="88" t="n"/>
    </row>
    <row r="468" customFormat="1" s="2">
      <c r="A468" s="6" t="n"/>
      <c r="B468" s="4" t="n"/>
      <c r="C468" s="4" t="n"/>
      <c r="D468" s="7" t="n"/>
      <c r="E468" s="17" t="n"/>
      <c r="F468" s="20" t="n"/>
      <c r="G468" s="47" t="n"/>
      <c r="H468" s="47" t="n"/>
      <c r="I468" s="47" t="n"/>
      <c r="J468" s="17">
        <f>PRODUCT(F468:I468)</f>
        <v/>
      </c>
      <c r="K468" s="20" t="n">
        <v/>
      </c>
      <c r="L468" s="47" t="n">
        <v/>
      </c>
      <c r="M468" s="47" t="n">
        <v/>
      </c>
      <c r="N468" s="47" t="n">
        <v/>
      </c>
      <c r="O468" s="17" t="n">
        <v/>
      </c>
      <c r="P468" s="88" t="n"/>
    </row>
    <row r="469" customFormat="1" s="2">
      <c r="A469" s="112" t="n"/>
      <c r="B469" s="112" t="n"/>
      <c r="C469" s="112" t="inlineStr">
        <is>
          <t>Total Qty</t>
        </is>
      </c>
      <c r="D469" s="120" t="n"/>
      <c r="E469" s="121" t="n"/>
      <c r="F469" s="123" t="n"/>
      <c r="G469" s="123" t="n"/>
      <c r="H469" s="123" t="n"/>
      <c r="I469" s="123" t="n"/>
      <c r="J469" s="123">
        <f>SUM(J466:J468)</f>
        <v/>
      </c>
      <c r="K469" s="123" t="n">
        <v/>
      </c>
      <c r="L469" s="123" t="n">
        <v/>
      </c>
      <c r="M469" s="123" t="n">
        <v/>
      </c>
      <c r="N469" s="123" t="n">
        <v/>
      </c>
      <c r="O469" s="123" t="n">
        <v/>
      </c>
      <c r="P469" s="88" t="n"/>
    </row>
    <row r="470" customFormat="1" s="2">
      <c r="A470" s="112" t="n"/>
      <c r="B470" s="112" t="n"/>
      <c r="C470" s="112" t="n"/>
      <c r="D470" s="120" t="n"/>
      <c r="E470" s="121" t="n"/>
      <c r="F470" s="123" t="n"/>
      <c r="G470" s="123" t="n"/>
      <c r="H470" s="123" t="n"/>
      <c r="I470" s="123" t="n"/>
      <c r="J470" s="123" t="n"/>
      <c r="K470" s="123" t="n">
        <v/>
      </c>
      <c r="L470" s="123" t="n">
        <v/>
      </c>
      <c r="M470" s="123" t="n">
        <v/>
      </c>
      <c r="N470" s="123" t="n">
        <v/>
      </c>
      <c r="O470" s="123" t="n">
        <v/>
      </c>
      <c r="P470" s="88" t="n"/>
    </row>
    <row r="471" customFormat="1" s="2">
      <c r="A471" s="6" t="n"/>
      <c r="B471" s="4" t="n"/>
      <c r="C471" s="4" t="n"/>
      <c r="D471" s="7" t="n"/>
      <c r="E471" s="17" t="n"/>
      <c r="F471" s="20" t="n"/>
      <c r="G471" s="47" t="n"/>
      <c r="H471" s="47" t="n"/>
      <c r="I471" s="47" t="n"/>
      <c r="J471" s="47" t="n"/>
      <c r="K471" s="20" t="n">
        <v/>
      </c>
      <c r="L471" s="47" t="n">
        <v/>
      </c>
      <c r="M471" s="47" t="n">
        <v/>
      </c>
      <c r="N471" s="47" t="n">
        <v/>
      </c>
      <c r="O471" s="47" t="n">
        <v/>
      </c>
      <c r="P471" s="88" t="n"/>
    </row>
    <row r="472" ht="124.2" customFormat="1" customHeight="1" s="2">
      <c r="A472" s="6">
        <f>A465+1</f>
        <v/>
      </c>
      <c r="B472" s="4" t="inlineStr">
        <is>
          <t>Small Wash Basin inside WC</t>
        </is>
      </c>
      <c r="C472" s="4"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D472" s="7" t="inlineStr">
        <is>
          <t>Nos</t>
        </is>
      </c>
      <c r="E472" s="17" t="n">
        <v>2</v>
      </c>
      <c r="F472" s="20" t="n"/>
      <c r="G472" s="47" t="n"/>
      <c r="H472" s="47" t="n"/>
      <c r="I472" s="47" t="n"/>
      <c r="J472" s="47" t="n"/>
      <c r="K472" s="20" t="n">
        <v/>
      </c>
      <c r="L472" s="47" t="n">
        <v/>
      </c>
      <c r="M472" s="47" t="n">
        <v/>
      </c>
      <c r="N472" s="47" t="n">
        <v/>
      </c>
      <c r="O472" s="47" t="n">
        <v/>
      </c>
      <c r="P472" s="88" t="n"/>
    </row>
    <row r="473" customFormat="1" s="2">
      <c r="A473" s="6" t="n"/>
      <c r="B473" s="4" t="n"/>
      <c r="C473" s="14" t="inlineStr">
        <is>
          <t>Gents Toilet</t>
        </is>
      </c>
      <c r="D473" s="7" t="n"/>
      <c r="E473" s="17" t="n"/>
      <c r="F473" s="20" t="n"/>
      <c r="G473" s="47" t="n"/>
      <c r="H473" s="47" t="n"/>
      <c r="I473" s="47" t="n"/>
      <c r="J473" s="47">
        <f>PRODUCT(E473:I473)</f>
        <v/>
      </c>
      <c r="K473" s="20" t="n">
        <v/>
      </c>
      <c r="L473" s="47" t="n">
        <v/>
      </c>
      <c r="M473" s="47" t="n">
        <v/>
      </c>
      <c r="N473" s="47" t="n">
        <v/>
      </c>
      <c r="O473" s="47" t="n">
        <v/>
      </c>
      <c r="P473" s="88" t="n"/>
    </row>
    <row r="474" customFormat="1" s="2">
      <c r="A474" s="6" t="n"/>
      <c r="B474" s="4" t="n"/>
      <c r="C474" s="4" t="inlineStr">
        <is>
          <t>Wash Basin</t>
        </is>
      </c>
      <c r="D474" s="7" t="inlineStr">
        <is>
          <t>Nos</t>
        </is>
      </c>
      <c r="E474" s="17" t="n"/>
      <c r="F474" s="20" t="n">
        <v>1</v>
      </c>
      <c r="G474" s="47" t="n"/>
      <c r="H474" s="47" t="n"/>
      <c r="I474" s="47" t="n"/>
      <c r="J474" s="47">
        <f>PRODUCT(E474:I474)</f>
        <v/>
      </c>
      <c r="K474" s="20" t="n">
        <v>1</v>
      </c>
      <c r="L474" s="47" t="n">
        <v/>
      </c>
      <c r="M474" s="47" t="n">
        <v/>
      </c>
      <c r="N474" s="47" t="n">
        <v/>
      </c>
      <c r="O474" s="47" t="n">
        <v/>
      </c>
      <c r="P474" s="88" t="n"/>
    </row>
    <row r="475" customFormat="1" s="2">
      <c r="A475" s="6" t="n"/>
      <c r="B475" s="4" t="n"/>
      <c r="C475" s="14" t="inlineStr">
        <is>
          <t>Ladies Toilet</t>
        </is>
      </c>
      <c r="D475" s="7" t="n"/>
      <c r="E475" s="17" t="n"/>
      <c r="F475" s="20" t="n"/>
      <c r="G475" s="47" t="n"/>
      <c r="H475" s="47" t="n"/>
      <c r="I475" s="47" t="n"/>
      <c r="J475" s="47" t="n"/>
      <c r="K475" s="20" t="n">
        <v/>
      </c>
      <c r="L475" s="47" t="n">
        <v/>
      </c>
      <c r="M475" s="47" t="n">
        <v/>
      </c>
      <c r="N475" s="47" t="n">
        <v/>
      </c>
      <c r="O475" s="47" t="n">
        <v/>
      </c>
      <c r="P475" s="88" t="n"/>
    </row>
    <row r="476" customFormat="1" s="2">
      <c r="A476" s="6" t="n"/>
      <c r="B476" s="4" t="n"/>
      <c r="C476" s="4" t="inlineStr">
        <is>
          <t>Wash Basin</t>
        </is>
      </c>
      <c r="D476" s="7" t="inlineStr">
        <is>
          <t>Nos</t>
        </is>
      </c>
      <c r="E476" s="17" t="n"/>
      <c r="F476" s="20" t="n">
        <v>1</v>
      </c>
      <c r="G476" s="47" t="n"/>
      <c r="H476" s="47" t="n"/>
      <c r="I476" s="47" t="n"/>
      <c r="J476" s="47">
        <f>PRODUCT(E476:I476)</f>
        <v/>
      </c>
      <c r="K476" s="20" t="n">
        <v>1</v>
      </c>
      <c r="L476" s="47" t="n">
        <v/>
      </c>
      <c r="M476" s="47" t="n">
        <v/>
      </c>
      <c r="N476" s="47" t="n">
        <v/>
      </c>
      <c r="O476" s="47" t="n">
        <v/>
      </c>
      <c r="P476" s="88" t="n"/>
    </row>
    <row r="477" customFormat="1" s="2">
      <c r="A477" s="6" t="n"/>
      <c r="B477" s="4" t="n"/>
      <c r="C477" s="4" t="n"/>
      <c r="D477" s="7" t="n"/>
      <c r="E477" s="17" t="n"/>
      <c r="F477" s="20" t="n"/>
      <c r="G477" s="47" t="n"/>
      <c r="H477" s="47" t="n"/>
      <c r="I477" s="47" t="n"/>
      <c r="J477" s="47">
        <f>PRODUCT(E477:I477)</f>
        <v/>
      </c>
      <c r="K477" s="20" t="n">
        <v/>
      </c>
      <c r="L477" s="47" t="n">
        <v/>
      </c>
      <c r="M477" s="47" t="n">
        <v/>
      </c>
      <c r="N477" s="47" t="n">
        <v/>
      </c>
      <c r="O477" s="47" t="n">
        <v/>
      </c>
      <c r="P477" s="88" t="n"/>
    </row>
    <row r="478" customFormat="1" s="2">
      <c r="A478" s="112" t="n"/>
      <c r="B478" s="112" t="n"/>
      <c r="C478" s="112" t="inlineStr">
        <is>
          <t>Total Qty</t>
        </is>
      </c>
      <c r="D478" s="120" t="n"/>
      <c r="E478" s="121" t="n"/>
      <c r="F478" s="123" t="n"/>
      <c r="G478" s="123" t="n"/>
      <c r="H478" s="123" t="n"/>
      <c r="I478" s="123" t="n"/>
      <c r="J478" s="123">
        <f>SUM(J473:J477)</f>
        <v/>
      </c>
      <c r="K478" s="123" t="n">
        <v/>
      </c>
      <c r="L478" s="123" t="n">
        <v/>
      </c>
      <c r="M478" s="123" t="n">
        <v/>
      </c>
      <c r="N478" s="123" t="n">
        <v/>
      </c>
      <c r="O478" s="123" t="n">
        <v/>
      </c>
      <c r="P478" s="88" t="n"/>
    </row>
    <row r="479" customFormat="1" s="2">
      <c r="A479" s="6" t="n"/>
      <c r="B479" s="4" t="n"/>
      <c r="C479" s="4" t="n"/>
      <c r="D479" s="7" t="n"/>
      <c r="E479" s="17" t="n"/>
      <c r="F479" s="20" t="n"/>
      <c r="G479" s="47" t="n"/>
      <c r="H479" s="47" t="n"/>
      <c r="I479" s="47" t="n"/>
      <c r="J479" s="47" t="n"/>
      <c r="K479" s="20" t="n">
        <v/>
      </c>
      <c r="L479" s="47" t="n">
        <v/>
      </c>
      <c r="M479" s="47" t="n">
        <v/>
      </c>
      <c r="N479" s="47" t="n">
        <v/>
      </c>
      <c r="O479" s="47" t="n">
        <v/>
      </c>
      <c r="P479" s="88" t="n"/>
    </row>
    <row r="480" ht="96.59999999999999" customFormat="1" customHeight="1" s="2">
      <c r="A480" s="6">
        <f>A472+1</f>
        <v/>
      </c>
      <c r="B480" s="4" t="inlineStr">
        <is>
          <t>POP Punning on wall</t>
        </is>
      </c>
      <c r="C480" s="4"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D480" s="7" t="inlineStr">
        <is>
          <t>Sft</t>
        </is>
      </c>
      <c r="E480" s="17" t="n">
        <v>2120</v>
      </c>
      <c r="F480" s="20" t="n"/>
      <c r="G480" s="47" t="n"/>
      <c r="H480" s="47" t="n"/>
      <c r="I480" s="47" t="n"/>
      <c r="J480" s="47" t="n"/>
      <c r="K480" s="20" t="n">
        <v/>
      </c>
      <c r="L480" s="47" t="n">
        <v/>
      </c>
      <c r="M480" s="47" t="n">
        <v/>
      </c>
      <c r="N480" s="47" t="n">
        <v/>
      </c>
      <c r="O480" s="47" t="n">
        <v/>
      </c>
      <c r="P480" s="88" t="n"/>
    </row>
    <row r="481" customFormat="1" s="2">
      <c r="A481" s="6" t="n"/>
      <c r="B481" s="4" t="n"/>
      <c r="C481" s="14" t="inlineStr">
        <is>
          <t>ATM Area</t>
        </is>
      </c>
      <c r="D481" s="7" t="n"/>
      <c r="E481" s="17" t="n"/>
      <c r="F481" s="20" t="n"/>
      <c r="G481" s="47" t="n"/>
      <c r="H481" s="47" t="n"/>
      <c r="I481" s="47" t="n"/>
      <c r="J481" s="47">
        <f>PRODUCT(E481:I481)</f>
        <v/>
      </c>
      <c r="K481" s="20" t="n">
        <v/>
      </c>
      <c r="L481" s="47" t="n">
        <v/>
      </c>
      <c r="M481" s="47" t="n">
        <v/>
      </c>
      <c r="N481" s="47" t="n">
        <v/>
      </c>
      <c r="O481" s="47" t="n">
        <v/>
      </c>
      <c r="P481" s="88" t="n"/>
    </row>
    <row r="482" customFormat="1" s="2">
      <c r="A482" s="6" t="n"/>
      <c r="B482" s="4" t="n"/>
      <c r="C482" s="4" t="inlineStr">
        <is>
          <t>Front Side Wall</t>
        </is>
      </c>
      <c r="D482" s="7" t="inlineStr">
        <is>
          <t>Sq.ft</t>
        </is>
      </c>
      <c r="E482" s="17" t="n"/>
      <c r="F482" s="20" t="n">
        <v>1</v>
      </c>
      <c r="G482" s="47" t="n">
        <v>11.5</v>
      </c>
      <c r="H482" s="47" t="n"/>
      <c r="I482" s="47" t="n">
        <v>10</v>
      </c>
      <c r="J482" s="47">
        <f>PRODUCT(E482:I482)</f>
        <v/>
      </c>
      <c r="K482" s="20" t="n">
        <v>1</v>
      </c>
      <c r="L482" s="47" t="n">
        <v/>
      </c>
      <c r="M482" s="47" t="n">
        <v/>
      </c>
      <c r="N482" s="47" t="n">
        <v/>
      </c>
      <c r="O482" s="47" t="n">
        <v/>
      </c>
      <c r="P482" s="88" t="n"/>
    </row>
    <row r="483" customFormat="1" s="2">
      <c r="A483" s="6" t="n"/>
      <c r="B483" s="4" t="n"/>
      <c r="C483" s="4" t="inlineStr">
        <is>
          <t>Right Side Wall</t>
        </is>
      </c>
      <c r="D483" s="7" t="inlineStr">
        <is>
          <t>Sq.ft</t>
        </is>
      </c>
      <c r="E483" s="17" t="n"/>
      <c r="F483" s="20" t="n">
        <v>1</v>
      </c>
      <c r="G483" s="47" t="n">
        <v>7</v>
      </c>
      <c r="H483" s="47" t="n"/>
      <c r="I483" s="47" t="n">
        <v>10</v>
      </c>
      <c r="J483" s="47">
        <f>PRODUCT(E483:I483)</f>
        <v/>
      </c>
      <c r="K483" s="20" t="n">
        <v>1</v>
      </c>
      <c r="L483" s="47" t="n">
        <v/>
      </c>
      <c r="M483" s="47" t="n">
        <v/>
      </c>
      <c r="N483" s="47" t="n">
        <v/>
      </c>
      <c r="O483" s="47" t="n">
        <v/>
      </c>
      <c r="P483" s="88" t="n"/>
    </row>
    <row r="484" customFormat="1" s="2">
      <c r="A484" s="6" t="n"/>
      <c r="B484" s="4" t="n"/>
      <c r="C484" s="14" t="inlineStr">
        <is>
          <t>Strong Room</t>
        </is>
      </c>
      <c r="D484" s="7" t="n"/>
      <c r="E484" s="17" t="n"/>
      <c r="F484" s="20" t="n"/>
      <c r="G484" s="47" t="n"/>
      <c r="H484" s="47" t="n"/>
      <c r="I484" s="47" t="n"/>
      <c r="J484" s="47">
        <f>PRODUCT(E484:I484)</f>
        <v/>
      </c>
      <c r="K484" s="20" t="n">
        <v/>
      </c>
      <c r="L484" s="47" t="n">
        <v/>
      </c>
      <c r="M484" s="47" t="n">
        <v/>
      </c>
      <c r="N484" s="47" t="n">
        <v/>
      </c>
      <c r="O484" s="47" t="n">
        <v/>
      </c>
      <c r="P484" s="88" t="n"/>
    </row>
    <row r="485" customFormat="1" s="2">
      <c r="A485" s="6" t="n"/>
      <c r="B485" s="4" t="n"/>
      <c r="C485" s="4" t="inlineStr">
        <is>
          <t>Front &amp; Back Side Wall</t>
        </is>
      </c>
      <c r="D485" s="7" t="inlineStr">
        <is>
          <t>Sq.ft</t>
        </is>
      </c>
      <c r="E485" s="17" t="n"/>
      <c r="F485" s="20" t="n">
        <v>2</v>
      </c>
      <c r="G485" s="47">
        <f>5.8+0.25+7.64</f>
        <v/>
      </c>
      <c r="H485" s="47" t="n"/>
      <c r="I485" s="47" t="n">
        <v>9.5</v>
      </c>
      <c r="J485" s="47">
        <f>PRODUCT(E485:I485)</f>
        <v/>
      </c>
      <c r="K485" s="20" t="n">
        <v>2</v>
      </c>
      <c r="L485" s="47" t="n">
        <v/>
      </c>
      <c r="M485" s="47" t="n">
        <v/>
      </c>
      <c r="N485" s="47" t="n">
        <v/>
      </c>
      <c r="O485" s="47" t="n">
        <v/>
      </c>
      <c r="P485" s="88" t="n"/>
    </row>
    <row r="486" customFormat="1" s="2">
      <c r="A486" s="6" t="n"/>
      <c r="B486" s="4" t="n"/>
      <c r="C486" s="4" t="inlineStr">
        <is>
          <t>Left &amp; Right Side Wall</t>
        </is>
      </c>
      <c r="D486" s="7" t="inlineStr">
        <is>
          <t>Sq.ft</t>
        </is>
      </c>
      <c r="E486" s="17" t="n"/>
      <c r="F486" s="20" t="n">
        <v>2</v>
      </c>
      <c r="G486" s="47" t="n">
        <v>11.58</v>
      </c>
      <c r="H486" s="47" t="n"/>
      <c r="I486" s="47" t="n">
        <v>9.5</v>
      </c>
      <c r="J486" s="47">
        <f>PRODUCT(E486:I486)</f>
        <v/>
      </c>
      <c r="K486" s="20" t="n">
        <v>2</v>
      </c>
      <c r="L486" s="47" t="n">
        <v/>
      </c>
      <c r="M486" s="47" t="n">
        <v/>
      </c>
      <c r="N486" s="47" t="n">
        <v/>
      </c>
      <c r="O486" s="47" t="n">
        <v/>
      </c>
      <c r="P486" s="88" t="n"/>
    </row>
    <row r="487" customFormat="1" s="2">
      <c r="A487" s="6" t="n"/>
      <c r="B487" s="4" t="n"/>
      <c r="C487" s="4" t="inlineStr">
        <is>
          <t>Door Area Less ( - )</t>
        </is>
      </c>
      <c r="D487" s="7" t="inlineStr">
        <is>
          <t>Sq.ft</t>
        </is>
      </c>
      <c r="E487" s="17" t="n"/>
      <c r="F487" s="20" t="n">
        <v>-1</v>
      </c>
      <c r="G487" s="47" t="n">
        <v>3.5</v>
      </c>
      <c r="H487" s="47" t="n"/>
      <c r="I487" s="47" t="n">
        <v>6.5</v>
      </c>
      <c r="J487" s="47">
        <f>PRODUCT(E487:I487)</f>
        <v/>
      </c>
      <c r="K487" s="20" t="n">
        <v>-1</v>
      </c>
      <c r="L487" s="47" t="n">
        <v/>
      </c>
      <c r="M487" s="47" t="n">
        <v/>
      </c>
      <c r="N487" s="47" t="n">
        <v/>
      </c>
      <c r="O487" s="47" t="n">
        <v/>
      </c>
      <c r="P487" s="88" t="n"/>
    </row>
    <row r="488" customFormat="1" s="2">
      <c r="A488" s="6" t="n"/>
      <c r="B488" s="4" t="n"/>
      <c r="C488" s="14" t="inlineStr">
        <is>
          <t>Back Office Area</t>
        </is>
      </c>
      <c r="D488" s="7" t="n"/>
      <c r="E488" s="17" t="n"/>
      <c r="F488" s="20" t="n"/>
      <c r="G488" s="47" t="n"/>
      <c r="H488" s="47" t="n"/>
      <c r="I488" s="47" t="n"/>
      <c r="J488" s="47">
        <f>PRODUCT(E488:I488)</f>
        <v/>
      </c>
      <c r="K488" s="20" t="n">
        <v/>
      </c>
      <c r="L488" s="47" t="n">
        <v/>
      </c>
      <c r="M488" s="47" t="n">
        <v/>
      </c>
      <c r="N488" s="47" t="n">
        <v/>
      </c>
      <c r="O488" s="47" t="n">
        <v/>
      </c>
      <c r="P488" s="88" t="n"/>
    </row>
    <row r="489" customFormat="1" s="2">
      <c r="A489" s="6" t="n"/>
      <c r="B489" s="4" t="n"/>
      <c r="C489" s="4" t="inlineStr">
        <is>
          <t>Front Side Wall</t>
        </is>
      </c>
      <c r="D489" s="7" t="inlineStr">
        <is>
          <t>Sq.ft</t>
        </is>
      </c>
      <c r="E489" s="17" t="n"/>
      <c r="F489" s="20" t="n">
        <v>1</v>
      </c>
      <c r="G489" s="47" t="n">
        <v>14.95</v>
      </c>
      <c r="H489" s="47" t="n"/>
      <c r="I489" s="47">
        <f>4.04+0.5</f>
        <v/>
      </c>
      <c r="J489" s="47">
        <f>PRODUCT(E489:I489)</f>
        <v/>
      </c>
      <c r="K489" s="20" t="n">
        <v>1</v>
      </c>
      <c r="L489" s="47" t="n">
        <v/>
      </c>
      <c r="M489" s="47" t="n">
        <v/>
      </c>
      <c r="N489" s="47" t="n">
        <v/>
      </c>
      <c r="O489" s="47" t="n">
        <v/>
      </c>
      <c r="P489" s="88" t="n"/>
    </row>
    <row r="490" customFormat="1" s="2">
      <c r="A490" s="6" t="n"/>
      <c r="B490" s="4" t="n"/>
      <c r="C490" s="4" t="inlineStr">
        <is>
          <t>Continue Wall</t>
        </is>
      </c>
      <c r="D490" s="7" t="inlineStr">
        <is>
          <t>Sq.ft</t>
        </is>
      </c>
      <c r="E490" s="17" t="n"/>
      <c r="F490" s="20" t="n">
        <v>1</v>
      </c>
      <c r="G490" s="47" t="n">
        <v>5</v>
      </c>
      <c r="H490" s="47" t="n"/>
      <c r="I490" s="47">
        <f>4.04+0.5</f>
        <v/>
      </c>
      <c r="J490" s="47">
        <f>PRODUCT(E490:I490)</f>
        <v/>
      </c>
      <c r="K490" s="20" t="n">
        <v>1</v>
      </c>
      <c r="L490" s="47" t="n">
        <v/>
      </c>
      <c r="M490" s="47" t="n">
        <v/>
      </c>
      <c r="N490" s="47" t="n">
        <v/>
      </c>
      <c r="O490" s="47" t="n">
        <v/>
      </c>
      <c r="P490" s="88" t="n"/>
    </row>
    <row r="491" customFormat="1" s="2">
      <c r="A491" s="6" t="n"/>
      <c r="B491" s="4" t="n"/>
      <c r="C491" s="4" t="inlineStr">
        <is>
          <t>Column Area</t>
        </is>
      </c>
      <c r="D491" s="7" t="inlineStr">
        <is>
          <t>Sq.ft</t>
        </is>
      </c>
      <c r="E491" s="17" t="n"/>
      <c r="F491" s="20" t="n">
        <v>1</v>
      </c>
      <c r="G491" s="47" t="n">
        <v>3</v>
      </c>
      <c r="H491" s="47" t="n"/>
      <c r="I491" s="47">
        <f>4.04+0.5</f>
        <v/>
      </c>
      <c r="J491" s="47">
        <f>PRODUCT(E491:I491)</f>
        <v/>
      </c>
      <c r="K491" s="20" t="n">
        <v>1</v>
      </c>
      <c r="L491" s="47" t="n">
        <v/>
      </c>
      <c r="M491" s="47" t="n">
        <v/>
      </c>
      <c r="N491" s="47" t="n">
        <v/>
      </c>
      <c r="O491" s="47" t="n">
        <v/>
      </c>
      <c r="P491" s="88" t="n"/>
    </row>
    <row r="492" customFormat="1" s="2">
      <c r="A492" s="6" t="n"/>
      <c r="B492" s="4" t="n"/>
      <c r="C492" s="4" t="inlineStr">
        <is>
          <t>Column Area</t>
        </is>
      </c>
      <c r="D492" s="7" t="inlineStr">
        <is>
          <t>Sq.ft</t>
        </is>
      </c>
      <c r="E492" s="17" t="n"/>
      <c r="F492" s="20" t="n">
        <v>1</v>
      </c>
      <c r="G492" s="47" t="n">
        <v>1</v>
      </c>
      <c r="H492" s="47" t="n"/>
      <c r="I492" s="47">
        <f>4.04+0.5</f>
        <v/>
      </c>
      <c r="J492" s="47">
        <f>PRODUCT(E492:I492)</f>
        <v/>
      </c>
      <c r="K492" s="20" t="n">
        <v>1</v>
      </c>
      <c r="L492" s="47" t="n">
        <v/>
      </c>
      <c r="M492" s="47" t="n">
        <v/>
      </c>
      <c r="N492" s="47" t="n">
        <v/>
      </c>
      <c r="O492" s="47" t="n">
        <v/>
      </c>
      <c r="P492" s="88" t="n"/>
    </row>
    <row r="493" customFormat="1" s="2">
      <c r="A493" s="6" t="n"/>
      <c r="B493" s="4" t="n"/>
      <c r="C493" s="4" t="inlineStr">
        <is>
          <t>Column Area</t>
        </is>
      </c>
      <c r="D493" s="7" t="inlineStr">
        <is>
          <t>Sq.ft</t>
        </is>
      </c>
      <c r="E493" s="17" t="n"/>
      <c r="F493" s="20" t="n">
        <v>1</v>
      </c>
      <c r="G493" s="47" t="n">
        <v>4.33</v>
      </c>
      <c r="H493" s="47" t="n"/>
      <c r="I493" s="47">
        <f>4.04+0.5</f>
        <v/>
      </c>
      <c r="J493" s="47">
        <f>PRODUCT(E493:I493)</f>
        <v/>
      </c>
      <c r="K493" s="20" t="n">
        <v>1</v>
      </c>
      <c r="L493" s="47" t="n">
        <v/>
      </c>
      <c r="M493" s="47" t="n">
        <v/>
      </c>
      <c r="N493" s="47" t="n">
        <v/>
      </c>
      <c r="O493" s="47" t="n">
        <v/>
      </c>
      <c r="P493" s="88" t="n"/>
    </row>
    <row r="494" customFormat="1" s="2">
      <c r="A494" s="6" t="n"/>
      <c r="B494" s="4" t="n"/>
      <c r="C494" s="4" t="inlineStr">
        <is>
          <t>Wall Area</t>
        </is>
      </c>
      <c r="D494" s="7" t="inlineStr">
        <is>
          <t>Sq.ft</t>
        </is>
      </c>
      <c r="E494" s="17" t="n"/>
      <c r="F494" s="20" t="n">
        <v>1</v>
      </c>
      <c r="G494" s="47" t="n">
        <v>3.69</v>
      </c>
      <c r="H494" s="47" t="n"/>
      <c r="I494" s="47">
        <f>4.04+0.5</f>
        <v/>
      </c>
      <c r="J494" s="47">
        <f>PRODUCT(E494:I494)</f>
        <v/>
      </c>
      <c r="K494" s="20" t="n">
        <v>1</v>
      </c>
      <c r="L494" s="47" t="n">
        <v/>
      </c>
      <c r="M494" s="47" t="n">
        <v/>
      </c>
      <c r="N494" s="47" t="n">
        <v/>
      </c>
      <c r="O494" s="47" t="n">
        <v/>
      </c>
      <c r="P494" s="88" t="n"/>
    </row>
    <row r="495" customFormat="1" s="2">
      <c r="A495" s="6" t="n"/>
      <c r="B495" s="4" t="n"/>
      <c r="C495" s="4" t="inlineStr">
        <is>
          <t xml:space="preserve">Vertical </t>
        </is>
      </c>
      <c r="D495" s="7" t="inlineStr">
        <is>
          <t>Sq.ft</t>
        </is>
      </c>
      <c r="E495" s="17" t="n"/>
      <c r="F495" s="20" t="n">
        <v>1</v>
      </c>
      <c r="G495" s="47">
        <f>4.5/12</f>
        <v/>
      </c>
      <c r="H495" s="47" t="n"/>
      <c r="I495" s="47" t="n">
        <v>8.5</v>
      </c>
      <c r="J495" s="47">
        <f>PRODUCT(E495:I495)</f>
        <v/>
      </c>
      <c r="K495" s="20" t="n">
        <v>1</v>
      </c>
      <c r="L495" s="47" t="n">
        <v/>
      </c>
      <c r="M495" s="47" t="n">
        <v/>
      </c>
      <c r="N495" s="47" t="n">
        <v/>
      </c>
      <c r="O495" s="47" t="n">
        <v/>
      </c>
      <c r="P495" s="88" t="n"/>
    </row>
    <row r="496" customFormat="1" s="2">
      <c r="A496" s="6" t="n"/>
      <c r="B496" s="4" t="n"/>
      <c r="C496" s="4" t="inlineStr">
        <is>
          <t>Horzontal</t>
        </is>
      </c>
      <c r="D496" s="7" t="inlineStr">
        <is>
          <t>Sq.ft</t>
        </is>
      </c>
      <c r="E496" s="17" t="n"/>
      <c r="F496" s="20" t="n">
        <v>1</v>
      </c>
      <c r="G496" s="47" t="n">
        <v>3.69</v>
      </c>
      <c r="H496" s="47">
        <f>4.5/12</f>
        <v/>
      </c>
      <c r="I496" s="47" t="n"/>
      <c r="J496" s="47">
        <f>PRODUCT(E496:I496)</f>
        <v/>
      </c>
      <c r="K496" s="20" t="n">
        <v>1</v>
      </c>
      <c r="L496" s="47" t="n">
        <v/>
      </c>
      <c r="M496" s="47" t="n">
        <v/>
      </c>
      <c r="N496" s="47" t="n">
        <v/>
      </c>
      <c r="O496" s="47" t="n">
        <v/>
      </c>
      <c r="P496" s="88" t="n"/>
    </row>
    <row r="497" customFormat="1" s="2">
      <c r="A497" s="6" t="n"/>
      <c r="B497" s="4" t="n"/>
      <c r="C497" s="4" t="inlineStr">
        <is>
          <t>Horzontal</t>
        </is>
      </c>
      <c r="D497" s="7" t="inlineStr">
        <is>
          <t>Sq.ft</t>
        </is>
      </c>
      <c r="E497" s="17" t="n"/>
      <c r="F497" s="20" t="n">
        <v>1</v>
      </c>
      <c r="G497" s="47" t="n">
        <v>2.13</v>
      </c>
      <c r="H497" s="47">
        <f>4.5/12</f>
        <v/>
      </c>
      <c r="I497" s="47" t="n"/>
      <c r="J497" s="47">
        <f>PRODUCT(E497:I497)</f>
        <v/>
      </c>
      <c r="K497" s="20" t="n">
        <v>1</v>
      </c>
      <c r="L497" s="47" t="n">
        <v/>
      </c>
      <c r="M497" s="47" t="n">
        <v/>
      </c>
      <c r="N497" s="47" t="n">
        <v/>
      </c>
      <c r="O497" s="47" t="n">
        <v/>
      </c>
      <c r="P497" s="88" t="n"/>
    </row>
    <row r="498" customFormat="1" s="2">
      <c r="A498" s="6" t="n"/>
      <c r="B498" s="4" t="n"/>
      <c r="C498" s="4" t="inlineStr">
        <is>
          <t xml:space="preserve">Vertical </t>
        </is>
      </c>
      <c r="D498" s="7" t="inlineStr">
        <is>
          <t>Sq.ft</t>
        </is>
      </c>
      <c r="E498" s="17" t="n"/>
      <c r="F498" s="20" t="n">
        <v>1</v>
      </c>
      <c r="G498" s="47" t="n">
        <v>7.84</v>
      </c>
      <c r="H498" s="47" t="n"/>
      <c r="I498" s="47" t="n">
        <v>0.5</v>
      </c>
      <c r="J498" s="47">
        <f>PRODUCT(E498:I498)</f>
        <v/>
      </c>
      <c r="K498" s="20" t="n">
        <v>1</v>
      </c>
      <c r="L498" s="47" t="n">
        <v/>
      </c>
      <c r="M498" s="47" t="n">
        <v/>
      </c>
      <c r="N498" s="47" t="n">
        <v/>
      </c>
      <c r="O498" s="47" t="n">
        <v/>
      </c>
      <c r="P498" s="88" t="n"/>
    </row>
    <row r="499" customFormat="1" s="2">
      <c r="A499" s="6" t="n"/>
      <c r="B499" s="4" t="n"/>
      <c r="C499" s="4" t="inlineStr">
        <is>
          <t>Bottom</t>
        </is>
      </c>
      <c r="D499" s="7" t="inlineStr">
        <is>
          <t>Sq.ft</t>
        </is>
      </c>
      <c r="E499" s="17" t="n"/>
      <c r="F499" s="20" t="n">
        <v>1</v>
      </c>
      <c r="G499" s="47" t="n">
        <v>1.58</v>
      </c>
      <c r="H499" s="47" t="n"/>
      <c r="I499" s="47" t="n">
        <v>0.58</v>
      </c>
      <c r="J499" s="47">
        <f>PRODUCT(E499:I499)</f>
        <v/>
      </c>
      <c r="K499" s="20" t="n">
        <v>1</v>
      </c>
      <c r="L499" s="47" t="n">
        <v/>
      </c>
      <c r="M499" s="47" t="n">
        <v/>
      </c>
      <c r="N499" s="47" t="n">
        <v/>
      </c>
      <c r="O499" s="47" t="n">
        <v/>
      </c>
      <c r="P499" s="88" t="n"/>
    </row>
    <row r="500" customFormat="1" s="2">
      <c r="A500" s="6" t="n"/>
      <c r="B500" s="4" t="n"/>
      <c r="C500" s="4" t="inlineStr">
        <is>
          <t>Wall Area</t>
        </is>
      </c>
      <c r="D500" s="7" t="inlineStr">
        <is>
          <t>Sq.ft</t>
        </is>
      </c>
      <c r="E500" s="17" t="n"/>
      <c r="F500" s="20" t="n">
        <v>1</v>
      </c>
      <c r="G500" s="34" t="n">
        <v>3.14</v>
      </c>
      <c r="H500" s="47" t="n"/>
      <c r="I500" s="47" t="n">
        <v>8.5</v>
      </c>
      <c r="J500" s="47">
        <f>PRODUCT(E500:I500)</f>
        <v/>
      </c>
      <c r="K500" s="20" t="n">
        <v>1</v>
      </c>
      <c r="L500" s="34" t="n">
        <v/>
      </c>
      <c r="M500" s="47" t="n">
        <v/>
      </c>
      <c r="N500" s="47" t="n">
        <v/>
      </c>
      <c r="O500" s="47" t="n">
        <v/>
      </c>
      <c r="P500" s="88" t="n"/>
    </row>
    <row r="501" customFormat="1" s="2">
      <c r="A501" s="6" t="n"/>
      <c r="B501" s="4" t="n"/>
      <c r="C501" s="14" t="inlineStr">
        <is>
          <t>Store Room</t>
        </is>
      </c>
      <c r="D501" s="7" t="n"/>
      <c r="E501" s="17" t="n"/>
      <c r="F501" s="20" t="n"/>
      <c r="G501" s="47" t="n"/>
      <c r="H501" s="47" t="n"/>
      <c r="I501" s="47" t="n"/>
      <c r="J501" s="47">
        <f>PRODUCT(E501:I501)</f>
        <v/>
      </c>
      <c r="K501" s="20" t="n">
        <v/>
      </c>
      <c r="L501" s="47" t="n">
        <v/>
      </c>
      <c r="M501" s="47" t="n">
        <v/>
      </c>
      <c r="N501" s="47" t="n">
        <v/>
      </c>
      <c r="O501" s="47" t="n">
        <v/>
      </c>
      <c r="P501" s="88" t="n"/>
    </row>
    <row r="502" customFormat="1" s="2">
      <c r="A502" s="6" t="n"/>
      <c r="B502" s="4" t="n"/>
      <c r="C502" s="4" t="inlineStr">
        <is>
          <t>Front Side Wall</t>
        </is>
      </c>
      <c r="D502" s="7" t="inlineStr">
        <is>
          <t>Sq.ft</t>
        </is>
      </c>
      <c r="E502" s="17" t="n"/>
      <c r="F502" s="20" t="n">
        <v>1</v>
      </c>
      <c r="G502" s="47" t="n">
        <v>5.25</v>
      </c>
      <c r="H502" s="47" t="n"/>
      <c r="I502" s="47" t="n">
        <v>8.5</v>
      </c>
      <c r="J502" s="47">
        <f>PRODUCT(E502:I502)</f>
        <v/>
      </c>
      <c r="K502" s="20" t="n">
        <v>1</v>
      </c>
      <c r="L502" s="47" t="n">
        <v/>
      </c>
      <c r="M502" s="47" t="n">
        <v/>
      </c>
      <c r="N502" s="47" t="n">
        <v/>
      </c>
      <c r="O502" s="47" t="n">
        <v/>
      </c>
      <c r="P502" s="88" t="n"/>
    </row>
    <row r="503" customFormat="1" s="2">
      <c r="A503" s="6" t="n"/>
      <c r="B503" s="4" t="n"/>
      <c r="C503" s="14" t="inlineStr">
        <is>
          <t>JL Cabin</t>
        </is>
      </c>
      <c r="D503" s="7" t="n"/>
      <c r="E503" s="17" t="n"/>
      <c r="F503" s="20" t="n"/>
      <c r="G503" s="47" t="n"/>
      <c r="H503" s="47" t="n"/>
      <c r="I503" s="47" t="n"/>
      <c r="J503" s="47">
        <f>PRODUCT(E503:I503)</f>
        <v/>
      </c>
      <c r="K503" s="20" t="n">
        <v/>
      </c>
      <c r="L503" s="47" t="n">
        <v/>
      </c>
      <c r="M503" s="47" t="n">
        <v/>
      </c>
      <c r="N503" s="47" t="n">
        <v/>
      </c>
      <c r="O503" s="47" t="n">
        <v/>
      </c>
      <c r="P503" s="88" t="n"/>
    </row>
    <row r="504" customFormat="1" s="2">
      <c r="A504" s="6" t="n"/>
      <c r="B504" s="4" t="n"/>
      <c r="C504" s="4" t="inlineStr">
        <is>
          <t>Front Side Wall</t>
        </is>
      </c>
      <c r="D504" s="7" t="inlineStr">
        <is>
          <t>Sq.ft</t>
        </is>
      </c>
      <c r="E504" s="17" t="n"/>
      <c r="F504" s="20" t="n">
        <v>1</v>
      </c>
      <c r="G504" s="47" t="n">
        <v>6.83</v>
      </c>
      <c r="H504" s="47" t="n"/>
      <c r="I504" s="47" t="n">
        <v>4.54</v>
      </c>
      <c r="J504" s="47">
        <f>PRODUCT(E504:I504)</f>
        <v/>
      </c>
      <c r="K504" s="20" t="n">
        <v>1</v>
      </c>
      <c r="L504" s="47" t="n">
        <v/>
      </c>
      <c r="M504" s="47" t="n">
        <v/>
      </c>
      <c r="N504" s="47" t="n">
        <v/>
      </c>
      <c r="O504" s="47" t="n">
        <v/>
      </c>
      <c r="P504" s="88" t="n"/>
    </row>
    <row r="505" customFormat="1" s="2">
      <c r="A505" s="6" t="n"/>
      <c r="B505" s="4" t="n"/>
      <c r="C505" s="4" t="inlineStr">
        <is>
          <t>Left Side Wall</t>
        </is>
      </c>
      <c r="D505" s="7" t="inlineStr">
        <is>
          <t>Sq.ft</t>
        </is>
      </c>
      <c r="E505" s="17" t="n"/>
      <c r="F505" s="20" t="n">
        <v>1</v>
      </c>
      <c r="G505" s="47" t="n">
        <v>3.33</v>
      </c>
      <c r="H505" s="47" t="n"/>
      <c r="I505" s="47" t="n">
        <v>4.54</v>
      </c>
      <c r="J505" s="47">
        <f>PRODUCT(E505:I505)</f>
        <v/>
      </c>
      <c r="K505" s="20" t="n">
        <v>1</v>
      </c>
      <c r="L505" s="47" t="n">
        <v/>
      </c>
      <c r="M505" s="47" t="n">
        <v/>
      </c>
      <c r="N505" s="47" t="n">
        <v/>
      </c>
      <c r="O505" s="47" t="n">
        <v/>
      </c>
      <c r="P505" s="88" t="n"/>
    </row>
    <row r="506" customFormat="1" s="2">
      <c r="A506" s="6" t="n"/>
      <c r="B506" s="4" t="n"/>
      <c r="C506" s="14" t="inlineStr">
        <is>
          <t>ATM Area - Loft</t>
        </is>
      </c>
      <c r="D506" s="7" t="n"/>
      <c r="E506" s="17" t="n"/>
      <c r="F506" s="20" t="n"/>
      <c r="G506" s="47" t="n"/>
      <c r="H506" s="47" t="n"/>
      <c r="I506" s="47" t="n"/>
      <c r="J506" s="47">
        <f>PRODUCT(E506:I506)</f>
        <v/>
      </c>
      <c r="K506" s="20" t="n">
        <v/>
      </c>
      <c r="L506" s="47" t="n">
        <v/>
      </c>
      <c r="M506" s="47" t="n">
        <v/>
      </c>
      <c r="N506" s="47" t="n">
        <v/>
      </c>
      <c r="O506" s="47" t="n">
        <v/>
      </c>
      <c r="P506" s="88" t="n"/>
    </row>
    <row r="507" customFormat="1" s="2">
      <c r="A507" s="6" t="n"/>
      <c r="B507" s="4" t="n"/>
      <c r="C507" s="4" t="inlineStr">
        <is>
          <t>Left &amp; Right Side Wall</t>
        </is>
      </c>
      <c r="D507" s="7" t="inlineStr">
        <is>
          <t>Sq.ft</t>
        </is>
      </c>
      <c r="E507" s="17" t="n"/>
      <c r="F507" s="20" t="n">
        <v>2</v>
      </c>
      <c r="G507" s="47" t="n">
        <v>6.73</v>
      </c>
      <c r="H507" s="47" t="n"/>
      <c r="I507" s="47" t="n">
        <v>8.5</v>
      </c>
      <c r="J507" s="47">
        <f>PRODUCT(E507:I507)</f>
        <v/>
      </c>
      <c r="K507" s="20" t="n">
        <v>2</v>
      </c>
      <c r="L507" s="47" t="n">
        <v/>
      </c>
      <c r="M507" s="47" t="n">
        <v/>
      </c>
      <c r="N507" s="47" t="n">
        <v/>
      </c>
      <c r="O507" s="47" t="n">
        <v/>
      </c>
      <c r="P507" s="88" t="n"/>
    </row>
    <row r="508" customFormat="1" s="2">
      <c r="A508" s="6" t="n"/>
      <c r="B508" s="4" t="n"/>
      <c r="C508" s="4" t="inlineStr">
        <is>
          <t>Add vertical</t>
        </is>
      </c>
      <c r="D508" s="7" t="inlineStr">
        <is>
          <t>Sq.ft</t>
        </is>
      </c>
      <c r="E508" s="17" t="n"/>
      <c r="F508" s="20" t="n">
        <v>2</v>
      </c>
      <c r="G508" s="47" t="n">
        <v>0.5</v>
      </c>
      <c r="H508" s="47" t="n"/>
      <c r="I508" s="47" t="n">
        <v>8.5</v>
      </c>
      <c r="J508" s="47">
        <f>PRODUCT(E508:I508)</f>
        <v/>
      </c>
      <c r="K508" s="20" t="n">
        <v>2</v>
      </c>
      <c r="L508" s="47" t="n">
        <v/>
      </c>
      <c r="M508" s="47" t="n">
        <v/>
      </c>
      <c r="N508" s="47" t="n">
        <v/>
      </c>
      <c r="O508" s="47" t="n">
        <v/>
      </c>
      <c r="P508" s="88" t="n"/>
    </row>
    <row r="509" customFormat="1" s="2">
      <c r="A509" s="6" t="n"/>
      <c r="B509" s="4" t="n"/>
      <c r="C509" s="14" t="inlineStr">
        <is>
          <t>Outer Side for Toilet</t>
        </is>
      </c>
      <c r="D509" s="7" t="n"/>
      <c r="E509" s="17" t="n"/>
      <c r="F509" s="20" t="n"/>
      <c r="G509" s="47" t="n"/>
      <c r="H509" s="47" t="n"/>
      <c r="I509" s="47" t="n"/>
      <c r="J509" s="47" t="n"/>
      <c r="K509" s="20" t="n">
        <v/>
      </c>
      <c r="L509" s="47" t="n">
        <v/>
      </c>
      <c r="M509" s="47" t="n">
        <v/>
      </c>
      <c r="N509" s="47" t="n">
        <v/>
      </c>
      <c r="O509" s="47" t="n">
        <v/>
      </c>
      <c r="P509" s="88" t="n"/>
    </row>
    <row r="510" customFormat="1" s="2">
      <c r="A510" s="6" t="n"/>
      <c r="B510" s="4" t="n"/>
      <c r="C510" s="4" t="inlineStr">
        <is>
          <t>Column Area</t>
        </is>
      </c>
      <c r="D510" s="7" t="inlineStr">
        <is>
          <t>Sq.ft</t>
        </is>
      </c>
      <c r="E510" s="17" t="n"/>
      <c r="F510" s="20" t="n">
        <v>1</v>
      </c>
      <c r="G510" s="47" t="n">
        <v>1.5</v>
      </c>
      <c r="H510" s="47" t="n"/>
      <c r="I510" s="47">
        <f>4.04+0.5</f>
        <v/>
      </c>
      <c r="J510" s="47">
        <f>PRODUCT(E510:I510)</f>
        <v/>
      </c>
      <c r="K510" s="20" t="n">
        <v>1</v>
      </c>
      <c r="L510" s="47" t="n">
        <v/>
      </c>
      <c r="M510" s="47" t="n">
        <v/>
      </c>
      <c r="N510" s="47" t="n">
        <v/>
      </c>
      <c r="O510" s="47" t="n">
        <v/>
      </c>
      <c r="P510" s="88" t="n"/>
    </row>
    <row r="511" customFormat="1" s="2">
      <c r="A511" s="6" t="n"/>
      <c r="B511" s="4" t="n"/>
      <c r="C511" s="4" t="inlineStr">
        <is>
          <t>Column Area</t>
        </is>
      </c>
      <c r="D511" s="7" t="inlineStr">
        <is>
          <t>Sq.ft</t>
        </is>
      </c>
      <c r="E511" s="17" t="n"/>
      <c r="F511" s="20" t="n">
        <v>1</v>
      </c>
      <c r="G511" s="47" t="n">
        <v>0.92</v>
      </c>
      <c r="H511" s="47" t="n"/>
      <c r="I511" s="47">
        <f>4.04+0.5</f>
        <v/>
      </c>
      <c r="J511" s="47">
        <f>PRODUCT(E511:I511)</f>
        <v/>
      </c>
      <c r="K511" s="20" t="n">
        <v>1</v>
      </c>
      <c r="L511" s="47" t="n">
        <v/>
      </c>
      <c r="M511" s="47" t="n">
        <v/>
      </c>
      <c r="N511" s="47" t="n">
        <v/>
      </c>
      <c r="O511" s="47" t="n">
        <v/>
      </c>
      <c r="P511" s="88" t="n"/>
    </row>
    <row r="512" customFormat="1" s="2">
      <c r="A512" s="6" t="n"/>
      <c r="B512" s="4" t="n"/>
      <c r="C512" s="4" t="inlineStr">
        <is>
          <t>Column Area</t>
        </is>
      </c>
      <c r="D512" s="7" t="inlineStr">
        <is>
          <t>Sq.ft</t>
        </is>
      </c>
      <c r="E512" s="17" t="n"/>
      <c r="F512" s="20" t="n">
        <v>1</v>
      </c>
      <c r="G512" s="47" t="n">
        <v>2.58</v>
      </c>
      <c r="H512" s="47" t="n"/>
      <c r="I512" s="47">
        <f>4.04+0.5</f>
        <v/>
      </c>
      <c r="J512" s="47">
        <f>PRODUCT(E512:I512)</f>
        <v/>
      </c>
      <c r="K512" s="20" t="n">
        <v>1</v>
      </c>
      <c r="L512" s="47" t="n">
        <v/>
      </c>
      <c r="M512" s="47" t="n">
        <v/>
      </c>
      <c r="N512" s="47" t="n">
        <v/>
      </c>
      <c r="O512" s="47" t="n">
        <v/>
      </c>
      <c r="P512" s="88" t="n"/>
    </row>
    <row r="513" customFormat="1" s="2">
      <c r="A513" s="6" t="n"/>
      <c r="B513" s="4" t="n"/>
      <c r="C513" s="4" t="inlineStr">
        <is>
          <t>Wall Area</t>
        </is>
      </c>
      <c r="D513" s="7" t="inlineStr">
        <is>
          <t>Sq.ft</t>
        </is>
      </c>
      <c r="E513" s="17" t="n"/>
      <c r="F513" s="20" t="n">
        <v>1</v>
      </c>
      <c r="G513" s="47" t="n">
        <v>11.18</v>
      </c>
      <c r="H513" s="47" t="n"/>
      <c r="I513" s="47">
        <f>4.04+0.5</f>
        <v/>
      </c>
      <c r="J513" s="47">
        <f>PRODUCT(E513:I513)</f>
        <v/>
      </c>
      <c r="K513" s="20" t="n">
        <v>1</v>
      </c>
      <c r="L513" s="47" t="n">
        <v/>
      </c>
      <c r="M513" s="47" t="n">
        <v/>
      </c>
      <c r="N513" s="47" t="n">
        <v/>
      </c>
      <c r="O513" s="47" t="n">
        <v/>
      </c>
      <c r="P513" s="88" t="n"/>
    </row>
    <row r="514" customFormat="1" s="2">
      <c r="A514" s="6" t="n"/>
      <c r="B514" s="4" t="n"/>
      <c r="C514" s="4" t="inlineStr">
        <is>
          <t>Door Area Less ( - )</t>
        </is>
      </c>
      <c r="D514" s="7" t="inlineStr">
        <is>
          <t>Sq.ft</t>
        </is>
      </c>
      <c r="E514" s="17" t="n"/>
      <c r="F514" s="20" t="n">
        <v>-1</v>
      </c>
      <c r="G514" s="47" t="n">
        <v>2.58</v>
      </c>
      <c r="H514" s="47" t="n"/>
      <c r="I514" s="47" t="n">
        <v>3.33</v>
      </c>
      <c r="J514" s="47">
        <f>PRODUCT(E514:I514)</f>
        <v/>
      </c>
      <c r="K514" s="20" t="n">
        <v>-1</v>
      </c>
      <c r="L514" s="47" t="n">
        <v/>
      </c>
      <c r="M514" s="47" t="n">
        <v/>
      </c>
      <c r="N514" s="47" t="n">
        <v/>
      </c>
      <c r="O514" s="47" t="n">
        <v/>
      </c>
      <c r="P514" s="88" t="n"/>
    </row>
    <row r="515" customFormat="1" s="2">
      <c r="A515" s="6" t="n"/>
      <c r="B515" s="4" t="n"/>
      <c r="C515" s="4" t="inlineStr">
        <is>
          <t>Wall Area</t>
        </is>
      </c>
      <c r="D515" s="7" t="inlineStr">
        <is>
          <t>Sq.ft</t>
        </is>
      </c>
      <c r="E515" s="17" t="n"/>
      <c r="F515" s="20" t="n">
        <v>1</v>
      </c>
      <c r="G515" s="47" t="n">
        <v>5.89</v>
      </c>
      <c r="H515" s="47" t="n"/>
      <c r="I515" s="47" t="n">
        <v>4.54</v>
      </c>
      <c r="J515" s="47">
        <f>PRODUCT(E515:I515)</f>
        <v/>
      </c>
      <c r="K515" s="20" t="n">
        <v>1</v>
      </c>
      <c r="L515" s="47" t="n">
        <v/>
      </c>
      <c r="M515" s="47" t="n">
        <v/>
      </c>
      <c r="N515" s="47" t="n">
        <v/>
      </c>
      <c r="O515" s="47" t="n">
        <v/>
      </c>
      <c r="P515" s="88" t="n"/>
    </row>
    <row r="516" customFormat="1" s="2">
      <c r="A516" s="6" t="n"/>
      <c r="B516" s="4" t="n"/>
      <c r="C516" s="4" t="inlineStr">
        <is>
          <t>Wall Area</t>
        </is>
      </c>
      <c r="D516" s="7" t="inlineStr">
        <is>
          <t>Sq.ft</t>
        </is>
      </c>
      <c r="E516" s="17" t="n"/>
      <c r="F516" s="20" t="n">
        <v>1</v>
      </c>
      <c r="G516" s="47" t="n">
        <v>5.83</v>
      </c>
      <c r="H516" s="47" t="n"/>
      <c r="I516" s="47" t="n">
        <v>8.5</v>
      </c>
      <c r="J516" s="47">
        <f>PRODUCT(E516:I516)</f>
        <v/>
      </c>
      <c r="K516" s="20" t="n">
        <v>1</v>
      </c>
      <c r="L516" s="47" t="n">
        <v/>
      </c>
      <c r="M516" s="47" t="n">
        <v/>
      </c>
      <c r="N516" s="47" t="n">
        <v/>
      </c>
      <c r="O516" s="47" t="n">
        <v/>
      </c>
      <c r="P516" s="88" t="n"/>
    </row>
    <row r="517" customFormat="1" s="2">
      <c r="A517" s="6" t="n"/>
      <c r="B517" s="4" t="n"/>
      <c r="C517" s="4" t="inlineStr">
        <is>
          <t>Beam Bottom</t>
        </is>
      </c>
      <c r="D517" s="7" t="inlineStr">
        <is>
          <t>Sq.ft</t>
        </is>
      </c>
      <c r="E517" s="17" t="n"/>
      <c r="F517" s="20" t="n">
        <v>1</v>
      </c>
      <c r="G517" s="47" t="n">
        <v>4.9</v>
      </c>
      <c r="H517" s="47" t="n"/>
      <c r="I517" s="47">
        <f>2.5/12</f>
        <v/>
      </c>
      <c r="J517" s="47">
        <f>PRODUCT(E517:I517)</f>
        <v/>
      </c>
      <c r="K517" s="20" t="n">
        <v>1</v>
      </c>
      <c r="L517" s="47" t="n">
        <v/>
      </c>
      <c r="M517" s="47" t="n">
        <v/>
      </c>
      <c r="N517" s="47" t="n">
        <v/>
      </c>
      <c r="O517" s="47" t="n">
        <v/>
      </c>
      <c r="P517" s="88" t="n"/>
    </row>
    <row r="518" customFormat="1" s="2">
      <c r="A518" s="6" t="n"/>
      <c r="B518" s="4" t="n"/>
      <c r="C518" s="14" t="inlineStr">
        <is>
          <t>Staircase Side</t>
        </is>
      </c>
      <c r="D518" s="7" t="n"/>
      <c r="E518" s="17" t="n"/>
      <c r="F518" s="20" t="n"/>
      <c r="G518" s="47" t="n"/>
      <c r="H518" s="47" t="n"/>
      <c r="I518" s="47" t="n"/>
      <c r="J518" s="47">
        <f>PRODUCT(E518:I518)</f>
        <v/>
      </c>
      <c r="K518" s="20" t="n">
        <v/>
      </c>
      <c r="L518" s="47" t="n">
        <v/>
      </c>
      <c r="M518" s="47" t="n">
        <v/>
      </c>
      <c r="N518" s="47" t="n">
        <v/>
      </c>
      <c r="O518" s="47" t="n">
        <v/>
      </c>
      <c r="P518" s="88" t="n"/>
    </row>
    <row r="519" customFormat="1" s="2">
      <c r="A519" s="6" t="n"/>
      <c r="B519" s="4" t="n"/>
      <c r="C519" s="4" t="inlineStr">
        <is>
          <t>Right Side Wall</t>
        </is>
      </c>
      <c r="D519" s="7" t="inlineStr">
        <is>
          <t>Sq.ft</t>
        </is>
      </c>
      <c r="E519" s="17" t="n"/>
      <c r="F519" s="20" t="n">
        <v>1</v>
      </c>
      <c r="G519" s="47" t="n">
        <v>0.75</v>
      </c>
      <c r="H519" s="47" t="n"/>
      <c r="I519" s="47" t="n">
        <v>0.17</v>
      </c>
      <c r="J519" s="47">
        <f>PRODUCT(E519:I519)</f>
        <v/>
      </c>
      <c r="K519" s="20" t="n">
        <v>1</v>
      </c>
      <c r="L519" s="47" t="n">
        <v/>
      </c>
      <c r="M519" s="47" t="n">
        <v/>
      </c>
      <c r="N519" s="47" t="n">
        <v/>
      </c>
      <c r="O519" s="47" t="n">
        <v/>
      </c>
      <c r="P519" s="88" t="n"/>
    </row>
    <row r="520" customFormat="1" s="2">
      <c r="A520" s="6" t="n"/>
      <c r="B520" s="4" t="n"/>
      <c r="C520" s="4" t="n"/>
      <c r="D520" s="7" t="inlineStr">
        <is>
          <t>Sq.ft</t>
        </is>
      </c>
      <c r="E520" s="17" t="n"/>
      <c r="F520" s="20" t="n">
        <v>1</v>
      </c>
      <c r="G520" s="47" t="n">
        <v>0.83</v>
      </c>
      <c r="H520" s="47" t="n"/>
      <c r="I520" s="47" t="n">
        <v>0.75</v>
      </c>
      <c r="J520" s="47">
        <f>PRODUCT(E520:I520)</f>
        <v/>
      </c>
      <c r="K520" s="20" t="n">
        <v>1</v>
      </c>
      <c r="L520" s="47" t="n">
        <v/>
      </c>
      <c r="M520" s="47" t="n">
        <v/>
      </c>
      <c r="N520" s="47" t="n">
        <v/>
      </c>
      <c r="O520" s="47" t="n">
        <v/>
      </c>
      <c r="P520" s="88" t="n"/>
    </row>
    <row r="521" customFormat="1" s="2">
      <c r="A521" s="6" t="n"/>
      <c r="B521" s="4" t="n"/>
      <c r="C521" s="4" t="n"/>
      <c r="D521" s="7" t="inlineStr">
        <is>
          <t>Sq.ft</t>
        </is>
      </c>
      <c r="E521" s="17" t="n"/>
      <c r="F521" s="20" t="n">
        <v>1</v>
      </c>
      <c r="G521" s="47" t="n">
        <v>0.83</v>
      </c>
      <c r="H521" s="47" t="n"/>
      <c r="I521" s="47">
        <f>16/12</f>
        <v/>
      </c>
      <c r="J521" s="47">
        <f>PRODUCT(E521:I521)</f>
        <v/>
      </c>
      <c r="K521" s="20" t="n">
        <v>1</v>
      </c>
      <c r="L521" s="47" t="n">
        <v/>
      </c>
      <c r="M521" s="47" t="n">
        <v/>
      </c>
      <c r="N521" s="47" t="n">
        <v/>
      </c>
      <c r="O521" s="47" t="n">
        <v/>
      </c>
      <c r="P521" s="88" t="n"/>
    </row>
    <row r="522" customFormat="1" s="2">
      <c r="A522" s="6" t="n"/>
      <c r="B522" s="4" t="n"/>
      <c r="C522" s="4" t="n"/>
      <c r="D522" s="7" t="inlineStr">
        <is>
          <t>Sq.ft</t>
        </is>
      </c>
      <c r="E522" s="17" t="n"/>
      <c r="F522" s="20" t="n">
        <v>1</v>
      </c>
      <c r="G522" s="47" t="n">
        <v>2.54</v>
      </c>
      <c r="H522" s="47" t="n"/>
      <c r="I522" s="47" t="n">
        <v>1.333333333333333</v>
      </c>
      <c r="J522" s="47">
        <f>PRODUCT(E522:I522)</f>
        <v/>
      </c>
      <c r="K522" s="20" t="n">
        <v>1</v>
      </c>
      <c r="L522" s="47" t="n">
        <v/>
      </c>
      <c r="M522" s="47" t="n">
        <v/>
      </c>
      <c r="N522" s="47" t="n">
        <v/>
      </c>
      <c r="O522" s="47" t="n">
        <v/>
      </c>
      <c r="P522" s="88" t="n"/>
    </row>
    <row r="523" customFormat="1" s="2">
      <c r="A523" s="6" t="n"/>
      <c r="B523" s="4" t="n"/>
      <c r="C523" s="4" t="n"/>
      <c r="D523" s="7" t="inlineStr">
        <is>
          <t>Sq.ft</t>
        </is>
      </c>
      <c r="E523" s="17" t="n"/>
      <c r="F523" s="20" t="n">
        <v>1</v>
      </c>
      <c r="G523" s="47" t="n">
        <v>9.550000000000001</v>
      </c>
      <c r="H523" s="47" t="n"/>
      <c r="I523" s="47" t="n">
        <v>1.93</v>
      </c>
      <c r="J523" s="47">
        <f>PRODUCT(E523:I523)</f>
        <v/>
      </c>
      <c r="K523" s="20" t="n">
        <v>1</v>
      </c>
      <c r="L523" s="47" t="n">
        <v/>
      </c>
      <c r="M523" s="47" t="n">
        <v/>
      </c>
      <c r="N523" s="47" t="n">
        <v/>
      </c>
      <c r="O523" s="47" t="n">
        <v/>
      </c>
      <c r="P523" s="88" t="n"/>
    </row>
    <row r="524" customFormat="1" s="2">
      <c r="A524" s="6" t="n"/>
      <c r="B524" s="4" t="n"/>
      <c r="C524" s="4" t="n"/>
      <c r="D524" s="7" t="inlineStr">
        <is>
          <t>Sq.ft</t>
        </is>
      </c>
      <c r="E524" s="17" t="n"/>
      <c r="F524" s="20" t="n">
        <v>1</v>
      </c>
      <c r="G524" s="47" t="n">
        <v>11</v>
      </c>
      <c r="H524" s="47" t="n"/>
      <c r="I524" s="47" t="n">
        <v>0.5</v>
      </c>
      <c r="J524" s="47">
        <f>PRODUCT(E524:I524)</f>
        <v/>
      </c>
      <c r="K524" s="20" t="n">
        <v>1</v>
      </c>
      <c r="L524" s="47" t="n">
        <v/>
      </c>
      <c r="M524" s="47" t="n">
        <v/>
      </c>
      <c r="N524" s="47" t="n">
        <v/>
      </c>
      <c r="O524" s="47" t="n">
        <v/>
      </c>
      <c r="P524" s="88" t="n"/>
    </row>
    <row r="525" customFormat="1" s="2">
      <c r="A525" s="6" t="n"/>
      <c r="B525" s="4" t="n"/>
      <c r="C525" s="4" t="inlineStr">
        <is>
          <t>Column Area</t>
        </is>
      </c>
      <c r="D525" s="7" t="n"/>
      <c r="E525" s="17" t="n"/>
      <c r="F525" s="20" t="n"/>
      <c r="G525" s="47" t="n"/>
      <c r="H525" s="47" t="n"/>
      <c r="I525" s="47" t="n"/>
      <c r="J525" s="47">
        <f>PRODUCT(E525:I525)</f>
        <v/>
      </c>
      <c r="K525" s="20" t="n">
        <v/>
      </c>
      <c r="L525" s="47" t="n">
        <v/>
      </c>
      <c r="M525" s="47" t="n">
        <v/>
      </c>
      <c r="N525" s="47" t="n">
        <v/>
      </c>
      <c r="O525" s="47" t="n">
        <v/>
      </c>
      <c r="P525" s="88" t="n"/>
    </row>
    <row r="526" customFormat="1" s="2">
      <c r="A526" s="6" t="n"/>
      <c r="B526" s="4" t="n"/>
      <c r="C526" s="4" t="n"/>
      <c r="D526" s="7" t="inlineStr">
        <is>
          <t>Sq.ft</t>
        </is>
      </c>
      <c r="E526" s="17" t="n"/>
      <c r="F526" s="20" t="n">
        <v>1</v>
      </c>
      <c r="G526" s="47" t="n">
        <v>3.92</v>
      </c>
      <c r="H526" s="47" t="n"/>
      <c r="I526" s="47" t="n">
        <v>8.5</v>
      </c>
      <c r="J526" s="47">
        <f>PRODUCT(E526:I526)</f>
        <v/>
      </c>
      <c r="K526" s="20" t="n">
        <v>1</v>
      </c>
      <c r="L526" s="47" t="n">
        <v/>
      </c>
      <c r="M526" s="47" t="n">
        <v/>
      </c>
      <c r="N526" s="47" t="n">
        <v/>
      </c>
      <c r="O526" s="47" t="n">
        <v/>
      </c>
      <c r="P526" s="88" t="n"/>
    </row>
    <row r="527" customFormat="1" s="2">
      <c r="A527" s="6" t="n"/>
      <c r="B527" s="4" t="n"/>
      <c r="C527" s="4" t="n"/>
      <c r="D527" s="7" t="inlineStr">
        <is>
          <t>Sq.ft</t>
        </is>
      </c>
      <c r="E527" s="17" t="n"/>
      <c r="F527" s="20" t="n">
        <v>1</v>
      </c>
      <c r="G527" s="47" t="n">
        <v>1.08</v>
      </c>
      <c r="H527" s="47" t="n"/>
      <c r="I527" s="47" t="n">
        <v>8.5</v>
      </c>
      <c r="J527" s="47">
        <f>PRODUCT(E527:I527)</f>
        <v/>
      </c>
      <c r="K527" s="20" t="n">
        <v>1</v>
      </c>
      <c r="L527" s="47" t="n">
        <v/>
      </c>
      <c r="M527" s="47" t="n">
        <v/>
      </c>
      <c r="N527" s="47" t="n">
        <v/>
      </c>
      <c r="O527" s="47" t="n">
        <v/>
      </c>
      <c r="P527" s="88" t="n"/>
    </row>
    <row r="528" customFormat="1" s="2">
      <c r="A528" s="6" t="n"/>
      <c r="B528" s="4" t="n"/>
      <c r="C528" s="4" t="n"/>
      <c r="D528" s="7" t="inlineStr">
        <is>
          <t>Sq.ft</t>
        </is>
      </c>
      <c r="E528" s="17" t="n"/>
      <c r="F528" s="20" t="n">
        <v>1</v>
      </c>
      <c r="G528" s="47" t="n">
        <v>2</v>
      </c>
      <c r="H528" s="47" t="n"/>
      <c r="I528" s="47" t="n">
        <v>8.5</v>
      </c>
      <c r="J528" s="47">
        <f>PRODUCT(E528:I528)</f>
        <v/>
      </c>
      <c r="K528" s="20" t="n">
        <v>1</v>
      </c>
      <c r="L528" s="47" t="n">
        <v/>
      </c>
      <c r="M528" s="47" t="n">
        <v/>
      </c>
      <c r="N528" s="47" t="n">
        <v/>
      </c>
      <c r="O528" s="47" t="n">
        <v/>
      </c>
      <c r="P528" s="88" t="n"/>
    </row>
    <row r="529" customFormat="1" s="2">
      <c r="A529" s="6" t="n"/>
      <c r="B529" s="4" t="n"/>
      <c r="C529" s="4" t="n"/>
      <c r="D529" s="7" t="n"/>
      <c r="E529" s="17" t="n"/>
      <c r="F529" s="20" t="n"/>
      <c r="G529" s="47" t="n"/>
      <c r="H529" s="47" t="n"/>
      <c r="I529" s="47" t="n"/>
      <c r="J529" s="47">
        <f>PRODUCT(E529:I529)</f>
        <v/>
      </c>
      <c r="K529" s="20" t="n">
        <v/>
      </c>
      <c r="L529" s="47" t="n">
        <v/>
      </c>
      <c r="M529" s="47" t="n">
        <v/>
      </c>
      <c r="N529" s="47" t="n">
        <v/>
      </c>
      <c r="O529" s="47" t="n">
        <v/>
      </c>
      <c r="P529" s="88" t="n"/>
    </row>
    <row r="530" customFormat="1" s="2">
      <c r="A530" s="6" t="n"/>
      <c r="B530" s="4" t="n"/>
      <c r="C530" s="4" t="inlineStr">
        <is>
          <t>AC Jhari Filling</t>
        </is>
      </c>
      <c r="D530" s="7" t="inlineStr">
        <is>
          <t>Sq.ft</t>
        </is>
      </c>
      <c r="E530" s="17" t="n"/>
      <c r="F530" s="20" t="n">
        <v>0</v>
      </c>
      <c r="G530" s="47" t="n">
        <v>150</v>
      </c>
      <c r="H530" s="47" t="n">
        <v>1</v>
      </c>
      <c r="I530" s="47" t="n"/>
      <c r="J530" s="47">
        <f>PRODUCT(E530:I530)</f>
        <v/>
      </c>
      <c r="K530" s="20" t="n">
        <v>0</v>
      </c>
      <c r="L530" s="47" t="n">
        <v/>
      </c>
      <c r="M530" s="47" t="n">
        <v/>
      </c>
      <c r="N530" s="47" t="n">
        <v/>
      </c>
      <c r="O530" s="47" t="n">
        <v/>
      </c>
      <c r="P530" s="88" t="inlineStr">
        <is>
          <t>already 200 RFT provided in chieseling and filling</t>
        </is>
      </c>
    </row>
    <row r="531" customFormat="1" s="2">
      <c r="A531" s="6" t="n"/>
      <c r="B531" s="4" t="n"/>
      <c r="C531" s="4" t="n"/>
      <c r="D531" s="7" t="n"/>
      <c r="E531" s="17" t="n"/>
      <c r="F531" s="20" t="n"/>
      <c r="G531" s="47" t="n"/>
      <c r="H531" s="47" t="n"/>
      <c r="I531" s="47" t="n"/>
      <c r="J531" s="47" t="n"/>
      <c r="K531" s="20" t="n">
        <v/>
      </c>
      <c r="L531" s="47" t="n">
        <v/>
      </c>
      <c r="M531" s="47" t="n">
        <v/>
      </c>
      <c r="N531" s="47" t="n">
        <v/>
      </c>
      <c r="O531" s="47" t="n">
        <v/>
      </c>
      <c r="P531" s="88" t="n"/>
    </row>
    <row r="532" customFormat="1" s="2">
      <c r="A532" s="112" t="n"/>
      <c r="B532" s="112" t="n"/>
      <c r="C532" s="112" t="inlineStr">
        <is>
          <t>Total Qty</t>
        </is>
      </c>
      <c r="D532" s="120" t="n"/>
      <c r="E532" s="121" t="n"/>
      <c r="F532" s="123" t="n"/>
      <c r="G532" s="123" t="n"/>
      <c r="H532" s="123" t="n"/>
      <c r="I532" s="123" t="n"/>
      <c r="J532" s="123">
        <f>ROUND(SUM(J481:J531),)</f>
        <v/>
      </c>
      <c r="K532" s="123" t="n">
        <v/>
      </c>
      <c r="L532" s="123" t="n">
        <v/>
      </c>
      <c r="M532" s="123" t="n">
        <v/>
      </c>
      <c r="N532" s="123" t="n">
        <v/>
      </c>
      <c r="O532" s="123" t="n">
        <v/>
      </c>
      <c r="P532" s="88" t="n"/>
    </row>
    <row r="533" customFormat="1" s="2">
      <c r="A533" s="6" t="n"/>
      <c r="B533" s="4" t="n"/>
      <c r="C533" s="4" t="n"/>
      <c r="D533" s="7" t="n"/>
      <c r="E533" s="17" t="n"/>
      <c r="F533" s="20" t="n"/>
      <c r="G533" s="47" t="n"/>
      <c r="H533" s="47" t="n"/>
      <c r="I533" s="47" t="n"/>
      <c r="J533" s="47" t="n"/>
      <c r="K533" s="20" t="n">
        <v/>
      </c>
      <c r="L533" s="47" t="n">
        <v/>
      </c>
      <c r="M533" s="47" t="n">
        <v/>
      </c>
      <c r="N533" s="47" t="n">
        <v/>
      </c>
      <c r="O533" s="47" t="n">
        <v/>
      </c>
      <c r="P533" s="88" t="n"/>
    </row>
    <row r="534" ht="27.6" customFormat="1" customHeight="1" s="2">
      <c r="A534" s="6">
        <f>A480+1</f>
        <v/>
      </c>
      <c r="B534" s="4" t="inlineStr">
        <is>
          <t>Curtain for Locker Room</t>
        </is>
      </c>
      <c r="C534" s="4" t="inlineStr">
        <is>
          <t>providing and fixing PVC Coated Fabric curtain in Grey colour for Locker Room</t>
        </is>
      </c>
      <c r="D534" s="5" t="inlineStr">
        <is>
          <t>Lsum</t>
        </is>
      </c>
      <c r="E534" s="16" t="n">
        <v>1</v>
      </c>
      <c r="F534" s="20" t="n"/>
      <c r="G534" s="47" t="n"/>
      <c r="H534" s="47" t="n"/>
      <c r="I534" s="47" t="n"/>
      <c r="J534" s="47" t="n"/>
      <c r="K534" s="20" t="n">
        <v/>
      </c>
      <c r="L534" s="47" t="n">
        <v/>
      </c>
      <c r="M534" s="47" t="n">
        <v/>
      </c>
      <c r="N534" s="47" t="n">
        <v/>
      </c>
      <c r="O534" s="47" t="n">
        <v/>
      </c>
      <c r="P534" s="120" t="inlineStr">
        <is>
          <t>Not provided</t>
        </is>
      </c>
    </row>
    <row r="535" customFormat="1" s="2">
      <c r="A535" s="6" t="n"/>
      <c r="B535" s="4" t="n"/>
      <c r="C535" s="14" t="inlineStr">
        <is>
          <t xml:space="preserve">Strong Rooom </t>
        </is>
      </c>
      <c r="D535" s="7" t="n"/>
      <c r="E535" s="17" t="n"/>
      <c r="F535" s="20" t="n"/>
      <c r="G535" s="47" t="n"/>
      <c r="H535" s="47" t="n"/>
      <c r="I535" s="47" t="n"/>
      <c r="J535" s="47">
        <f>PRODUCT(E535:I535)</f>
        <v/>
      </c>
      <c r="K535" s="20" t="n">
        <v/>
      </c>
      <c r="L535" s="47" t="n">
        <v/>
      </c>
      <c r="M535" s="47" t="n">
        <v/>
      </c>
      <c r="N535" s="47" t="n">
        <v/>
      </c>
      <c r="O535" s="47" t="n">
        <v/>
      </c>
      <c r="P535" s="88" t="n"/>
    </row>
    <row r="536" customFormat="1" s="2">
      <c r="A536" s="6" t="n"/>
      <c r="B536" s="4" t="n"/>
      <c r="C536" s="4" t="inlineStr">
        <is>
          <t>Door Side</t>
        </is>
      </c>
      <c r="D536" s="7" t="inlineStr">
        <is>
          <t>L/s</t>
        </is>
      </c>
      <c r="E536" s="17" t="n"/>
      <c r="F536" s="20" t="n">
        <v>1</v>
      </c>
      <c r="G536" s="47" t="n"/>
      <c r="H536" s="47" t="n"/>
      <c r="I536" s="47" t="n"/>
      <c r="J536" s="47">
        <f>PRODUCT(E536:I536)</f>
        <v/>
      </c>
      <c r="K536" s="20" t="n">
        <v>1</v>
      </c>
      <c r="L536" s="47" t="n">
        <v/>
      </c>
      <c r="M536" s="47" t="n">
        <v/>
      </c>
      <c r="N536" s="47" t="n">
        <v/>
      </c>
      <c r="O536" s="47" t="n">
        <v/>
      </c>
    </row>
    <row r="537" customFormat="1" s="2">
      <c r="A537" s="6" t="n"/>
      <c r="B537" s="4" t="n"/>
      <c r="C537" s="4" t="n"/>
      <c r="D537" s="7" t="n"/>
      <c r="E537" s="17" t="n"/>
      <c r="F537" s="20" t="n"/>
      <c r="G537" s="47" t="n"/>
      <c r="H537" s="47" t="n"/>
      <c r="I537" s="47" t="n"/>
      <c r="J537" s="47">
        <f>PRODUCT(E537:I537)</f>
        <v/>
      </c>
      <c r="K537" s="20" t="n">
        <v/>
      </c>
      <c r="L537" s="47" t="n">
        <v/>
      </c>
      <c r="M537" s="47" t="n">
        <v/>
      </c>
      <c r="N537" s="47" t="n">
        <v/>
      </c>
      <c r="O537" s="47" t="n">
        <v/>
      </c>
      <c r="P537" s="88" t="n"/>
    </row>
    <row r="538" customFormat="1" s="2">
      <c r="A538" s="112" t="n"/>
      <c r="B538" s="112" t="n"/>
      <c r="C538" s="112" t="inlineStr">
        <is>
          <t>Total Qty</t>
        </is>
      </c>
      <c r="D538" s="120" t="n"/>
      <c r="E538" s="121" t="n"/>
      <c r="F538" s="123" t="n"/>
      <c r="G538" s="123" t="n"/>
      <c r="H538" s="123" t="n"/>
      <c r="I538" s="123" t="n"/>
      <c r="J538" s="123">
        <f>SUM(J535:J537)</f>
        <v/>
      </c>
      <c r="K538" s="123" t="n">
        <v/>
      </c>
      <c r="L538" s="123" t="n">
        <v/>
      </c>
      <c r="M538" s="123" t="n">
        <v/>
      </c>
      <c r="N538" s="123" t="n">
        <v/>
      </c>
      <c r="O538" s="123" t="n">
        <v/>
      </c>
      <c r="P538" s="88" t="n"/>
    </row>
    <row r="539" customFormat="1" s="2">
      <c r="A539" s="6" t="n"/>
      <c r="B539" s="4" t="n"/>
      <c r="C539" s="4" t="n"/>
      <c r="D539" s="7" t="n"/>
      <c r="E539" s="17" t="n"/>
      <c r="F539" s="20" t="n"/>
      <c r="G539" s="47" t="n"/>
      <c r="H539" s="47" t="n"/>
      <c r="I539" s="47" t="n"/>
      <c r="J539" s="47" t="n"/>
      <c r="K539" s="20" t="n">
        <v/>
      </c>
      <c r="L539" s="47" t="n">
        <v/>
      </c>
      <c r="M539" s="47" t="n">
        <v/>
      </c>
      <c r="N539" s="47" t="n">
        <v/>
      </c>
      <c r="O539" s="47" t="n">
        <v/>
      </c>
      <c r="P539" s="88" t="n"/>
    </row>
    <row r="540" ht="138" customFormat="1" customHeight="1" s="2">
      <c r="A540" s="6">
        <f>A534+1</f>
        <v/>
      </c>
      <c r="B540" s="4" t="inlineStr">
        <is>
          <t>Urinals</t>
        </is>
      </c>
      <c r="C540" s="4"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D540" s="7" t="inlineStr">
        <is>
          <t>Nos</t>
        </is>
      </c>
      <c r="E540" s="17" t="n">
        <v>1</v>
      </c>
      <c r="F540" s="20" t="n"/>
      <c r="G540" s="47" t="n"/>
      <c r="H540" s="47" t="n"/>
      <c r="I540" s="47" t="n"/>
      <c r="J540" s="47" t="n"/>
      <c r="K540" s="20" t="n">
        <v/>
      </c>
      <c r="L540" s="47" t="n">
        <v/>
      </c>
      <c r="M540" s="47" t="n">
        <v/>
      </c>
      <c r="N540" s="47" t="n">
        <v/>
      </c>
      <c r="O540" s="47" t="n">
        <v/>
      </c>
      <c r="P540" s="88" t="n"/>
    </row>
    <row r="541" customFormat="1" s="2">
      <c r="A541" s="6" t="n"/>
      <c r="B541" s="4" t="n"/>
      <c r="C541" s="14" t="inlineStr">
        <is>
          <t>Gents Toilet</t>
        </is>
      </c>
      <c r="D541" s="7" t="n"/>
      <c r="E541" s="17" t="n"/>
      <c r="F541" s="20" t="n"/>
      <c r="G541" s="47" t="n"/>
      <c r="H541" s="47" t="n"/>
      <c r="I541" s="47" t="n"/>
      <c r="J541" s="47">
        <f>PRODUCT(E541:I541)</f>
        <v/>
      </c>
      <c r="K541" s="20" t="n">
        <v/>
      </c>
      <c r="L541" s="47" t="n">
        <v/>
      </c>
      <c r="M541" s="47" t="n">
        <v/>
      </c>
      <c r="N541" s="47" t="n">
        <v/>
      </c>
      <c r="O541" s="47" t="n">
        <v/>
      </c>
      <c r="P541" s="88" t="n"/>
    </row>
    <row r="542" customFormat="1" s="2">
      <c r="A542" s="6" t="n"/>
      <c r="B542" s="4" t="n"/>
      <c r="C542" s="4" t="inlineStr">
        <is>
          <t>Urinal</t>
        </is>
      </c>
      <c r="D542" s="7" t="inlineStr">
        <is>
          <t>Nos</t>
        </is>
      </c>
      <c r="E542" s="17" t="n"/>
      <c r="F542" s="20" t="n">
        <v>1</v>
      </c>
      <c r="G542" s="47" t="n"/>
      <c r="H542" s="47" t="n"/>
      <c r="I542" s="47" t="n"/>
      <c r="J542" s="47">
        <f>PRODUCT(E542:I542)</f>
        <v/>
      </c>
      <c r="K542" s="20" t="n">
        <v>1</v>
      </c>
      <c r="L542" s="47" t="n">
        <v/>
      </c>
      <c r="M542" s="47" t="n">
        <v/>
      </c>
      <c r="N542" s="47" t="n">
        <v/>
      </c>
      <c r="O542" s="47" t="n">
        <v/>
      </c>
      <c r="P542" s="88" t="n"/>
    </row>
    <row r="543" customFormat="1" s="2">
      <c r="A543" s="6" t="n"/>
      <c r="B543" s="4" t="n"/>
      <c r="C543" s="4" t="n"/>
      <c r="D543" s="7" t="n"/>
      <c r="E543" s="17" t="n"/>
      <c r="F543" s="20" t="n"/>
      <c r="G543" s="47" t="n"/>
      <c r="H543" s="47" t="n"/>
      <c r="I543" s="47" t="n"/>
      <c r="J543" s="47">
        <f>PRODUCT(E543:I543)</f>
        <v/>
      </c>
      <c r="K543" s="20" t="n">
        <v/>
      </c>
      <c r="L543" s="47" t="n">
        <v/>
      </c>
      <c r="M543" s="47" t="n">
        <v/>
      </c>
      <c r="N543" s="47" t="n">
        <v/>
      </c>
      <c r="O543" s="47" t="n">
        <v/>
      </c>
      <c r="P543" s="88" t="n"/>
    </row>
    <row r="544" customFormat="1" s="2">
      <c r="A544" s="112" t="n"/>
      <c r="B544" s="112" t="n"/>
      <c r="C544" s="112" t="inlineStr">
        <is>
          <t>Total Qty</t>
        </is>
      </c>
      <c r="D544" s="120" t="n"/>
      <c r="E544" s="121" t="n"/>
      <c r="F544" s="123" t="n"/>
      <c r="G544" s="123" t="n"/>
      <c r="H544" s="123" t="n"/>
      <c r="I544" s="123" t="n"/>
      <c r="J544" s="123">
        <f>SUM(J541:J543)</f>
        <v/>
      </c>
      <c r="K544" s="123" t="n">
        <v/>
      </c>
      <c r="L544" s="123" t="n">
        <v/>
      </c>
      <c r="M544" s="123" t="n">
        <v/>
      </c>
      <c r="N544" s="123" t="n">
        <v/>
      </c>
      <c r="O544" s="123" t="n">
        <v/>
      </c>
      <c r="P544" s="88" t="n"/>
    </row>
    <row r="545">
      <c r="A545" s="117" t="n"/>
      <c r="B545" s="117" t="n"/>
      <c r="C545" s="117" t="n"/>
      <c r="D545" s="117" t="n"/>
      <c r="E545" s="118" t="n"/>
      <c r="F545" s="119" t="n"/>
      <c r="G545" s="119" t="n"/>
      <c r="H545" s="119" t="n"/>
      <c r="I545" s="119" t="n"/>
      <c r="J545" s="119" t="n"/>
      <c r="K545" s="119" t="n">
        <v/>
      </c>
      <c r="L545" s="119" t="n">
        <v/>
      </c>
      <c r="M545" s="119" t="n">
        <v/>
      </c>
      <c r="N545" s="119" t="n">
        <v/>
      </c>
      <c r="O545" s="119" t="n">
        <v/>
      </c>
      <c r="P545" s="117" t="n"/>
    </row>
    <row r="546" ht="165.6" customFormat="1" customHeight="1" s="2">
      <c r="A546" s="6">
        <f>A540+1</f>
        <v/>
      </c>
      <c r="B546" s="4" t="inlineStr">
        <is>
          <t>Cement Plaster Externals</t>
        </is>
      </c>
      <c r="C546"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D546" s="7" t="inlineStr">
        <is>
          <t>Sft</t>
        </is>
      </c>
      <c r="E546" s="17" t="n">
        <v>50</v>
      </c>
      <c r="F546" s="20" t="n"/>
      <c r="G546" s="47" t="n"/>
      <c r="H546" s="47" t="n"/>
      <c r="I546" s="47" t="n"/>
      <c r="J546" s="47" t="n"/>
      <c r="K546" s="20" t="n">
        <v/>
      </c>
      <c r="L546" s="47" t="n">
        <v/>
      </c>
      <c r="M546" s="47" t="n">
        <v/>
      </c>
      <c r="N546" s="47" t="n">
        <v/>
      </c>
      <c r="O546" s="47" t="n">
        <v/>
      </c>
      <c r="P546" s="88" t="n"/>
    </row>
    <row r="547" customFormat="1" s="2">
      <c r="A547" s="6" t="n"/>
      <c r="B547" s="4" t="n"/>
      <c r="C547" s="14" t="inlineStr">
        <is>
          <t>Gents Toilet</t>
        </is>
      </c>
      <c r="D547" s="5" t="n"/>
      <c r="E547" s="16" t="n"/>
      <c r="F547" s="20" t="n"/>
      <c r="G547" s="47" t="n"/>
      <c r="H547" s="47" t="n"/>
      <c r="I547" s="47" t="n"/>
      <c r="J547" s="16">
        <f>PRODUCT(F547:I547)</f>
        <v/>
      </c>
      <c r="K547" s="20" t="n">
        <v/>
      </c>
      <c r="L547" s="47" t="n">
        <v/>
      </c>
      <c r="M547" s="47" t="n">
        <v/>
      </c>
      <c r="N547" s="47" t="n">
        <v/>
      </c>
      <c r="O547" s="16" t="n">
        <v/>
      </c>
      <c r="P547" s="88" t="n"/>
    </row>
    <row r="548" customFormat="1" s="2">
      <c r="A548" s="6" t="n"/>
      <c r="B548" s="4" t="n"/>
      <c r="C548" s="4" t="inlineStr">
        <is>
          <t>Front Side Wall</t>
        </is>
      </c>
      <c r="D548" s="5" t="inlineStr">
        <is>
          <t>Sq.ft</t>
        </is>
      </c>
      <c r="E548" s="16" t="n"/>
      <c r="F548" s="20" t="n">
        <v>1</v>
      </c>
      <c r="G548" s="20" t="n">
        <v>9.77</v>
      </c>
      <c r="H548" s="47" t="n"/>
      <c r="I548" s="47" t="n">
        <v>8</v>
      </c>
      <c r="J548" s="16">
        <f>PRODUCT(F548:I548)</f>
        <v/>
      </c>
      <c r="K548" s="20" t="n">
        <v>1</v>
      </c>
      <c r="L548" s="20" t="n">
        <v/>
      </c>
      <c r="M548" s="47" t="n">
        <v/>
      </c>
      <c r="N548" s="47" t="n">
        <v/>
      </c>
      <c r="O548" s="16" t="n">
        <v/>
      </c>
      <c r="P548" s="88" t="n"/>
    </row>
    <row r="549" customFormat="1" s="2">
      <c r="A549" s="6" t="n"/>
      <c r="B549" s="4" t="n"/>
      <c r="C549" s="4" t="inlineStr">
        <is>
          <t>Right Side Wall</t>
        </is>
      </c>
      <c r="D549" s="5" t="inlineStr">
        <is>
          <t>Sq.ft</t>
        </is>
      </c>
      <c r="E549" s="16" t="n"/>
      <c r="F549" s="20" t="n">
        <v>1</v>
      </c>
      <c r="G549" s="20" t="n">
        <v>4.08</v>
      </c>
      <c r="H549" s="47" t="n"/>
      <c r="I549" s="47" t="n">
        <v>8</v>
      </c>
      <c r="J549" s="16">
        <f>PRODUCT(F549:I549)</f>
        <v/>
      </c>
      <c r="K549" s="20" t="n">
        <v>1</v>
      </c>
      <c r="L549" s="20" t="n">
        <v/>
      </c>
      <c r="M549" s="47" t="n">
        <v/>
      </c>
      <c r="N549" s="47" t="n">
        <v/>
      </c>
      <c r="O549" s="16" t="n">
        <v/>
      </c>
      <c r="P549" s="88" t="n"/>
    </row>
    <row r="550" customFormat="1" s="2">
      <c r="A550" s="6" t="n"/>
      <c r="B550" s="4" t="n"/>
      <c r="C550" s="14" t="inlineStr">
        <is>
          <t>Ladies Toilet</t>
        </is>
      </c>
      <c r="D550" s="5" t="n"/>
      <c r="E550" s="16" t="n"/>
      <c r="F550" s="20" t="n"/>
      <c r="G550" s="47" t="n"/>
      <c r="H550" s="47" t="n"/>
      <c r="I550" s="47" t="n"/>
      <c r="J550" s="16">
        <f>PRODUCT(F550:I550)</f>
        <v/>
      </c>
      <c r="K550" s="20" t="n">
        <v/>
      </c>
      <c r="L550" s="47" t="n">
        <v/>
      </c>
      <c r="M550" s="47" t="n">
        <v/>
      </c>
      <c r="N550" s="47" t="n">
        <v/>
      </c>
      <c r="O550" s="16" t="n">
        <v/>
      </c>
      <c r="P550" s="88" t="n"/>
    </row>
    <row r="551" customFormat="1" s="2">
      <c r="A551" s="6" t="n"/>
      <c r="B551" s="4" t="n"/>
      <c r="C551" s="4" t="inlineStr">
        <is>
          <t>Front Side Wall</t>
        </is>
      </c>
      <c r="D551" s="5" t="inlineStr">
        <is>
          <t>Sq.ft</t>
        </is>
      </c>
      <c r="E551" s="16" t="n"/>
      <c r="F551" s="20" t="n">
        <v>1</v>
      </c>
      <c r="G551" s="47" t="n">
        <v>4</v>
      </c>
      <c r="H551" s="47" t="n"/>
      <c r="I551" s="47" t="n">
        <v>8</v>
      </c>
      <c r="J551" s="16">
        <f>PRODUCT(F551:I551)</f>
        <v/>
      </c>
      <c r="K551" s="20" t="n">
        <v>1</v>
      </c>
      <c r="L551" s="47" t="n">
        <v/>
      </c>
      <c r="M551" s="47" t="n">
        <v/>
      </c>
      <c r="N551" s="47" t="n">
        <v/>
      </c>
      <c r="O551" s="16" t="n">
        <v/>
      </c>
      <c r="P551" s="88" t="n"/>
    </row>
    <row r="552" customFormat="1" s="2">
      <c r="A552" s="6" t="n"/>
      <c r="B552" s="4" t="n"/>
      <c r="C552" s="4" t="n"/>
      <c r="D552" s="5" t="n"/>
      <c r="E552" s="16" t="n"/>
      <c r="F552" s="20" t="n"/>
      <c r="G552" s="47" t="n"/>
      <c r="H552" s="47" t="n"/>
      <c r="I552" s="47" t="n"/>
      <c r="J552" s="16">
        <f>PRODUCT(F552:I552)</f>
        <v/>
      </c>
      <c r="K552" s="20" t="n">
        <v/>
      </c>
      <c r="L552" s="47" t="n">
        <v/>
      </c>
      <c r="M552" s="47" t="n">
        <v/>
      </c>
      <c r="N552" s="47" t="n">
        <v/>
      </c>
      <c r="O552" s="16" t="n">
        <v/>
      </c>
      <c r="P552" s="88" t="n"/>
    </row>
    <row r="553" customFormat="1" s="2">
      <c r="A553" s="6" t="n"/>
      <c r="B553" s="6" t="n"/>
      <c r="C553" s="112" t="inlineStr">
        <is>
          <t>Total Qty</t>
        </is>
      </c>
      <c r="D553" s="7" t="n"/>
      <c r="E553" s="17" t="n"/>
      <c r="F553" s="16" t="n"/>
      <c r="G553" s="16" t="n"/>
      <c r="H553" s="16" t="n"/>
      <c r="I553" s="16" t="n"/>
      <c r="J553" s="26">
        <f>ROUND(SUM(J547:J552),)</f>
        <v/>
      </c>
      <c r="K553" s="16" t="n">
        <v/>
      </c>
      <c r="L553" s="16" t="n">
        <v/>
      </c>
      <c r="M553" s="16" t="n">
        <v/>
      </c>
      <c r="N553" s="16" t="n">
        <v/>
      </c>
      <c r="O553" s="26" t="n">
        <v/>
      </c>
      <c r="P553" s="88" t="n"/>
    </row>
    <row r="554" customFormat="1" s="2">
      <c r="A554" s="6" t="n"/>
      <c r="B554" s="4" t="n"/>
      <c r="C554" s="4" t="n"/>
      <c r="D554" s="5" t="n"/>
      <c r="E554" s="16" t="n"/>
      <c r="F554" s="20" t="n"/>
      <c r="G554" s="47" t="n"/>
      <c r="H554" s="47" t="n"/>
      <c r="I554" s="47" t="n"/>
      <c r="J554" s="47" t="n"/>
      <c r="K554" s="20" t="n">
        <v/>
      </c>
      <c r="L554" s="47" t="n">
        <v/>
      </c>
      <c r="M554" s="47" t="n">
        <v/>
      </c>
      <c r="N554" s="47" t="n">
        <v/>
      </c>
      <c r="O554" s="47" t="n">
        <v/>
      </c>
      <c r="P554" s="88" t="n"/>
    </row>
    <row r="555" ht="27.6" customFormat="1" customHeight="1" s="2">
      <c r="A555" s="6">
        <f>A546+1</f>
        <v/>
      </c>
      <c r="B555" s="4" t="inlineStr">
        <is>
          <t>Rolling Shutters-Locks</t>
        </is>
      </c>
      <c r="C555" s="4" t="inlineStr">
        <is>
          <t>Providing and fixing heavy duty circular locks for rolling shutters with multiple keys, Godrej Navtal make.</t>
        </is>
      </c>
      <c r="D555" s="5" t="inlineStr">
        <is>
          <t>Nos</t>
        </is>
      </c>
      <c r="E555" s="16" t="n">
        <v>10</v>
      </c>
      <c r="F555" s="20" t="n"/>
      <c r="G555" s="47" t="n"/>
      <c r="H555" s="47" t="n"/>
      <c r="I555" s="47" t="n"/>
      <c r="J555" s="47" t="n"/>
      <c r="K555" s="20" t="n">
        <v/>
      </c>
      <c r="L555" s="47" t="n">
        <v/>
      </c>
      <c r="M555" s="47" t="n">
        <v/>
      </c>
      <c r="N555" s="47" t="n">
        <v/>
      </c>
      <c r="O555" s="47" t="n">
        <v/>
      </c>
      <c r="P555" s="88" t="n"/>
    </row>
    <row r="556" customFormat="1" s="2">
      <c r="A556" s="6" t="n"/>
      <c r="B556" s="4" t="n"/>
      <c r="C556" s="4" t="n"/>
      <c r="D556" s="5" t="n"/>
      <c r="E556" s="16" t="n"/>
      <c r="F556" s="20" t="n"/>
      <c r="G556" s="47" t="n"/>
      <c r="H556" s="47" t="n"/>
      <c r="I556" s="47" t="n"/>
      <c r="J556" s="16">
        <f>PRODUCT(F556:I556)</f>
        <v/>
      </c>
      <c r="K556" s="20" t="n">
        <v/>
      </c>
      <c r="L556" s="47" t="n">
        <v/>
      </c>
      <c r="M556" s="47" t="n">
        <v/>
      </c>
      <c r="N556" s="47" t="n">
        <v/>
      </c>
      <c r="O556" s="16" t="n">
        <v/>
      </c>
      <c r="P556" s="88" t="n"/>
    </row>
    <row r="557" customFormat="1" s="2">
      <c r="A557" s="6" t="n"/>
      <c r="B557" s="4" t="n"/>
      <c r="C557" s="4" t="inlineStr">
        <is>
          <t>Main Entry Shutter</t>
        </is>
      </c>
      <c r="D557" s="5" t="inlineStr">
        <is>
          <t>Nos</t>
        </is>
      </c>
      <c r="E557" s="16" t="n"/>
      <c r="F557" s="20" t="n">
        <v>6</v>
      </c>
      <c r="G557" s="47" t="n"/>
      <c r="H557" s="47" t="n"/>
      <c r="I557" s="47" t="n"/>
      <c r="J557" s="16">
        <f>PRODUCT(F557:I557)</f>
        <v/>
      </c>
      <c r="K557" s="20" t="n">
        <v>6</v>
      </c>
      <c r="L557" s="47" t="n">
        <v/>
      </c>
      <c r="M557" s="47" t="n">
        <v/>
      </c>
      <c r="N557" s="47" t="n">
        <v/>
      </c>
      <c r="O557" s="16" t="n">
        <v/>
      </c>
      <c r="P557" s="88" t="n"/>
    </row>
    <row r="558" customFormat="1" s="2">
      <c r="A558" s="6" t="n"/>
      <c r="B558" s="4" t="n"/>
      <c r="C558" s="4" t="n"/>
      <c r="D558" s="5" t="n"/>
      <c r="E558" s="16" t="n"/>
      <c r="F558" s="20" t="n"/>
      <c r="G558" s="47" t="n"/>
      <c r="H558" s="47" t="n"/>
      <c r="I558" s="47" t="n"/>
      <c r="J558" s="16">
        <f>PRODUCT(F558:I558)</f>
        <v/>
      </c>
      <c r="K558" s="20" t="n">
        <v/>
      </c>
      <c r="L558" s="47" t="n">
        <v/>
      </c>
      <c r="M558" s="47" t="n">
        <v/>
      </c>
      <c r="N558" s="47" t="n">
        <v/>
      </c>
      <c r="O558" s="16" t="n">
        <v/>
      </c>
      <c r="P558" s="88" t="n"/>
    </row>
    <row r="559" customFormat="1" s="2">
      <c r="A559" s="6" t="n"/>
      <c r="B559" s="6" t="n"/>
      <c r="C559" s="112" t="inlineStr">
        <is>
          <t>Total Qty</t>
        </is>
      </c>
      <c r="D559" s="7" t="n"/>
      <c r="E559" s="17" t="n"/>
      <c r="F559" s="16" t="n"/>
      <c r="G559" s="16" t="n"/>
      <c r="H559" s="16" t="n"/>
      <c r="I559" s="16" t="n"/>
      <c r="J559" s="26">
        <f>ROUND(SUM(J556:J558),)</f>
        <v/>
      </c>
      <c r="K559" s="16" t="n">
        <v/>
      </c>
      <c r="L559" s="16" t="n">
        <v/>
      </c>
      <c r="M559" s="16" t="n">
        <v/>
      </c>
      <c r="N559" s="16" t="n">
        <v/>
      </c>
      <c r="O559" s="26" t="n">
        <v/>
      </c>
      <c r="P559" s="88" t="n"/>
    </row>
    <row r="560" customFormat="1" s="2">
      <c r="A560" s="6" t="n"/>
      <c r="B560" s="4" t="n"/>
      <c r="C560" s="4" t="n"/>
      <c r="D560" s="5" t="n"/>
      <c r="E560" s="16" t="n"/>
      <c r="F560" s="20" t="n"/>
      <c r="G560" s="47" t="n"/>
      <c r="H560" s="47" t="n"/>
      <c r="I560" s="47" t="n"/>
      <c r="J560" s="47" t="n"/>
      <c r="K560" s="20" t="n">
        <v/>
      </c>
      <c r="L560" s="47" t="n">
        <v/>
      </c>
      <c r="M560" s="47" t="n">
        <v/>
      </c>
      <c r="N560" s="47" t="n">
        <v/>
      </c>
      <c r="O560" s="47" t="n">
        <v/>
      </c>
      <c r="P560" s="88" t="n"/>
    </row>
    <row r="561" ht="82.8" customFormat="1" customHeight="1" s="2">
      <c r="A561" s="6">
        <f>A555+1</f>
        <v/>
      </c>
      <c r="B561" s="4" t="inlineStr">
        <is>
          <t>Writing Ledge 33 inch X 18inch Glass top</t>
        </is>
      </c>
      <c r="C561" s="4"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D561" s="7" t="inlineStr">
        <is>
          <t>nos</t>
        </is>
      </c>
      <c r="E561" s="17" t="n">
        <v>2</v>
      </c>
      <c r="F561" s="20" t="n"/>
      <c r="G561" s="47" t="n"/>
      <c r="H561" s="47" t="n"/>
      <c r="I561" s="47" t="n"/>
      <c r="J561" s="47" t="n"/>
      <c r="K561" s="20" t="n">
        <v/>
      </c>
      <c r="L561" s="47" t="n">
        <v/>
      </c>
      <c r="M561" s="47" t="n">
        <v/>
      </c>
      <c r="N561" s="47" t="n">
        <v/>
      </c>
      <c r="O561" s="47" t="n">
        <v/>
      </c>
      <c r="P561" s="88" t="n"/>
    </row>
    <row r="562" ht="82.8" customFormat="1" customHeight="1" s="2">
      <c r="A562" s="6">
        <f>A561+1</f>
        <v/>
      </c>
      <c r="B562" s="4" t="inlineStr">
        <is>
          <t>SS-handrails</t>
        </is>
      </c>
      <c r="C562"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D562" s="7" t="inlineStr">
        <is>
          <t>Rft</t>
        </is>
      </c>
      <c r="E562" s="17" t="n">
        <v>12</v>
      </c>
      <c r="F562" s="20" t="n"/>
      <c r="G562" s="47" t="n"/>
      <c r="H562" s="47" t="n"/>
      <c r="I562" s="47" t="n"/>
      <c r="J562" s="47" t="n"/>
      <c r="K562" s="20" t="n">
        <v/>
      </c>
      <c r="L562" s="47" t="n">
        <v/>
      </c>
      <c r="M562" s="47" t="n">
        <v/>
      </c>
      <c r="N562" s="47" t="n">
        <v/>
      </c>
      <c r="O562" s="47" t="n">
        <v/>
      </c>
      <c r="P562" s="88" t="n"/>
    </row>
    <row r="563" customFormat="1" s="2">
      <c r="A563" s="6" t="n"/>
      <c r="B563" s="4" t="n"/>
      <c r="C563" s="4" t="inlineStr">
        <is>
          <t>Staircase Side</t>
        </is>
      </c>
      <c r="D563" s="5" t="n"/>
      <c r="E563" s="16" t="n"/>
      <c r="F563" s="20" t="n"/>
      <c r="G563" s="47" t="n"/>
      <c r="H563" s="47" t="n"/>
      <c r="I563" s="47" t="n"/>
      <c r="J563" s="16">
        <f>PRODUCT(F563:I563)</f>
        <v/>
      </c>
      <c r="K563" s="20" t="n">
        <v/>
      </c>
      <c r="L563" s="47" t="n">
        <v/>
      </c>
      <c r="M563" s="47" t="n">
        <v/>
      </c>
      <c r="N563" s="47" t="n">
        <v/>
      </c>
      <c r="O563" s="16" t="n">
        <v/>
      </c>
      <c r="P563" s="88" t="n"/>
    </row>
    <row r="564" customFormat="1" s="2">
      <c r="A564" s="6" t="n"/>
      <c r="B564" s="4" t="n"/>
      <c r="C564" s="4" t="inlineStr">
        <is>
          <t>SS-handrails</t>
        </is>
      </c>
      <c r="D564" s="5" t="inlineStr">
        <is>
          <t>Mtr</t>
        </is>
      </c>
      <c r="E564" s="16" t="n"/>
      <c r="F564" s="20" t="n">
        <v>1</v>
      </c>
      <c r="G564" s="34" t="n">
        <v>36.81</v>
      </c>
      <c r="H564" s="47" t="n"/>
      <c r="I564" s="47" t="n"/>
      <c r="J564" s="16">
        <f>PRODUCT(F564:I564)</f>
        <v/>
      </c>
      <c r="K564" s="20" t="n">
        <v>1</v>
      </c>
      <c r="L564" s="34" t="n">
        <v/>
      </c>
      <c r="M564" s="47" t="n">
        <v/>
      </c>
      <c r="N564" s="47" t="n">
        <v/>
      </c>
      <c r="O564" s="16" t="n">
        <v/>
      </c>
      <c r="P564" s="88" t="n"/>
    </row>
    <row r="565" customFormat="1" s="2">
      <c r="A565" s="6" t="n"/>
      <c r="B565" s="4" t="n"/>
      <c r="C565" s="4" t="n"/>
      <c r="D565" s="5" t="n"/>
      <c r="E565" s="16" t="n"/>
      <c r="F565" s="20" t="n"/>
      <c r="G565" s="47" t="n"/>
      <c r="H565" s="47" t="n"/>
      <c r="I565" s="47" t="n"/>
      <c r="J565" s="16">
        <f>PRODUCT(F565:I565)</f>
        <v/>
      </c>
      <c r="K565" s="20" t="n">
        <v/>
      </c>
      <c r="L565" s="47" t="n">
        <v/>
      </c>
      <c r="M565" s="47" t="n">
        <v/>
      </c>
      <c r="N565" s="47" t="n">
        <v/>
      </c>
      <c r="O565" s="16" t="n">
        <v/>
      </c>
      <c r="P565" s="88" t="n"/>
    </row>
    <row r="566" customFormat="1" s="2">
      <c r="A566" s="6" t="n"/>
      <c r="B566" s="6" t="n"/>
      <c r="C566" s="112" t="inlineStr">
        <is>
          <t>Total Qty</t>
        </is>
      </c>
      <c r="D566" s="7" t="n"/>
      <c r="E566" s="17" t="n"/>
      <c r="F566" s="16" t="n"/>
      <c r="G566" s="16" t="n"/>
      <c r="H566" s="16" t="n"/>
      <c r="I566" s="16" t="n"/>
      <c r="J566" s="26">
        <f>ROUND(SUM(J563:J565),)</f>
        <v/>
      </c>
      <c r="K566" s="16" t="n">
        <v/>
      </c>
      <c r="L566" s="16" t="n">
        <v/>
      </c>
      <c r="M566" s="16" t="n">
        <v/>
      </c>
      <c r="N566" s="16" t="n">
        <v/>
      </c>
      <c r="O566" s="26" t="n">
        <v/>
      </c>
      <c r="P566" s="88" t="n"/>
    </row>
    <row r="567" customFormat="1" s="2">
      <c r="A567" s="6" t="n"/>
      <c r="B567" s="4" t="n"/>
      <c r="C567" s="4" t="n"/>
      <c r="D567" s="5" t="n"/>
      <c r="E567" s="16" t="n"/>
      <c r="F567" s="20" t="n"/>
      <c r="G567" s="47" t="n"/>
      <c r="H567" s="47" t="n"/>
      <c r="I567" s="47" t="n"/>
      <c r="J567" s="47" t="n"/>
      <c r="K567" s="20" t="n">
        <v/>
      </c>
      <c r="L567" s="47" t="n">
        <v/>
      </c>
      <c r="M567" s="47" t="n">
        <v/>
      </c>
      <c r="N567" s="47" t="n">
        <v/>
      </c>
      <c r="O567" s="47" t="n">
        <v/>
      </c>
      <c r="P567" s="88" t="n"/>
    </row>
    <row r="568" ht="179.4" customFormat="1" customHeight="1" s="2">
      <c r="A568" s="6">
        <f>A562+1</f>
        <v/>
      </c>
      <c r="B568" s="4" t="inlineStr">
        <is>
          <t>Paint on Walls &amp;Ceiling</t>
        </is>
      </c>
      <c r="C568"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D568" s="7" t="inlineStr">
        <is>
          <t>Sft</t>
        </is>
      </c>
      <c r="E568" s="17" t="n">
        <v>956</v>
      </c>
      <c r="F568" s="20" t="n"/>
      <c r="G568" s="47" t="n"/>
      <c r="H568" s="47" t="n"/>
      <c r="I568" s="47" t="n"/>
      <c r="J568" s="47" t="n"/>
      <c r="K568" s="20" t="n">
        <v/>
      </c>
      <c r="L568" s="47" t="n">
        <v/>
      </c>
      <c r="M568" s="47" t="n">
        <v/>
      </c>
      <c r="N568" s="47" t="n">
        <v/>
      </c>
      <c r="O568" s="47" t="n">
        <v/>
      </c>
      <c r="P568" s="88" t="n"/>
    </row>
    <row r="569" customFormat="1" s="2">
      <c r="A569" s="6" t="n"/>
      <c r="B569" s="4" t="n"/>
      <c r="C569" s="14" t="inlineStr">
        <is>
          <t>ATM Area</t>
        </is>
      </c>
      <c r="D569" s="7" t="n"/>
      <c r="E569" s="17" t="n"/>
      <c r="F569" s="20" t="n"/>
      <c r="G569" s="47" t="n"/>
      <c r="H569" s="47" t="n"/>
      <c r="I569" s="47" t="n"/>
      <c r="J569" s="16">
        <f>PRODUCT(F569:I569)</f>
        <v/>
      </c>
      <c r="K569" s="20" t="n">
        <v/>
      </c>
      <c r="L569" s="47" t="n">
        <v/>
      </c>
      <c r="M569" s="47" t="n">
        <v/>
      </c>
      <c r="N569" s="47" t="n">
        <v/>
      </c>
      <c r="O569" s="16" t="n">
        <v/>
      </c>
      <c r="P569" s="88" t="n"/>
    </row>
    <row r="570" customFormat="1" s="2">
      <c r="A570" s="6" t="n"/>
      <c r="B570" s="4" t="n"/>
      <c r="C570" s="4" t="inlineStr">
        <is>
          <t>Gypsum Ceiling Area</t>
        </is>
      </c>
      <c r="D570" s="7" t="inlineStr">
        <is>
          <t>Sq.ft</t>
        </is>
      </c>
      <c r="E570" s="17" t="n"/>
      <c r="F570" s="20" t="n">
        <v>1</v>
      </c>
      <c r="G570" s="47" t="n">
        <v>4.86</v>
      </c>
      <c r="H570" s="47" t="n">
        <v>6.72</v>
      </c>
      <c r="I570" s="47" t="n"/>
      <c r="J570" s="16">
        <f>PRODUCT(F570:I570)</f>
        <v/>
      </c>
      <c r="K570" s="20" t="n">
        <v>1</v>
      </c>
      <c r="L570" s="47" t="n">
        <v/>
      </c>
      <c r="M570" s="47" t="n">
        <v/>
      </c>
      <c r="N570" s="47" t="n">
        <v/>
      </c>
      <c r="O570" s="16" t="n">
        <v/>
      </c>
      <c r="P570" s="88" t="n"/>
    </row>
    <row r="571" customFormat="1" s="2">
      <c r="A571" s="6" t="n"/>
      <c r="B571" s="4" t="n"/>
      <c r="C571" s="14" t="inlineStr">
        <is>
          <t>Strong Room</t>
        </is>
      </c>
      <c r="D571" s="7" t="n"/>
      <c r="E571" s="17" t="n"/>
      <c r="F571" s="20" t="n"/>
      <c r="G571" s="47" t="n"/>
      <c r="H571" s="47" t="n"/>
      <c r="I571" s="47" t="n"/>
      <c r="J571" s="16">
        <f>PRODUCT(F571:I571)</f>
        <v/>
      </c>
      <c r="K571" s="20" t="n">
        <v/>
      </c>
      <c r="L571" s="47" t="n">
        <v/>
      </c>
      <c r="M571" s="47" t="n">
        <v/>
      </c>
      <c r="N571" s="47" t="n">
        <v/>
      </c>
      <c r="O571" s="16" t="n">
        <v/>
      </c>
      <c r="P571" s="88" t="n"/>
    </row>
    <row r="572" customFormat="1" s="2">
      <c r="A572" s="6" t="n"/>
      <c r="B572" s="4" t="n"/>
      <c r="C572" s="4" t="inlineStr">
        <is>
          <t>Gypsum Ceiling Area</t>
        </is>
      </c>
      <c r="D572" s="7" t="inlineStr">
        <is>
          <t>Sq.ft</t>
        </is>
      </c>
      <c r="E572" s="17" t="n"/>
      <c r="F572" s="20" t="n">
        <v>1</v>
      </c>
      <c r="G572" s="47" t="n">
        <v>7.64</v>
      </c>
      <c r="H572" s="34" t="n">
        <v>11.89</v>
      </c>
      <c r="I572" s="47" t="n"/>
      <c r="J572" s="16">
        <f>PRODUCT(F572:I572)</f>
        <v/>
      </c>
      <c r="K572" s="20" t="n">
        <v>1</v>
      </c>
      <c r="L572" s="47" t="n">
        <v/>
      </c>
      <c r="M572" s="34" t="n">
        <v/>
      </c>
      <c r="N572" s="47" t="n">
        <v/>
      </c>
      <c r="O572" s="16" t="n">
        <v/>
      </c>
      <c r="P572" s="88" t="n"/>
    </row>
    <row r="573" customFormat="1" s="2">
      <c r="A573" s="6" t="n"/>
      <c r="B573" s="4" t="n"/>
      <c r="C573" s="4" t="inlineStr">
        <is>
          <t>Grid Ceiling Area Less ( - )</t>
        </is>
      </c>
      <c r="D573" s="7" t="inlineStr">
        <is>
          <t>Sq.ft</t>
        </is>
      </c>
      <c r="E573" s="17" t="n"/>
      <c r="F573" s="20" t="n">
        <v>-1</v>
      </c>
      <c r="G573" s="47" t="n">
        <v>8</v>
      </c>
      <c r="H573" s="47" t="n">
        <v>6</v>
      </c>
      <c r="I573" s="47" t="n"/>
      <c r="J573" s="16">
        <f>PRODUCT(F573:I573)</f>
        <v/>
      </c>
      <c r="K573" s="20" t="n">
        <v>-1</v>
      </c>
      <c r="L573" s="47" t="n">
        <v/>
      </c>
      <c r="M573" s="47" t="n">
        <v/>
      </c>
      <c r="N573" s="47" t="n">
        <v/>
      </c>
      <c r="O573" s="16" t="n">
        <v/>
      </c>
      <c r="P573" s="88" t="n"/>
    </row>
    <row r="574" customFormat="1" s="2">
      <c r="A574" s="6" t="n"/>
      <c r="B574" s="4" t="n"/>
      <c r="C574" s="4" t="inlineStr">
        <is>
          <t>Add Vertical</t>
        </is>
      </c>
      <c r="D574" s="7" t="inlineStr">
        <is>
          <t>Sq.ft</t>
        </is>
      </c>
      <c r="E574" s="17" t="n"/>
      <c r="F574" s="20" t="n">
        <v>2</v>
      </c>
      <c r="G574" s="47">
        <f>G573</f>
        <v/>
      </c>
      <c r="H574" s="47" t="n"/>
      <c r="I574" s="47" t="n">
        <v>0.5</v>
      </c>
      <c r="J574" s="16">
        <f>PRODUCT(F574:I574)</f>
        <v/>
      </c>
      <c r="K574" s="20" t="n">
        <v>2</v>
      </c>
      <c r="L574" s="47" t="n">
        <v/>
      </c>
      <c r="M574" s="47" t="n">
        <v/>
      </c>
      <c r="N574" s="47" t="n">
        <v/>
      </c>
      <c r="O574" s="16" t="n">
        <v/>
      </c>
      <c r="P574" s="88" t="n"/>
    </row>
    <row r="575" customFormat="1" s="2">
      <c r="A575" s="6" t="n"/>
      <c r="B575" s="4" t="n"/>
      <c r="C575" s="4" t="inlineStr">
        <is>
          <t>Add Vertical</t>
        </is>
      </c>
      <c r="D575" s="7" t="inlineStr">
        <is>
          <t>Sq.ft</t>
        </is>
      </c>
      <c r="E575" s="17" t="n"/>
      <c r="F575" s="20" t="n">
        <v>2</v>
      </c>
      <c r="G575" s="47">
        <f>H573</f>
        <v/>
      </c>
      <c r="H575" s="47" t="n"/>
      <c r="I575" s="47" t="n">
        <v>0.5</v>
      </c>
      <c r="J575" s="16">
        <f>PRODUCT(F575:I575)</f>
        <v/>
      </c>
      <c r="K575" s="20" t="n">
        <v>2</v>
      </c>
      <c r="L575" s="47" t="n">
        <v/>
      </c>
      <c r="M575" s="47" t="n">
        <v/>
      </c>
      <c r="N575" s="47" t="n">
        <v/>
      </c>
      <c r="O575" s="16" t="n">
        <v/>
      </c>
      <c r="P575" s="88" t="n"/>
    </row>
    <row r="576" customFormat="1" s="2">
      <c r="A576" s="6" t="n"/>
      <c r="B576" s="4" t="n"/>
      <c r="C576" s="14" t="inlineStr">
        <is>
          <t>Safe Room</t>
        </is>
      </c>
      <c r="D576" s="7" t="n"/>
      <c r="E576" s="17" t="n"/>
      <c r="F576" s="20" t="n"/>
      <c r="G576" s="47" t="n"/>
      <c r="H576" s="47" t="n"/>
      <c r="I576" s="47" t="n"/>
      <c r="J576" s="16">
        <f>PRODUCT(F576:I576)</f>
        <v/>
      </c>
      <c r="K576" s="20" t="n">
        <v/>
      </c>
      <c r="L576" s="47" t="n">
        <v/>
      </c>
      <c r="M576" s="47" t="n">
        <v/>
      </c>
      <c r="N576" s="47" t="n">
        <v/>
      </c>
      <c r="O576" s="16" t="n">
        <v/>
      </c>
      <c r="P576" s="88" t="n"/>
    </row>
    <row r="577" customFormat="1" s="2">
      <c r="A577" s="6" t="n"/>
      <c r="B577" s="4" t="n"/>
      <c r="C577" s="4" t="inlineStr">
        <is>
          <t>Gypsum Ceiling Area</t>
        </is>
      </c>
      <c r="D577" s="7" t="inlineStr">
        <is>
          <t>Sq.ft</t>
        </is>
      </c>
      <c r="E577" s="17" t="n"/>
      <c r="F577" s="20" t="n">
        <v>1</v>
      </c>
      <c r="G577" s="47" t="n">
        <v>11.5</v>
      </c>
      <c r="H577" s="34" t="n">
        <v>5.81</v>
      </c>
      <c r="I577" s="47" t="n"/>
      <c r="J577" s="16">
        <f>PRODUCT(F577:I577)</f>
        <v/>
      </c>
      <c r="K577" s="20" t="n">
        <v>1</v>
      </c>
      <c r="L577" s="47" t="n">
        <v/>
      </c>
      <c r="M577" s="34" t="n">
        <v/>
      </c>
      <c r="N577" s="47" t="n">
        <v/>
      </c>
      <c r="O577" s="16" t="n">
        <v/>
      </c>
      <c r="P577" s="88" t="n"/>
    </row>
    <row r="578" customFormat="1" s="2">
      <c r="A578" s="6" t="n"/>
      <c r="B578" s="4" t="n"/>
      <c r="C578" s="14" t="inlineStr">
        <is>
          <t>Service Counter</t>
        </is>
      </c>
      <c r="D578" s="7" t="n"/>
      <c r="E578" s="17" t="n"/>
      <c r="F578" s="20" t="n"/>
      <c r="G578" s="47" t="n"/>
      <c r="H578" s="47" t="n"/>
      <c r="I578" s="47" t="n"/>
      <c r="J578" s="16">
        <f>PRODUCT(F578:I578)</f>
        <v/>
      </c>
      <c r="K578" s="20" t="n">
        <v/>
      </c>
      <c r="L578" s="47" t="n">
        <v/>
      </c>
      <c r="M578" s="47" t="n">
        <v/>
      </c>
      <c r="N578" s="47" t="n">
        <v/>
      </c>
      <c r="O578" s="16" t="n">
        <v/>
      </c>
      <c r="P578" s="88" t="n"/>
    </row>
    <row r="579" customFormat="1" s="2">
      <c r="A579" s="6" t="n"/>
      <c r="B579" s="4" t="n"/>
      <c r="C579" s="4" t="inlineStr">
        <is>
          <t>Gypsum Ceiling Area</t>
        </is>
      </c>
      <c r="D579" s="7" t="inlineStr">
        <is>
          <t>Sq.ft</t>
        </is>
      </c>
      <c r="E579" s="17" t="n"/>
      <c r="F579" s="20" t="n">
        <v>1</v>
      </c>
      <c r="G579" s="47" t="n">
        <v>10.6</v>
      </c>
      <c r="H579" s="47" t="n">
        <v>13.88</v>
      </c>
      <c r="I579" s="47" t="n"/>
      <c r="J579" s="16">
        <f>PRODUCT(F579:I579)</f>
        <v/>
      </c>
      <c r="K579" s="20" t="n">
        <v>1</v>
      </c>
      <c r="L579" s="47" t="n">
        <v/>
      </c>
      <c r="M579" s="47" t="n">
        <v/>
      </c>
      <c r="N579" s="47" t="n">
        <v/>
      </c>
      <c r="O579" s="16" t="n">
        <v/>
      </c>
      <c r="P579" s="88" t="n"/>
    </row>
    <row r="580" customFormat="1" s="2">
      <c r="A580" s="6" t="n"/>
      <c r="B580" s="4" t="n"/>
      <c r="C580" s="4" t="inlineStr">
        <is>
          <t>Grid Ceiling Area Less ( - )</t>
        </is>
      </c>
      <c r="D580" s="7" t="inlineStr">
        <is>
          <t>Sq.ft</t>
        </is>
      </c>
      <c r="E580" s="17" t="n"/>
      <c r="F580" s="20" t="n">
        <v>-1</v>
      </c>
      <c r="G580" s="47" t="n">
        <v>8</v>
      </c>
      <c r="H580" s="47" t="n">
        <v>12</v>
      </c>
      <c r="I580" s="47" t="n"/>
      <c r="J580" s="16">
        <f>PRODUCT(F580:I580)</f>
        <v/>
      </c>
      <c r="K580" s="20" t="n">
        <v>-1</v>
      </c>
      <c r="L580" s="47" t="n">
        <v/>
      </c>
      <c r="M580" s="47" t="n">
        <v/>
      </c>
      <c r="N580" s="47" t="n">
        <v/>
      </c>
      <c r="O580" s="16" t="n">
        <v/>
      </c>
      <c r="P580" s="88" t="n"/>
    </row>
    <row r="581" customFormat="1" s="2">
      <c r="A581" s="6" t="n"/>
      <c r="B581" s="4" t="n"/>
      <c r="C581" s="4" t="inlineStr">
        <is>
          <t>Add Vertical</t>
        </is>
      </c>
      <c r="D581" s="7" t="inlineStr">
        <is>
          <t>Sq.ft</t>
        </is>
      </c>
      <c r="E581" s="17" t="n"/>
      <c r="F581" s="20" t="n">
        <v>2</v>
      </c>
      <c r="G581" s="47">
        <f>G580</f>
        <v/>
      </c>
      <c r="H581" s="47" t="n"/>
      <c r="I581" s="47" t="n">
        <v>0.5</v>
      </c>
      <c r="J581" s="16">
        <f>PRODUCT(F581:I581)</f>
        <v/>
      </c>
      <c r="K581" s="20" t="n">
        <v>2</v>
      </c>
      <c r="L581" s="47" t="n">
        <v/>
      </c>
      <c r="M581" s="47" t="n">
        <v/>
      </c>
      <c r="N581" s="47" t="n">
        <v/>
      </c>
      <c r="O581" s="16" t="n">
        <v/>
      </c>
      <c r="P581" s="88" t="n"/>
    </row>
    <row r="582" customFormat="1" s="2">
      <c r="A582" s="6" t="n"/>
      <c r="B582" s="4" t="n"/>
      <c r="C582" s="4" t="inlineStr">
        <is>
          <t>Add Vertical</t>
        </is>
      </c>
      <c r="D582" s="7" t="inlineStr">
        <is>
          <t>Sq.ft</t>
        </is>
      </c>
      <c r="E582" s="17" t="n"/>
      <c r="F582" s="20" t="n">
        <v>2</v>
      </c>
      <c r="G582" s="47">
        <f>H580</f>
        <v/>
      </c>
      <c r="H582" s="47" t="n"/>
      <c r="I582" s="47" t="n">
        <v>0.5</v>
      </c>
      <c r="J582" s="16">
        <f>PRODUCT(F582:I582)</f>
        <v/>
      </c>
      <c r="K582" s="20" t="n">
        <v>2</v>
      </c>
      <c r="L582" s="47" t="n">
        <v/>
      </c>
      <c r="M582" s="47" t="n">
        <v/>
      </c>
      <c r="N582" s="47" t="n">
        <v/>
      </c>
      <c r="O582" s="16" t="n">
        <v/>
      </c>
      <c r="P582" s="88" t="n"/>
    </row>
    <row r="583" customFormat="1" s="2">
      <c r="A583" s="6" t="n"/>
      <c r="B583" s="4" t="n"/>
      <c r="C583" s="14" t="inlineStr">
        <is>
          <t>Cash Counter Area</t>
        </is>
      </c>
      <c r="D583" s="7" t="n"/>
      <c r="E583" s="17" t="n"/>
      <c r="F583" s="20" t="n"/>
      <c r="G583" s="47" t="n"/>
      <c r="H583" s="47" t="n"/>
      <c r="I583" s="47" t="n"/>
      <c r="J583" s="16">
        <f>PRODUCT(F583:I583)</f>
        <v/>
      </c>
      <c r="K583" s="20" t="n">
        <v/>
      </c>
      <c r="L583" s="47" t="n">
        <v/>
      </c>
      <c r="M583" s="47" t="n">
        <v/>
      </c>
      <c r="N583" s="47" t="n">
        <v/>
      </c>
      <c r="O583" s="16" t="n">
        <v/>
      </c>
      <c r="P583" s="88" t="n"/>
    </row>
    <row r="584" customFormat="1" s="2">
      <c r="A584" s="6" t="n"/>
      <c r="B584" s="4" t="n"/>
      <c r="C584" s="4" t="inlineStr">
        <is>
          <t>Gypsum Ceiling Area</t>
        </is>
      </c>
      <c r="D584" s="7" t="inlineStr">
        <is>
          <t>Sq.ft</t>
        </is>
      </c>
      <c r="E584" s="17" t="n"/>
      <c r="F584" s="20" t="n">
        <v>1</v>
      </c>
      <c r="G584" s="34" t="n">
        <v>11.51</v>
      </c>
      <c r="H584" s="47" t="n">
        <v>6.86</v>
      </c>
      <c r="I584" s="47" t="n"/>
      <c r="J584" s="16">
        <f>PRODUCT(F584:I584)</f>
        <v/>
      </c>
      <c r="K584" s="20" t="n">
        <v>1</v>
      </c>
      <c r="L584" s="34" t="n">
        <v/>
      </c>
      <c r="M584" s="47" t="n">
        <v/>
      </c>
      <c r="N584" s="47" t="n">
        <v/>
      </c>
      <c r="O584" s="16" t="n">
        <v/>
      </c>
      <c r="P584" s="88" t="n"/>
    </row>
    <row r="585" customFormat="1" s="2">
      <c r="A585" s="6" t="n"/>
      <c r="B585" s="4" t="n"/>
      <c r="C585" s="4" t="inlineStr">
        <is>
          <t>Grid Ceiling Area Less ( - )</t>
        </is>
      </c>
      <c r="D585" s="7" t="inlineStr">
        <is>
          <t>Sq.ft</t>
        </is>
      </c>
      <c r="E585" s="17" t="n"/>
      <c r="F585" s="20" t="n">
        <v>-1</v>
      </c>
      <c r="G585" s="47" t="n">
        <v>4</v>
      </c>
      <c r="H585" s="47" t="n">
        <v>6</v>
      </c>
      <c r="I585" s="47" t="n"/>
      <c r="J585" s="16">
        <f>PRODUCT(F585:I585)</f>
        <v/>
      </c>
      <c r="K585" s="20" t="n">
        <v>-1</v>
      </c>
      <c r="L585" s="47" t="n">
        <v/>
      </c>
      <c r="M585" s="47" t="n">
        <v/>
      </c>
      <c r="N585" s="47" t="n">
        <v/>
      </c>
      <c r="O585" s="16" t="n">
        <v/>
      </c>
      <c r="P585" s="88" t="n"/>
    </row>
    <row r="586" customFormat="1" s="2">
      <c r="A586" s="6" t="n"/>
      <c r="B586" s="4" t="n"/>
      <c r="C586" s="4" t="inlineStr">
        <is>
          <t>Add Vertical</t>
        </is>
      </c>
      <c r="D586" s="7" t="inlineStr">
        <is>
          <t>Sq.ft</t>
        </is>
      </c>
      <c r="E586" s="17" t="n"/>
      <c r="F586" s="20" t="n">
        <v>2</v>
      </c>
      <c r="G586" s="47">
        <f>G585</f>
        <v/>
      </c>
      <c r="H586" s="47" t="n"/>
      <c r="I586" s="47" t="n">
        <v>0.5</v>
      </c>
      <c r="J586" s="16">
        <f>PRODUCT(F586:I586)</f>
        <v/>
      </c>
      <c r="K586" s="20" t="n">
        <v>2</v>
      </c>
      <c r="L586" s="47" t="n">
        <v/>
      </c>
      <c r="M586" s="47" t="n">
        <v/>
      </c>
      <c r="N586" s="47" t="n">
        <v/>
      </c>
      <c r="O586" s="16" t="n">
        <v/>
      </c>
      <c r="P586" s="88" t="n"/>
    </row>
    <row r="587" customFormat="1" s="2">
      <c r="A587" s="6" t="n"/>
      <c r="B587" s="4" t="n"/>
      <c r="C587" s="4" t="inlineStr">
        <is>
          <t>Add Vertical</t>
        </is>
      </c>
      <c r="D587" s="7" t="inlineStr">
        <is>
          <t>Sq.ft</t>
        </is>
      </c>
      <c r="E587" s="17" t="n"/>
      <c r="F587" s="20" t="n">
        <v>2</v>
      </c>
      <c r="G587" s="47">
        <f>H585</f>
        <v/>
      </c>
      <c r="H587" s="47" t="n"/>
      <c r="I587" s="47" t="n">
        <v>0.5</v>
      </c>
      <c r="J587" s="16">
        <f>PRODUCT(F587:I587)</f>
        <v/>
      </c>
      <c r="K587" s="20" t="n">
        <v>2</v>
      </c>
      <c r="L587" s="47" t="n">
        <v/>
      </c>
      <c r="M587" s="47" t="n">
        <v/>
      </c>
      <c r="N587" s="47" t="n">
        <v/>
      </c>
      <c r="O587" s="16" t="n">
        <v/>
      </c>
      <c r="P587" s="88" t="n"/>
    </row>
    <row r="588" customFormat="1" s="2">
      <c r="A588" s="6" t="n"/>
      <c r="B588" s="4" t="n"/>
      <c r="C588" s="14" t="inlineStr">
        <is>
          <t>BM Cabin</t>
        </is>
      </c>
      <c r="D588" s="7" t="n"/>
      <c r="E588" s="17" t="n"/>
      <c r="F588" s="20" t="n"/>
      <c r="G588" s="47" t="n"/>
      <c r="H588" s="47" t="n"/>
      <c r="I588" s="47" t="n"/>
      <c r="J588" s="16">
        <f>PRODUCT(F588:I588)</f>
        <v/>
      </c>
      <c r="K588" s="20" t="n">
        <v/>
      </c>
      <c r="L588" s="47" t="n">
        <v/>
      </c>
      <c r="M588" s="47" t="n">
        <v/>
      </c>
      <c r="N588" s="47" t="n">
        <v/>
      </c>
      <c r="O588" s="16" t="n">
        <v/>
      </c>
      <c r="P588" s="88" t="n"/>
    </row>
    <row r="589" customFormat="1" s="2">
      <c r="A589" s="6" t="n"/>
      <c r="B589" s="4" t="n"/>
      <c r="C589" s="4" t="inlineStr">
        <is>
          <t>Gypsum Ceiling Area</t>
        </is>
      </c>
      <c r="D589" s="7" t="inlineStr">
        <is>
          <t>Sq.ft</t>
        </is>
      </c>
      <c r="E589" s="17" t="n"/>
      <c r="F589" s="20" t="n">
        <v>1</v>
      </c>
      <c r="G589" s="47" t="n">
        <v>11.37</v>
      </c>
      <c r="H589" s="47" t="n">
        <v>6.86</v>
      </c>
      <c r="I589" s="47" t="n"/>
      <c r="J589" s="16">
        <f>PRODUCT(F589:I589)</f>
        <v/>
      </c>
      <c r="K589" s="20" t="n">
        <v>1</v>
      </c>
      <c r="L589" s="47" t="n">
        <v/>
      </c>
      <c r="M589" s="47" t="n">
        <v/>
      </c>
      <c r="N589" s="47" t="n">
        <v/>
      </c>
      <c r="O589" s="16" t="n">
        <v/>
      </c>
      <c r="P589" s="88" t="n"/>
    </row>
    <row r="590" customFormat="1" s="2">
      <c r="A590" s="6" t="n"/>
      <c r="B590" s="4" t="n"/>
      <c r="C590" s="4" t="inlineStr">
        <is>
          <t>Grid Ceiling Area Less ( - )</t>
        </is>
      </c>
      <c r="D590" s="7" t="inlineStr">
        <is>
          <t>Sq.ft</t>
        </is>
      </c>
      <c r="E590" s="17" t="n"/>
      <c r="F590" s="20" t="n">
        <v>-1</v>
      </c>
      <c r="G590" s="47" t="n">
        <v>4</v>
      </c>
      <c r="H590" s="47" t="n">
        <v>6</v>
      </c>
      <c r="I590" s="47" t="n"/>
      <c r="J590" s="16">
        <f>PRODUCT(F590:I590)</f>
        <v/>
      </c>
      <c r="K590" s="20" t="n">
        <v>-1</v>
      </c>
      <c r="L590" s="47" t="n">
        <v/>
      </c>
      <c r="M590" s="47" t="n">
        <v/>
      </c>
      <c r="N590" s="47" t="n">
        <v/>
      </c>
      <c r="O590" s="16" t="n">
        <v/>
      </c>
      <c r="P590" s="88" t="n"/>
    </row>
    <row r="591" customFormat="1" s="2">
      <c r="A591" s="6" t="n"/>
      <c r="B591" s="4" t="n"/>
      <c r="C591" s="4" t="inlineStr">
        <is>
          <t>Add Vertical</t>
        </is>
      </c>
      <c r="D591" s="7" t="inlineStr">
        <is>
          <t>Sq.ft</t>
        </is>
      </c>
      <c r="E591" s="17" t="n"/>
      <c r="F591" s="20" t="n">
        <v>2</v>
      </c>
      <c r="G591" s="47">
        <f>G590</f>
        <v/>
      </c>
      <c r="H591" s="47" t="n"/>
      <c r="I591" s="47" t="n">
        <v>0.5</v>
      </c>
      <c r="J591" s="16">
        <f>PRODUCT(F591:I591)</f>
        <v/>
      </c>
      <c r="K591" s="20" t="n">
        <v>2</v>
      </c>
      <c r="L591" s="47" t="n">
        <v/>
      </c>
      <c r="M591" s="47" t="n">
        <v/>
      </c>
      <c r="N591" s="47" t="n">
        <v/>
      </c>
      <c r="O591" s="16" t="n">
        <v/>
      </c>
      <c r="P591" s="88" t="n"/>
    </row>
    <row r="592" customFormat="1" s="2">
      <c r="A592" s="6" t="n"/>
      <c r="B592" s="4" t="n"/>
      <c r="C592" s="4" t="inlineStr">
        <is>
          <t>Add Vertical</t>
        </is>
      </c>
      <c r="D592" s="7" t="inlineStr">
        <is>
          <t>Sq.ft</t>
        </is>
      </c>
      <c r="E592" s="17" t="n"/>
      <c r="F592" s="20" t="n">
        <v>2</v>
      </c>
      <c r="G592" s="47">
        <f>H590</f>
        <v/>
      </c>
      <c r="H592" s="47" t="n"/>
      <c r="I592" s="47" t="n">
        <v>0.5</v>
      </c>
      <c r="J592" s="16">
        <f>PRODUCT(F592:I592)</f>
        <v/>
      </c>
      <c r="K592" s="20" t="n">
        <v>2</v>
      </c>
      <c r="L592" s="47" t="n">
        <v/>
      </c>
      <c r="M592" s="47" t="n">
        <v/>
      </c>
      <c r="N592" s="47" t="n">
        <v/>
      </c>
      <c r="O592" s="16" t="n">
        <v/>
      </c>
      <c r="P592" s="88" t="n"/>
    </row>
    <row r="593" customFormat="1" s="2">
      <c r="A593" s="6" t="n"/>
      <c r="B593" s="4" t="n"/>
      <c r="C593" s="14" t="inlineStr">
        <is>
          <t>Back Office Area</t>
        </is>
      </c>
      <c r="D593" s="7" t="n"/>
      <c r="E593" s="17" t="n"/>
      <c r="F593" s="20" t="n"/>
      <c r="G593" s="47" t="n"/>
      <c r="H593" s="47" t="n"/>
      <c r="I593" s="47" t="n"/>
      <c r="J593" s="16">
        <f>PRODUCT(F593:I593)</f>
        <v/>
      </c>
      <c r="K593" s="20" t="n">
        <v/>
      </c>
      <c r="L593" s="47" t="n">
        <v/>
      </c>
      <c r="M593" s="47" t="n">
        <v/>
      </c>
      <c r="N593" s="47" t="n">
        <v/>
      </c>
      <c r="O593" s="16" t="n">
        <v/>
      </c>
      <c r="P593" s="88" t="n"/>
    </row>
    <row r="594" customFormat="1" s="2">
      <c r="A594" s="6" t="n"/>
      <c r="B594" s="4" t="n"/>
      <c r="C594" s="4" t="inlineStr">
        <is>
          <t>Gypsum Ceiling Area</t>
        </is>
      </c>
      <c r="D594" s="7" t="inlineStr">
        <is>
          <t>Sq.ft</t>
        </is>
      </c>
      <c r="E594" s="17" t="n"/>
      <c r="F594" s="20" t="n">
        <v>1</v>
      </c>
      <c r="G594" s="47" t="n">
        <v>15</v>
      </c>
      <c r="H594" s="47" t="n">
        <v>5</v>
      </c>
      <c r="I594" s="47" t="n"/>
      <c r="J594" s="16">
        <f>PRODUCT(F594:I594)</f>
        <v/>
      </c>
      <c r="K594" s="20" t="n">
        <v>1</v>
      </c>
      <c r="L594" s="47" t="n">
        <v/>
      </c>
      <c r="M594" s="47" t="n">
        <v/>
      </c>
      <c r="N594" s="47" t="n">
        <v/>
      </c>
      <c r="O594" s="16" t="n">
        <v/>
      </c>
      <c r="P594" s="88" t="n"/>
    </row>
    <row r="595" customFormat="1" s="2">
      <c r="A595" s="6" t="n"/>
      <c r="B595" s="4" t="n"/>
      <c r="C595" s="4" t="inlineStr">
        <is>
          <t>Gypsum Ceiling Area</t>
        </is>
      </c>
      <c r="D595" s="7" t="inlineStr">
        <is>
          <t>Sq.ft</t>
        </is>
      </c>
      <c r="E595" s="17" t="n"/>
      <c r="F595" s="20" t="n">
        <v>1</v>
      </c>
      <c r="G595" s="47" t="n">
        <v>6.05</v>
      </c>
      <c r="H595" s="47" t="n">
        <v>7.09</v>
      </c>
      <c r="I595" s="47" t="n"/>
      <c r="J595" s="16">
        <f>PRODUCT(F595:I595)</f>
        <v/>
      </c>
      <c r="K595" s="20" t="n">
        <v>1</v>
      </c>
      <c r="L595" s="47" t="n">
        <v/>
      </c>
      <c r="M595" s="47" t="n">
        <v/>
      </c>
      <c r="N595" s="47" t="n">
        <v/>
      </c>
      <c r="O595" s="16" t="n">
        <v/>
      </c>
      <c r="P595" s="88" t="n"/>
    </row>
    <row r="596" customFormat="1" s="2">
      <c r="A596" s="6" t="n"/>
      <c r="B596" s="4" t="n"/>
      <c r="C596" s="4" t="inlineStr">
        <is>
          <t>Grid Ceiling Area Less ( - )</t>
        </is>
      </c>
      <c r="D596" s="7" t="inlineStr">
        <is>
          <t>Sq.ft</t>
        </is>
      </c>
      <c r="E596" s="17" t="n"/>
      <c r="F596" s="20" t="n">
        <v>-1</v>
      </c>
      <c r="G596" s="47" t="n">
        <v>4</v>
      </c>
      <c r="H596" s="47" t="n">
        <v>10</v>
      </c>
      <c r="I596" s="47" t="n"/>
      <c r="J596" s="16">
        <f>PRODUCT(F596:I596)</f>
        <v/>
      </c>
      <c r="K596" s="20" t="n">
        <v>-1</v>
      </c>
      <c r="L596" s="47" t="n">
        <v/>
      </c>
      <c r="M596" s="47" t="n">
        <v/>
      </c>
      <c r="N596" s="47" t="n">
        <v/>
      </c>
      <c r="O596" s="16" t="n">
        <v/>
      </c>
      <c r="P596" s="88" t="n"/>
    </row>
    <row r="597" customFormat="1" s="2">
      <c r="A597" s="6" t="n"/>
      <c r="B597" s="4" t="n"/>
      <c r="C597" s="4" t="inlineStr">
        <is>
          <t>Add Vertical</t>
        </is>
      </c>
      <c r="D597" s="7" t="inlineStr">
        <is>
          <t>Sq.ft</t>
        </is>
      </c>
      <c r="E597" s="17" t="n"/>
      <c r="F597" s="20" t="n">
        <v>2</v>
      </c>
      <c r="G597" s="47">
        <f>G596</f>
        <v/>
      </c>
      <c r="H597" s="47" t="n"/>
      <c r="I597" s="47" t="n">
        <v>0.5</v>
      </c>
      <c r="J597" s="16">
        <f>PRODUCT(F597:I597)</f>
        <v/>
      </c>
      <c r="K597" s="20" t="n">
        <v>2</v>
      </c>
      <c r="L597" s="47" t="n">
        <v/>
      </c>
      <c r="M597" s="47" t="n">
        <v/>
      </c>
      <c r="N597" s="47" t="n">
        <v/>
      </c>
      <c r="O597" s="16" t="n">
        <v/>
      </c>
      <c r="P597" s="88" t="n"/>
    </row>
    <row r="598" customFormat="1" s="2">
      <c r="A598" s="6" t="n"/>
      <c r="B598" s="4" t="n"/>
      <c r="C598" s="4" t="inlineStr">
        <is>
          <t>Add Vertical</t>
        </is>
      </c>
      <c r="D598" s="7" t="inlineStr">
        <is>
          <t>Sq.ft</t>
        </is>
      </c>
      <c r="E598" s="17" t="n"/>
      <c r="F598" s="20" t="n">
        <v>2</v>
      </c>
      <c r="G598" s="47">
        <f>H596</f>
        <v/>
      </c>
      <c r="H598" s="47" t="n"/>
      <c r="I598" s="47" t="n">
        <v>0.5</v>
      </c>
      <c r="J598" s="16">
        <f>PRODUCT(F598:I598)</f>
        <v/>
      </c>
      <c r="K598" s="20" t="n">
        <v>2</v>
      </c>
      <c r="L598" s="47" t="n">
        <v/>
      </c>
      <c r="M598" s="47" t="n">
        <v/>
      </c>
      <c r="N598" s="47" t="n">
        <v/>
      </c>
      <c r="O598" s="16" t="n">
        <v/>
      </c>
      <c r="P598" s="88" t="n"/>
    </row>
    <row r="599" customFormat="1" s="2">
      <c r="A599" s="6" t="n"/>
      <c r="B599" s="4" t="n"/>
      <c r="C599" s="14" t="inlineStr">
        <is>
          <t>Beam Cover</t>
        </is>
      </c>
      <c r="D599" s="7" t="n"/>
      <c r="E599" s="17" t="n"/>
      <c r="F599" s="20" t="n"/>
      <c r="G599" s="47" t="n"/>
      <c r="H599" s="47" t="n"/>
      <c r="I599" s="47" t="n"/>
      <c r="J599" s="16">
        <f>PRODUCT(F599:I599)</f>
        <v/>
      </c>
      <c r="K599" s="20" t="n">
        <v/>
      </c>
      <c r="L599" s="47" t="n">
        <v/>
      </c>
      <c r="M599" s="47" t="n">
        <v/>
      </c>
      <c r="N599" s="47" t="n">
        <v/>
      </c>
      <c r="O599" s="16" t="n">
        <v/>
      </c>
      <c r="P599" s="88" t="n"/>
    </row>
    <row r="600" customFormat="1" s="2">
      <c r="A600" s="6" t="n"/>
      <c r="B600" s="4" t="n"/>
      <c r="C600" s="4" t="inlineStr">
        <is>
          <t>Gypsum Ceiling Area</t>
        </is>
      </c>
      <c r="D600" s="7" t="inlineStr">
        <is>
          <t>Sq.ft</t>
        </is>
      </c>
      <c r="E600" s="17" t="n"/>
      <c r="F600" s="20" t="n">
        <v>1</v>
      </c>
      <c r="G600" s="47" t="n">
        <v>3</v>
      </c>
      <c r="H600" s="47" t="n">
        <v>2</v>
      </c>
      <c r="I600" s="47" t="n"/>
      <c r="J600" s="16">
        <f>PRODUCT(F600:I600)</f>
        <v/>
      </c>
      <c r="K600" s="20" t="n">
        <v>1</v>
      </c>
      <c r="L600" s="47" t="n">
        <v/>
      </c>
      <c r="M600" s="47" t="n">
        <v/>
      </c>
      <c r="N600" s="47" t="n">
        <v/>
      </c>
      <c r="O600" s="16" t="n">
        <v/>
      </c>
      <c r="P600" s="88" t="n"/>
    </row>
    <row r="601" customFormat="1" s="2">
      <c r="A601" s="6" t="n"/>
      <c r="B601" s="4" t="n"/>
      <c r="C601" s="14" t="inlineStr">
        <is>
          <t>Store Room Passage</t>
        </is>
      </c>
      <c r="D601" s="7" t="n"/>
      <c r="E601" s="17" t="n"/>
      <c r="F601" s="20" t="n"/>
      <c r="G601" s="47" t="n"/>
      <c r="H601" s="47" t="n"/>
      <c r="I601" s="47" t="n"/>
      <c r="J601" s="16">
        <f>PRODUCT(F601:I601)</f>
        <v/>
      </c>
      <c r="K601" s="20" t="n">
        <v/>
      </c>
      <c r="L601" s="47" t="n">
        <v/>
      </c>
      <c r="M601" s="47" t="n">
        <v/>
      </c>
      <c r="N601" s="47" t="n">
        <v/>
      </c>
      <c r="O601" s="16" t="n">
        <v/>
      </c>
      <c r="P601" s="88" t="n"/>
    </row>
    <row r="602" customFormat="1" s="2">
      <c r="A602" s="6" t="n"/>
      <c r="B602" s="4" t="n"/>
      <c r="C602" s="4" t="inlineStr">
        <is>
          <t>Gypsum Ceiling Area</t>
        </is>
      </c>
      <c r="D602" s="7" t="inlineStr">
        <is>
          <t>Sq.ft</t>
        </is>
      </c>
      <c r="E602" s="17" t="n"/>
      <c r="F602" s="20" t="n">
        <v>1</v>
      </c>
      <c r="G602" s="47" t="n">
        <v>4.48</v>
      </c>
      <c r="H602" s="47" t="n">
        <v>4.83</v>
      </c>
      <c r="I602" s="47" t="n"/>
      <c r="J602" s="16">
        <f>PRODUCT(F602:I602)</f>
        <v/>
      </c>
      <c r="K602" s="20" t="n">
        <v>1</v>
      </c>
      <c r="L602" s="47" t="n">
        <v/>
      </c>
      <c r="M602" s="47" t="n">
        <v/>
      </c>
      <c r="N602" s="47" t="n">
        <v/>
      </c>
      <c r="O602" s="16" t="n">
        <v/>
      </c>
      <c r="P602" s="88" t="n"/>
    </row>
    <row r="603" customFormat="1" s="2">
      <c r="A603" s="6" t="n"/>
      <c r="B603" s="4" t="n"/>
      <c r="C603" s="4" t="inlineStr">
        <is>
          <t>Gypsum Ceiling Area</t>
        </is>
      </c>
      <c r="D603" s="7" t="inlineStr">
        <is>
          <t>Sq.ft</t>
        </is>
      </c>
      <c r="E603" s="17" t="n"/>
      <c r="F603" s="20" t="n">
        <v>1</v>
      </c>
      <c r="G603" s="47" t="n">
        <v>9.27</v>
      </c>
      <c r="H603" s="47" t="n">
        <v>10.87</v>
      </c>
      <c r="I603" s="47" t="n"/>
      <c r="J603" s="16">
        <f>PRODUCT(F603:I603)</f>
        <v/>
      </c>
      <c r="K603" s="20" t="n">
        <v>1</v>
      </c>
      <c r="L603" s="47" t="n">
        <v/>
      </c>
      <c r="M603" s="47" t="n">
        <v/>
      </c>
      <c r="N603" s="47" t="n">
        <v/>
      </c>
      <c r="O603" s="16" t="n">
        <v/>
      </c>
      <c r="P603" s="88" t="n"/>
    </row>
    <row r="604" customFormat="1" s="2">
      <c r="A604" s="6" t="n"/>
      <c r="B604" s="4" t="n"/>
      <c r="C604" s="4" t="inlineStr">
        <is>
          <t>Grid Ceiling Area Less ( - )</t>
        </is>
      </c>
      <c r="D604" s="7" t="inlineStr">
        <is>
          <t>Sq.ft</t>
        </is>
      </c>
      <c r="E604" s="17" t="n"/>
      <c r="F604" s="20" t="n">
        <v>-1</v>
      </c>
      <c r="G604" s="47" t="n">
        <v>4</v>
      </c>
      <c r="H604" s="47" t="n">
        <v>8</v>
      </c>
      <c r="I604" s="47" t="n"/>
      <c r="J604" s="16">
        <f>PRODUCT(F604:I604)</f>
        <v/>
      </c>
      <c r="K604" s="20" t="n">
        <v>-1</v>
      </c>
      <c r="L604" s="47" t="n">
        <v/>
      </c>
      <c r="M604" s="47" t="n">
        <v/>
      </c>
      <c r="N604" s="47" t="n">
        <v/>
      </c>
      <c r="O604" s="16" t="n">
        <v/>
      </c>
      <c r="P604" s="88" t="n"/>
    </row>
    <row r="605" customFormat="1" s="2">
      <c r="A605" s="6" t="n"/>
      <c r="B605" s="4" t="n"/>
      <c r="C605" s="4" t="inlineStr">
        <is>
          <t>Add Vertical</t>
        </is>
      </c>
      <c r="D605" s="7" t="inlineStr">
        <is>
          <t>Sq.ft</t>
        </is>
      </c>
      <c r="E605" s="17" t="n"/>
      <c r="F605" s="20" t="n">
        <v>2</v>
      </c>
      <c r="G605" s="47">
        <f>G604</f>
        <v/>
      </c>
      <c r="H605" s="47" t="n"/>
      <c r="I605" s="47" t="n">
        <v>0.5</v>
      </c>
      <c r="J605" s="16">
        <f>PRODUCT(F605:I605)</f>
        <v/>
      </c>
      <c r="K605" s="20" t="n">
        <v>2</v>
      </c>
      <c r="L605" s="47" t="n">
        <v/>
      </c>
      <c r="M605" s="47" t="n">
        <v/>
      </c>
      <c r="N605" s="47" t="n">
        <v/>
      </c>
      <c r="O605" s="16" t="n">
        <v/>
      </c>
      <c r="P605" s="88" t="n"/>
    </row>
    <row r="606" customFormat="1" s="2">
      <c r="A606" s="6" t="n"/>
      <c r="B606" s="4" t="n"/>
      <c r="C606" s="4" t="inlineStr">
        <is>
          <t>Add Vertical</t>
        </is>
      </c>
      <c r="D606" s="7" t="inlineStr">
        <is>
          <t>Sq.ft</t>
        </is>
      </c>
      <c r="E606" s="17" t="n"/>
      <c r="F606" s="20" t="n">
        <v>2</v>
      </c>
      <c r="G606" s="47">
        <f>H604</f>
        <v/>
      </c>
      <c r="H606" s="47" t="n"/>
      <c r="I606" s="47" t="n">
        <v>0.5</v>
      </c>
      <c r="J606" s="16">
        <f>PRODUCT(F606:I606)</f>
        <v/>
      </c>
      <c r="K606" s="20" t="n">
        <v>2</v>
      </c>
      <c r="L606" s="47" t="n">
        <v/>
      </c>
      <c r="M606" s="47" t="n">
        <v/>
      </c>
      <c r="N606" s="47" t="n">
        <v/>
      </c>
      <c r="O606" s="16" t="n">
        <v/>
      </c>
      <c r="P606" s="88" t="n"/>
    </row>
    <row r="607" customFormat="1" s="2">
      <c r="A607" s="6" t="n"/>
      <c r="B607" s="4" t="n"/>
      <c r="C607" s="14" t="inlineStr">
        <is>
          <t>Beam Cover</t>
        </is>
      </c>
      <c r="D607" s="7" t="n"/>
      <c r="E607" s="17" t="n"/>
      <c r="F607" s="20" t="n"/>
      <c r="G607" s="47" t="n"/>
      <c r="H607" s="47" t="n"/>
      <c r="I607" s="47" t="n"/>
      <c r="J607" s="16">
        <f>PRODUCT(F607:I607)</f>
        <v/>
      </c>
      <c r="K607" s="20" t="n">
        <v/>
      </c>
      <c r="L607" s="47" t="n">
        <v/>
      </c>
      <c r="M607" s="47" t="n">
        <v/>
      </c>
      <c r="N607" s="47" t="n">
        <v/>
      </c>
      <c r="O607" s="16" t="n">
        <v/>
      </c>
      <c r="P607" s="88" t="n"/>
    </row>
    <row r="608" customFormat="1" s="2">
      <c r="A608" s="6" t="n"/>
      <c r="B608" s="4" t="n"/>
      <c r="C608" s="4" t="inlineStr">
        <is>
          <t>Gypsum Ceiling Area</t>
        </is>
      </c>
      <c r="D608" s="7" t="inlineStr">
        <is>
          <t>Sq.ft</t>
        </is>
      </c>
      <c r="E608" s="17" t="n"/>
      <c r="F608" s="20" t="n">
        <v>1</v>
      </c>
      <c r="G608" s="47" t="n">
        <v>5.8</v>
      </c>
      <c r="H608" s="47">
        <f>0.5+1.17+0.5</f>
        <v/>
      </c>
      <c r="I608" s="47" t="n"/>
      <c r="J608" s="16">
        <f>PRODUCT(F608:I608)</f>
        <v/>
      </c>
      <c r="K608" s="20" t="n">
        <v>1</v>
      </c>
      <c r="L608" s="47" t="n">
        <v/>
      </c>
      <c r="M608" s="47" t="n">
        <v/>
      </c>
      <c r="N608" s="47" t="n">
        <v/>
      </c>
      <c r="O608" s="16" t="n">
        <v/>
      </c>
      <c r="P608" s="88" t="n"/>
    </row>
    <row r="609" customFormat="1" s="2">
      <c r="A609" s="6" t="n"/>
      <c r="B609" s="4" t="n"/>
      <c r="C609" s="14" t="inlineStr">
        <is>
          <t>Staircase Area</t>
        </is>
      </c>
      <c r="D609" s="7" t="n"/>
      <c r="E609" s="17" t="n"/>
      <c r="F609" s="20" t="n"/>
      <c r="G609" s="47" t="n"/>
      <c r="H609" s="47" t="n"/>
      <c r="I609" s="47" t="n"/>
      <c r="J609" s="16">
        <f>PRODUCT(F609:I609)</f>
        <v/>
      </c>
      <c r="K609" s="20" t="n">
        <v/>
      </c>
      <c r="L609" s="47" t="n">
        <v/>
      </c>
      <c r="M609" s="47" t="n">
        <v/>
      </c>
      <c r="N609" s="47" t="n">
        <v/>
      </c>
      <c r="O609" s="16" t="n">
        <v/>
      </c>
      <c r="P609" s="88" t="n"/>
    </row>
    <row r="610" customFormat="1" s="2">
      <c r="A610" s="6" t="n"/>
      <c r="B610" s="4" t="n"/>
      <c r="C610" s="4" t="inlineStr">
        <is>
          <t>Gypsum Ceiling Area</t>
        </is>
      </c>
      <c r="D610" s="7" t="inlineStr">
        <is>
          <t>Sq.ft</t>
        </is>
      </c>
      <c r="E610" s="17" t="n"/>
      <c r="F610" s="20" t="n">
        <v>1</v>
      </c>
      <c r="G610" s="47">
        <f>(11+14.23)/2</f>
        <v/>
      </c>
      <c r="H610" s="47" t="n">
        <v>11.47</v>
      </c>
      <c r="I610" s="47" t="n"/>
      <c r="J610" s="16">
        <f>PRODUCT(F610:I610)</f>
        <v/>
      </c>
      <c r="K610" s="20" t="n">
        <v>1</v>
      </c>
      <c r="L610" s="47" t="n">
        <v/>
      </c>
      <c r="M610" s="47" t="n">
        <v/>
      </c>
      <c r="N610" s="47" t="n">
        <v/>
      </c>
      <c r="O610" s="16" t="n">
        <v/>
      </c>
      <c r="P610" s="88" t="n"/>
    </row>
    <row r="611" customFormat="1" s="2">
      <c r="A611" s="6" t="n"/>
      <c r="B611" s="4" t="n"/>
      <c r="C611" s="4" t="inlineStr">
        <is>
          <t>Gypsum Ceiling Area</t>
        </is>
      </c>
      <c r="D611" s="7" t="inlineStr">
        <is>
          <t>Sq.ft</t>
        </is>
      </c>
      <c r="E611" s="17" t="n"/>
      <c r="F611" s="20" t="n">
        <v>1</v>
      </c>
      <c r="G611" s="47">
        <f>H610-5.82</f>
        <v/>
      </c>
      <c r="H611" s="47" t="n">
        <v>0.25</v>
      </c>
      <c r="I611" s="47" t="n"/>
      <c r="J611" s="16">
        <f>PRODUCT(F611:I611)</f>
        <v/>
      </c>
      <c r="K611" s="20" t="n">
        <v>1</v>
      </c>
      <c r="L611" s="47" t="n">
        <v/>
      </c>
      <c r="M611" s="47" t="n">
        <v/>
      </c>
      <c r="N611" s="47" t="n">
        <v/>
      </c>
      <c r="O611" s="16" t="n">
        <v/>
      </c>
      <c r="P611" s="88" t="n"/>
    </row>
    <row r="612" customFormat="1" s="2">
      <c r="A612" s="6" t="n"/>
      <c r="B612" s="4" t="n"/>
      <c r="C612" s="14" t="inlineStr">
        <is>
          <t>Beam Cover</t>
        </is>
      </c>
      <c r="D612" s="7" t="n"/>
      <c r="E612" s="17" t="n"/>
      <c r="F612" s="20" t="n"/>
      <c r="G612" s="47" t="n"/>
      <c r="H612" s="47" t="n"/>
      <c r="I612" s="47" t="n"/>
      <c r="J612" s="16">
        <f>PRODUCT(F612:I612)</f>
        <v/>
      </c>
      <c r="K612" s="20" t="n">
        <v/>
      </c>
      <c r="L612" s="47" t="n">
        <v/>
      </c>
      <c r="M612" s="47" t="n">
        <v/>
      </c>
      <c r="N612" s="47" t="n">
        <v/>
      </c>
      <c r="O612" s="16" t="n">
        <v/>
      </c>
      <c r="P612" s="88" t="n"/>
    </row>
    <row r="613" customFormat="1" s="2">
      <c r="A613" s="6" t="n"/>
      <c r="B613" s="4" t="n"/>
      <c r="C613" s="4" t="inlineStr">
        <is>
          <t>Gypsum Ceiling Area</t>
        </is>
      </c>
      <c r="D613" s="7" t="inlineStr">
        <is>
          <t>Sq.ft</t>
        </is>
      </c>
      <c r="E613" s="17" t="n"/>
      <c r="F613" s="20" t="n">
        <v>1</v>
      </c>
      <c r="G613" s="47">
        <f>10.55</f>
        <v/>
      </c>
      <c r="H613" s="47" t="n">
        <v>0.42</v>
      </c>
      <c r="I613" s="47" t="n"/>
      <c r="J613" s="16">
        <f>PRODUCT(F613:I613)</f>
        <v/>
      </c>
      <c r="K613" s="20" t="n">
        <v>1</v>
      </c>
      <c r="L613" s="47" t="n">
        <v/>
      </c>
      <c r="M613" s="47" t="n">
        <v/>
      </c>
      <c r="N613" s="47" t="n">
        <v/>
      </c>
      <c r="O613" s="16" t="n">
        <v/>
      </c>
      <c r="P613" s="88" t="n"/>
    </row>
    <row r="614" customFormat="1" s="2">
      <c r="A614" s="6" t="n"/>
      <c r="B614" s="4" t="n"/>
      <c r="C614" s="4" t="inlineStr">
        <is>
          <t>Gypsum Ceiling Area</t>
        </is>
      </c>
      <c r="D614" s="7" t="inlineStr">
        <is>
          <t>Sq.ft</t>
        </is>
      </c>
      <c r="E614" s="17" t="n"/>
      <c r="F614" s="20" t="n">
        <v>1</v>
      </c>
      <c r="G614" s="47" t="n">
        <v>14</v>
      </c>
      <c r="H614" s="47" t="n">
        <v>0.42</v>
      </c>
      <c r="I614" s="47" t="n"/>
      <c r="J614" s="16">
        <f>PRODUCT(F614:I614)</f>
        <v/>
      </c>
      <c r="K614" s="20" t="n">
        <v>1</v>
      </c>
      <c r="L614" s="47" t="n">
        <v/>
      </c>
      <c r="M614" s="47" t="n">
        <v/>
      </c>
      <c r="N614" s="47" t="n">
        <v/>
      </c>
      <c r="O614" s="16" t="n">
        <v/>
      </c>
      <c r="P614" s="88" t="n"/>
    </row>
    <row r="615" customFormat="1" s="2">
      <c r="A615" s="6" t="n"/>
      <c r="B615" s="4" t="n"/>
      <c r="C615" s="4" t="inlineStr">
        <is>
          <t>Grid Ceiling Area Less ( - )</t>
        </is>
      </c>
      <c r="D615" s="7" t="inlineStr">
        <is>
          <t>Sq.ft</t>
        </is>
      </c>
      <c r="E615" s="17" t="n"/>
      <c r="F615" s="20" t="n">
        <v>-1</v>
      </c>
      <c r="G615" s="47" t="n">
        <v>4</v>
      </c>
      <c r="H615" s="47" t="n">
        <v>10</v>
      </c>
      <c r="I615" s="47" t="n"/>
      <c r="J615" s="16">
        <f>PRODUCT(F615:I615)</f>
        <v/>
      </c>
      <c r="K615" s="20" t="n">
        <v>-1</v>
      </c>
      <c r="L615" s="47" t="n">
        <v/>
      </c>
      <c r="M615" s="47" t="n">
        <v/>
      </c>
      <c r="N615" s="47" t="n">
        <v/>
      </c>
      <c r="O615" s="16" t="n">
        <v/>
      </c>
      <c r="P615" s="88" t="n"/>
    </row>
    <row r="616" customFormat="1" s="2">
      <c r="A616" s="6" t="n"/>
      <c r="B616" s="4" t="n"/>
      <c r="C616" s="4" t="inlineStr">
        <is>
          <t>Add Vertical</t>
        </is>
      </c>
      <c r="D616" s="7" t="inlineStr">
        <is>
          <t>Sq.ft</t>
        </is>
      </c>
      <c r="E616" s="17" t="n"/>
      <c r="F616" s="20" t="n">
        <v>2</v>
      </c>
      <c r="G616" s="47">
        <f>G615</f>
        <v/>
      </c>
      <c r="H616" s="47" t="n"/>
      <c r="I616" s="47" t="n">
        <v>0.5</v>
      </c>
      <c r="J616" s="16">
        <f>PRODUCT(F616:I616)</f>
        <v/>
      </c>
      <c r="K616" s="20" t="n">
        <v>2</v>
      </c>
      <c r="L616" s="47" t="n">
        <v/>
      </c>
      <c r="M616" s="47" t="n">
        <v/>
      </c>
      <c r="N616" s="47" t="n">
        <v/>
      </c>
      <c r="O616" s="16" t="n">
        <v/>
      </c>
      <c r="P616" s="88" t="n"/>
    </row>
    <row r="617" customFormat="1" s="2">
      <c r="A617" s="6" t="n"/>
      <c r="B617" s="4" t="n"/>
      <c r="C617" s="4" t="inlineStr">
        <is>
          <t>Add Vertical</t>
        </is>
      </c>
      <c r="D617" s="7" t="inlineStr">
        <is>
          <t>Sq.ft</t>
        </is>
      </c>
      <c r="E617" s="17" t="n"/>
      <c r="F617" s="20" t="n">
        <v>2</v>
      </c>
      <c r="G617" s="47">
        <f>H615</f>
        <v/>
      </c>
      <c r="H617" s="47" t="n"/>
      <c r="I617" s="47" t="n">
        <v>0.5</v>
      </c>
      <c r="J617" s="16">
        <f>PRODUCT(F617:I617)</f>
        <v/>
      </c>
      <c r="K617" s="20" t="n">
        <v>2</v>
      </c>
      <c r="L617" s="47" t="n">
        <v/>
      </c>
      <c r="M617" s="47" t="n">
        <v/>
      </c>
      <c r="N617" s="47" t="n">
        <v/>
      </c>
      <c r="O617" s="16" t="n">
        <v/>
      </c>
      <c r="P617" s="88" t="n"/>
    </row>
    <row r="618" customFormat="1" s="2">
      <c r="A618" s="6" t="n"/>
      <c r="B618" s="4" t="n"/>
      <c r="C618" s="14" t="inlineStr">
        <is>
          <t>JL Cabin</t>
        </is>
      </c>
      <c r="D618" s="7" t="n"/>
      <c r="E618" s="17" t="n"/>
      <c r="F618" s="20" t="n"/>
      <c r="G618" s="47" t="n"/>
      <c r="H618" s="47" t="n"/>
      <c r="I618" s="47" t="n"/>
      <c r="J618" s="16">
        <f>PRODUCT(F618:I618)</f>
        <v/>
      </c>
      <c r="K618" s="20" t="n">
        <v/>
      </c>
      <c r="L618" s="47" t="n">
        <v/>
      </c>
      <c r="M618" s="47" t="n">
        <v/>
      </c>
      <c r="N618" s="47" t="n">
        <v/>
      </c>
      <c r="O618" s="16" t="n">
        <v/>
      </c>
      <c r="P618" s="88" t="n"/>
    </row>
    <row r="619" customFormat="1" s="2">
      <c r="A619" s="6" t="n"/>
      <c r="B619" s="4" t="n"/>
      <c r="C619" s="4" t="inlineStr">
        <is>
          <t>Gypsum Ceiling Area</t>
        </is>
      </c>
      <c r="D619" s="7" t="inlineStr">
        <is>
          <t>Sq.ft</t>
        </is>
      </c>
      <c r="E619" s="17" t="n"/>
      <c r="F619" s="20" t="n">
        <v>1</v>
      </c>
      <c r="G619" s="47" t="n">
        <v>6.88</v>
      </c>
      <c r="H619" s="34" t="n">
        <v>8.91</v>
      </c>
      <c r="I619" s="47" t="n"/>
      <c r="J619" s="16">
        <f>PRODUCT(F619:I619)</f>
        <v/>
      </c>
      <c r="K619" s="20" t="n">
        <v>1</v>
      </c>
      <c r="L619" s="47" t="n">
        <v/>
      </c>
      <c r="M619" s="34" t="n">
        <v/>
      </c>
      <c r="N619" s="47" t="n">
        <v/>
      </c>
      <c r="O619" s="16" t="n">
        <v/>
      </c>
      <c r="P619" s="88" t="n"/>
    </row>
    <row r="620" customFormat="1" s="2">
      <c r="A620" s="6" t="n"/>
      <c r="B620" s="4" t="n"/>
      <c r="C620" s="4" t="inlineStr">
        <is>
          <t>Grid Ceiling Area Less ( - )</t>
        </is>
      </c>
      <c r="D620" s="7" t="inlineStr">
        <is>
          <t>Sq.ft</t>
        </is>
      </c>
      <c r="E620" s="17" t="n"/>
      <c r="F620" s="20" t="n">
        <v>-1</v>
      </c>
      <c r="G620" s="47" t="n">
        <v>4</v>
      </c>
      <c r="H620" s="47" t="n">
        <v>6</v>
      </c>
      <c r="I620" s="47" t="n"/>
      <c r="J620" s="16">
        <f>PRODUCT(F620:I620)</f>
        <v/>
      </c>
      <c r="K620" s="20" t="n">
        <v>-1</v>
      </c>
      <c r="L620" s="47" t="n">
        <v/>
      </c>
      <c r="M620" s="47" t="n">
        <v/>
      </c>
      <c r="N620" s="47" t="n">
        <v/>
      </c>
      <c r="O620" s="16" t="n">
        <v/>
      </c>
      <c r="P620" s="88" t="n"/>
    </row>
    <row r="621" customFormat="1" s="2">
      <c r="A621" s="6" t="n"/>
      <c r="B621" s="4" t="n"/>
      <c r="C621" s="4" t="inlineStr">
        <is>
          <t>Add Vertical</t>
        </is>
      </c>
      <c r="D621" s="7" t="inlineStr">
        <is>
          <t>Sq.ft</t>
        </is>
      </c>
      <c r="E621" s="17" t="n"/>
      <c r="F621" s="20" t="n">
        <v>2</v>
      </c>
      <c r="G621" s="47">
        <f>G620</f>
        <v/>
      </c>
      <c r="H621" s="47" t="n"/>
      <c r="I621" s="47" t="n">
        <v>0.5</v>
      </c>
      <c r="J621" s="16">
        <f>PRODUCT(F621:I621)</f>
        <v/>
      </c>
      <c r="K621" s="20" t="n">
        <v>2</v>
      </c>
      <c r="L621" s="47" t="n">
        <v/>
      </c>
      <c r="M621" s="47" t="n">
        <v/>
      </c>
      <c r="N621" s="47" t="n">
        <v/>
      </c>
      <c r="O621" s="16" t="n">
        <v/>
      </c>
      <c r="P621" s="88" t="n"/>
    </row>
    <row r="622" customFormat="1" s="2">
      <c r="A622" s="6" t="n"/>
      <c r="B622" s="4" t="n"/>
      <c r="C622" s="4" t="inlineStr">
        <is>
          <t>Add Vertical</t>
        </is>
      </c>
      <c r="D622" s="7" t="inlineStr">
        <is>
          <t>Sq.ft</t>
        </is>
      </c>
      <c r="E622" s="17" t="n"/>
      <c r="F622" s="20" t="n">
        <v>2</v>
      </c>
      <c r="G622" s="47">
        <f>H620</f>
        <v/>
      </c>
      <c r="H622" s="47" t="n"/>
      <c r="I622" s="47" t="n">
        <v>0.5</v>
      </c>
      <c r="J622" s="16">
        <f>PRODUCT(F622:I622)</f>
        <v/>
      </c>
      <c r="K622" s="20" t="n">
        <v>2</v>
      </c>
      <c r="L622" s="47" t="n">
        <v/>
      </c>
      <c r="M622" s="47" t="n">
        <v/>
      </c>
      <c r="N622" s="47" t="n">
        <v/>
      </c>
      <c r="O622" s="16" t="n">
        <v/>
      </c>
      <c r="P622" s="88" t="n"/>
    </row>
    <row r="623" customFormat="1" s="2">
      <c r="A623" s="6" t="n"/>
      <c r="B623" s="4" t="n"/>
      <c r="C623" s="14" t="inlineStr">
        <is>
          <t>Store Room</t>
        </is>
      </c>
      <c r="D623" s="7" t="n"/>
      <c r="E623" s="17" t="n"/>
      <c r="F623" s="20" t="n"/>
      <c r="G623" s="47" t="n"/>
      <c r="H623" s="47" t="n"/>
      <c r="I623" s="47" t="n"/>
      <c r="J623" s="16">
        <f>PRODUCT(F623:I623)</f>
        <v/>
      </c>
      <c r="K623" s="20" t="n">
        <v/>
      </c>
      <c r="L623" s="47" t="n">
        <v/>
      </c>
      <c r="M623" s="47" t="n">
        <v/>
      </c>
      <c r="N623" s="47" t="n">
        <v/>
      </c>
      <c r="O623" s="16" t="n">
        <v/>
      </c>
      <c r="P623" s="88" t="n"/>
    </row>
    <row r="624" customFormat="1" s="2">
      <c r="A624" s="6" t="n"/>
      <c r="B624" s="4" t="n"/>
      <c r="C624" s="4" t="inlineStr">
        <is>
          <t>Gypsum Ceiling Area</t>
        </is>
      </c>
      <c r="D624" s="7" t="inlineStr">
        <is>
          <t>Sq.ft</t>
        </is>
      </c>
      <c r="E624" s="17" t="n"/>
      <c r="F624" s="20" t="n">
        <v>1</v>
      </c>
      <c r="G624" s="47" t="n">
        <v>5.2</v>
      </c>
      <c r="H624" s="47" t="n">
        <v>5.08</v>
      </c>
      <c r="I624" s="47" t="n"/>
      <c r="J624" s="16">
        <f>PRODUCT(F624:I624)</f>
        <v/>
      </c>
      <c r="K624" s="20" t="n">
        <v>1</v>
      </c>
      <c r="L624" s="47" t="n">
        <v/>
      </c>
      <c r="M624" s="47" t="n">
        <v/>
      </c>
      <c r="N624" s="47" t="n">
        <v/>
      </c>
      <c r="O624" s="16" t="n">
        <v/>
      </c>
      <c r="P624" s="88" t="n"/>
    </row>
    <row r="625" customFormat="1" s="2">
      <c r="A625" s="6" t="n"/>
      <c r="B625" s="4" t="n"/>
      <c r="C625" s="4" t="inlineStr">
        <is>
          <t>Gypsum Ceiling Area</t>
        </is>
      </c>
      <c r="D625" s="7" t="inlineStr">
        <is>
          <t>Sq.ft</t>
        </is>
      </c>
      <c r="E625" s="17" t="n"/>
      <c r="F625" s="20" t="n">
        <v>1</v>
      </c>
      <c r="G625" s="47" t="n">
        <v>5.2</v>
      </c>
      <c r="H625" s="47">
        <f>6.5/12</f>
        <v/>
      </c>
      <c r="I625" s="47" t="n"/>
      <c r="J625" s="16">
        <f>PRODUCT(F625:I625)</f>
        <v/>
      </c>
      <c r="K625" s="20" t="n">
        <v>1</v>
      </c>
      <c r="L625" s="47" t="n">
        <v/>
      </c>
      <c r="M625" s="47" t="n">
        <v/>
      </c>
      <c r="N625" s="47" t="n">
        <v/>
      </c>
      <c r="O625" s="16" t="n">
        <v/>
      </c>
      <c r="P625" s="88" t="n"/>
    </row>
    <row r="626" customFormat="1" s="2">
      <c r="A626" s="6" t="n"/>
      <c r="B626" s="4" t="n"/>
      <c r="C626" s="14" t="inlineStr">
        <is>
          <t>Pantry Area</t>
        </is>
      </c>
      <c r="D626" s="7" t="n"/>
      <c r="E626" s="17" t="n"/>
      <c r="F626" s="20" t="n"/>
      <c r="G626" s="47" t="n"/>
      <c r="H626" s="47" t="n"/>
      <c r="I626" s="47" t="n"/>
      <c r="J626" s="16">
        <f>PRODUCT(F626:I626)</f>
        <v/>
      </c>
      <c r="K626" s="20" t="n">
        <v/>
      </c>
      <c r="L626" s="47" t="n">
        <v/>
      </c>
      <c r="M626" s="47" t="n">
        <v/>
      </c>
      <c r="N626" s="47" t="n">
        <v/>
      </c>
      <c r="O626" s="16" t="n">
        <v/>
      </c>
      <c r="P626" s="88" t="n"/>
    </row>
    <row r="627" customFormat="1" s="2">
      <c r="A627" s="6" t="n"/>
      <c r="B627" s="4" t="n"/>
      <c r="C627" s="4" t="inlineStr">
        <is>
          <t>Gypsum Ceiling Area</t>
        </is>
      </c>
      <c r="D627" s="7" t="inlineStr">
        <is>
          <t>Sq.ft</t>
        </is>
      </c>
      <c r="E627" s="17" t="n"/>
      <c r="F627" s="20" t="n">
        <v>1</v>
      </c>
      <c r="G627" s="47" t="n">
        <v>6.34</v>
      </c>
      <c r="H627" s="47" t="n">
        <v>9.83</v>
      </c>
      <c r="I627" s="47" t="n"/>
      <c r="J627" s="16">
        <f>PRODUCT(F627:I627)</f>
        <v/>
      </c>
      <c r="K627" s="20" t="n">
        <v>1</v>
      </c>
      <c r="L627" s="47" t="n">
        <v/>
      </c>
      <c r="M627" s="47" t="n">
        <v/>
      </c>
      <c r="N627" s="47" t="n">
        <v/>
      </c>
      <c r="O627" s="16" t="n">
        <v/>
      </c>
      <c r="P627" s="88" t="n"/>
    </row>
    <row r="628" customFormat="1" s="2">
      <c r="A628" s="6" t="n"/>
      <c r="B628" s="4" t="n"/>
      <c r="C628" s="4" t="inlineStr">
        <is>
          <t>Grid Ceiling Area Less ( - )</t>
        </is>
      </c>
      <c r="D628" s="7" t="inlineStr">
        <is>
          <t>Sq.ft</t>
        </is>
      </c>
      <c r="E628" s="17" t="n"/>
      <c r="F628" s="20" t="n">
        <v>-1</v>
      </c>
      <c r="G628" s="47" t="n">
        <v>4</v>
      </c>
      <c r="H628" s="47" t="n">
        <v>8</v>
      </c>
      <c r="I628" s="47" t="n"/>
      <c r="J628" s="16">
        <f>PRODUCT(F628:I628)</f>
        <v/>
      </c>
      <c r="K628" s="20" t="n">
        <v>-1</v>
      </c>
      <c r="L628" s="47" t="n">
        <v/>
      </c>
      <c r="M628" s="47" t="n">
        <v/>
      </c>
      <c r="N628" s="47" t="n">
        <v/>
      </c>
      <c r="O628" s="16" t="n">
        <v/>
      </c>
      <c r="P628" s="88" t="n"/>
    </row>
    <row r="629" customFormat="1" s="2">
      <c r="A629" s="6" t="n"/>
      <c r="B629" s="4" t="n"/>
      <c r="C629" s="4" t="inlineStr">
        <is>
          <t>Add Vertical</t>
        </is>
      </c>
      <c r="D629" s="7" t="inlineStr">
        <is>
          <t>Sq.ft</t>
        </is>
      </c>
      <c r="E629" s="17" t="n"/>
      <c r="F629" s="20" t="n">
        <v>2</v>
      </c>
      <c r="G629" s="47">
        <f>G628</f>
        <v/>
      </c>
      <c r="H629" s="47" t="n"/>
      <c r="I629" s="47" t="n">
        <v>0.5</v>
      </c>
      <c r="J629" s="16">
        <f>PRODUCT(F629:I629)</f>
        <v/>
      </c>
      <c r="K629" s="20" t="n">
        <v>2</v>
      </c>
      <c r="L629" s="47" t="n">
        <v/>
      </c>
      <c r="M629" s="47" t="n">
        <v/>
      </c>
      <c r="N629" s="47" t="n">
        <v/>
      </c>
      <c r="O629" s="16" t="n">
        <v/>
      </c>
      <c r="P629" s="88" t="n"/>
    </row>
    <row r="630" customFormat="1" s="2">
      <c r="A630" s="6" t="n"/>
      <c r="B630" s="4" t="n"/>
      <c r="C630" s="4" t="inlineStr">
        <is>
          <t>Add Vertical</t>
        </is>
      </c>
      <c r="D630" s="7" t="inlineStr">
        <is>
          <t>Sq.ft</t>
        </is>
      </c>
      <c r="E630" s="17" t="n"/>
      <c r="F630" s="20" t="n">
        <v>2</v>
      </c>
      <c r="G630" s="47">
        <f>H628</f>
        <v/>
      </c>
      <c r="H630" s="47" t="n"/>
      <c r="I630" s="47" t="n">
        <v>0.5</v>
      </c>
      <c r="J630" s="16">
        <f>PRODUCT(F630:I630)</f>
        <v/>
      </c>
      <c r="K630" s="20" t="n">
        <v>2</v>
      </c>
      <c r="L630" s="47" t="n">
        <v/>
      </c>
      <c r="M630" s="47" t="n">
        <v/>
      </c>
      <c r="N630" s="47" t="n">
        <v/>
      </c>
      <c r="O630" s="16" t="n">
        <v/>
      </c>
      <c r="P630" s="88" t="n"/>
    </row>
    <row r="631" customFormat="1" s="2">
      <c r="A631" s="6" t="n"/>
      <c r="B631" s="4" t="n"/>
      <c r="C631" s="14" t="inlineStr">
        <is>
          <t>ATM Loft Area</t>
        </is>
      </c>
      <c r="D631" s="7" t="n"/>
      <c r="E631" s="17" t="n"/>
      <c r="F631" s="20" t="n"/>
      <c r="G631" s="47" t="n"/>
      <c r="H631" s="47" t="n"/>
      <c r="I631" s="47" t="n"/>
      <c r="J631" s="16">
        <f>PRODUCT(F631:I631)</f>
        <v/>
      </c>
      <c r="K631" s="20" t="n">
        <v/>
      </c>
      <c r="L631" s="47" t="n">
        <v/>
      </c>
      <c r="M631" s="47" t="n">
        <v/>
      </c>
      <c r="N631" s="47" t="n">
        <v/>
      </c>
      <c r="O631" s="16" t="n">
        <v/>
      </c>
      <c r="P631" s="88" t="n"/>
    </row>
    <row r="632" customFormat="1" s="2">
      <c r="A632" s="6" t="n"/>
      <c r="B632" s="4" t="n"/>
      <c r="C632" s="4" t="inlineStr">
        <is>
          <t>Gypsum Ceiling Area</t>
        </is>
      </c>
      <c r="D632" s="7" t="inlineStr">
        <is>
          <t>Sq.ft</t>
        </is>
      </c>
      <c r="E632" s="17" t="n"/>
      <c r="F632" s="20" t="n">
        <v>1</v>
      </c>
      <c r="G632" s="47" t="n">
        <v>11.55</v>
      </c>
      <c r="H632" s="47" t="n">
        <v>6.74</v>
      </c>
      <c r="I632" s="47" t="n"/>
      <c r="J632" s="16">
        <f>PRODUCT(F632:I632)</f>
        <v/>
      </c>
      <c r="K632" s="20" t="n">
        <v>1</v>
      </c>
      <c r="L632" s="47" t="n">
        <v/>
      </c>
      <c r="M632" s="47" t="n">
        <v/>
      </c>
      <c r="N632" s="47" t="n">
        <v/>
      </c>
      <c r="O632" s="16" t="n">
        <v/>
      </c>
      <c r="P632" s="88" t="n"/>
    </row>
    <row r="633" customFormat="1" s="2">
      <c r="A633" s="6" t="n"/>
      <c r="B633" s="4" t="n"/>
      <c r="C633" s="14" t="inlineStr">
        <is>
          <t>Toilet Passage Area</t>
        </is>
      </c>
      <c r="D633" s="7" t="n"/>
      <c r="E633" s="17" t="n"/>
      <c r="F633" s="20" t="n"/>
      <c r="G633" s="47" t="n"/>
      <c r="H633" s="47" t="n"/>
      <c r="I633" s="47" t="n"/>
      <c r="J633" s="16">
        <f>PRODUCT(F633:I633)</f>
        <v/>
      </c>
      <c r="K633" s="20" t="n">
        <v/>
      </c>
      <c r="L633" s="47" t="n">
        <v/>
      </c>
      <c r="M633" s="47" t="n">
        <v/>
      </c>
      <c r="N633" s="47" t="n">
        <v/>
      </c>
      <c r="O633" s="16" t="n">
        <v/>
      </c>
      <c r="P633" s="88" t="n"/>
    </row>
    <row r="634" customFormat="1" s="2">
      <c r="A634" s="6" t="n"/>
      <c r="B634" s="4" t="n"/>
      <c r="C634" s="4" t="inlineStr">
        <is>
          <t>Gypsum Ceiling Area</t>
        </is>
      </c>
      <c r="D634" s="7" t="inlineStr">
        <is>
          <t>Sq.ft</t>
        </is>
      </c>
      <c r="E634" s="17" t="n"/>
      <c r="F634" s="20" t="n">
        <v>1</v>
      </c>
      <c r="G634" s="47" t="n">
        <v>3.35</v>
      </c>
      <c r="H634" s="47" t="n">
        <v>3.84</v>
      </c>
      <c r="I634" s="47" t="n"/>
      <c r="J634" s="16">
        <f>PRODUCT(F634:I634)</f>
        <v/>
      </c>
      <c r="K634" s="20" t="n">
        <v>1</v>
      </c>
      <c r="L634" s="47" t="n">
        <v/>
      </c>
      <c r="M634" s="47" t="n">
        <v/>
      </c>
      <c r="N634" s="47" t="n">
        <v/>
      </c>
      <c r="O634" s="16" t="n">
        <v/>
      </c>
      <c r="P634" s="88" t="n"/>
    </row>
    <row r="635" customFormat="1" s="2">
      <c r="A635" s="6" t="n"/>
      <c r="B635" s="4" t="n"/>
      <c r="C635" s="14" t="inlineStr">
        <is>
          <t>Gents Toilet</t>
        </is>
      </c>
      <c r="D635" s="7" t="n"/>
      <c r="E635" s="17" t="n"/>
      <c r="F635" s="20" t="n"/>
      <c r="G635" s="47" t="n"/>
      <c r="H635" s="47" t="n"/>
      <c r="I635" s="47" t="n"/>
      <c r="J635" s="16">
        <f>PRODUCT(F635:I635)</f>
        <v/>
      </c>
      <c r="K635" s="20" t="n">
        <v/>
      </c>
      <c r="L635" s="47" t="n">
        <v/>
      </c>
      <c r="M635" s="47" t="n">
        <v/>
      </c>
      <c r="N635" s="47" t="n">
        <v/>
      </c>
      <c r="O635" s="16" t="n">
        <v/>
      </c>
      <c r="P635" s="88" t="n"/>
    </row>
    <row r="636" customFormat="1" s="2">
      <c r="A636" s="6" t="n"/>
      <c r="B636" s="4" t="n"/>
      <c r="C636" s="4" t="inlineStr">
        <is>
          <t>Gypsum Ceiling Area</t>
        </is>
      </c>
      <c r="D636" s="7" t="inlineStr">
        <is>
          <t>Sq.ft</t>
        </is>
      </c>
      <c r="E636" s="17" t="n"/>
      <c r="F636" s="20" t="n">
        <v>1</v>
      </c>
      <c r="G636" s="47">
        <f>(8.76+9.77)/2</f>
        <v/>
      </c>
      <c r="H636" s="47" t="n">
        <v>4.08</v>
      </c>
      <c r="I636" s="47" t="n"/>
      <c r="J636" s="16">
        <f>PRODUCT(F636:I636)</f>
        <v/>
      </c>
      <c r="K636" s="20" t="n">
        <v>1</v>
      </c>
      <c r="L636" s="47" t="n">
        <v/>
      </c>
      <c r="M636" s="47" t="n">
        <v/>
      </c>
      <c r="N636" s="47" t="n">
        <v/>
      </c>
      <c r="O636" s="16" t="n">
        <v/>
      </c>
      <c r="P636" s="88" t="n"/>
    </row>
    <row r="637" customFormat="1" s="2">
      <c r="A637" s="6" t="n"/>
      <c r="B637" s="4" t="n"/>
      <c r="C637" s="14" t="inlineStr">
        <is>
          <t>Ladies Toilet</t>
        </is>
      </c>
      <c r="D637" s="7" t="n"/>
      <c r="E637" s="17" t="n"/>
      <c r="F637" s="20" t="n"/>
      <c r="G637" s="47" t="n"/>
      <c r="H637" s="47" t="n"/>
      <c r="I637" s="47" t="n"/>
      <c r="J637" s="16">
        <f>PRODUCT(F637:I637)</f>
        <v/>
      </c>
      <c r="K637" s="20" t="n">
        <v/>
      </c>
      <c r="L637" s="47" t="n">
        <v/>
      </c>
      <c r="M637" s="47" t="n">
        <v/>
      </c>
      <c r="N637" s="47" t="n">
        <v/>
      </c>
      <c r="O637" s="16" t="n">
        <v/>
      </c>
      <c r="P637" s="88" t="n"/>
    </row>
    <row r="638" customFormat="1" s="2">
      <c r="A638" s="6" t="n"/>
      <c r="B638" s="4" t="n"/>
      <c r="C638" s="4" t="inlineStr">
        <is>
          <t>Gypsum Ceiling Area</t>
        </is>
      </c>
      <c r="D638" s="7" t="inlineStr">
        <is>
          <t>Sq.ft</t>
        </is>
      </c>
      <c r="E638" s="17" t="n"/>
      <c r="F638" s="20" t="n">
        <v>1</v>
      </c>
      <c r="G638" s="47" t="n">
        <v>3.82</v>
      </c>
      <c r="H638" s="47" t="n">
        <v>6.15</v>
      </c>
      <c r="I638" s="47" t="n"/>
      <c r="J638" s="16">
        <f>PRODUCT(F638:I638)</f>
        <v/>
      </c>
      <c r="K638" s="20" t="n">
        <v>1</v>
      </c>
      <c r="L638" s="47" t="n">
        <v/>
      </c>
      <c r="M638" s="47" t="n">
        <v/>
      </c>
      <c r="N638" s="47" t="n">
        <v/>
      </c>
      <c r="O638" s="16" t="n">
        <v/>
      </c>
      <c r="P638" s="88" t="n"/>
    </row>
    <row r="639" customFormat="1" s="2">
      <c r="A639" s="6" t="n"/>
      <c r="B639" s="4" t="n"/>
      <c r="C639" s="4" t="n"/>
      <c r="D639" s="7" t="n"/>
      <c r="E639" s="17" t="n"/>
      <c r="F639" s="20" t="n"/>
      <c r="G639" s="47" t="n"/>
      <c r="H639" s="47" t="n"/>
      <c r="I639" s="47" t="n"/>
      <c r="J639" s="16">
        <f>PRODUCT(F639:I639)</f>
        <v/>
      </c>
      <c r="K639" s="20" t="n">
        <v/>
      </c>
      <c r="L639" s="47" t="n">
        <v/>
      </c>
      <c r="M639" s="47" t="n">
        <v/>
      </c>
      <c r="N639" s="47" t="n">
        <v/>
      </c>
      <c r="O639" s="16" t="n">
        <v/>
      </c>
      <c r="P639" s="88" t="n"/>
    </row>
    <row r="640" customFormat="1" s="2">
      <c r="A640" s="6" t="n"/>
      <c r="B640" s="6" t="n"/>
      <c r="C640" s="112" t="inlineStr">
        <is>
          <t>Total Qty</t>
        </is>
      </c>
      <c r="D640" s="7" t="n"/>
      <c r="E640" s="17" t="n"/>
      <c r="F640" s="16" t="n"/>
      <c r="G640" s="16" t="n"/>
      <c r="H640" s="16" t="n"/>
      <c r="I640" s="16" t="n"/>
      <c r="J640" s="26">
        <f>ROUND(SUM(J569:J639),)</f>
        <v/>
      </c>
      <c r="K640" s="16" t="n">
        <v/>
      </c>
      <c r="L640" s="16" t="n">
        <v/>
      </c>
      <c r="M640" s="16" t="n">
        <v/>
      </c>
      <c r="N640" s="16" t="n">
        <v/>
      </c>
      <c r="O640" s="26" t="n">
        <v/>
      </c>
      <c r="P640" s="88" t="n"/>
    </row>
    <row r="641">
      <c r="A641" s="117" t="n"/>
      <c r="B641" s="117" t="n"/>
      <c r="C641" s="117" t="n"/>
      <c r="D641" s="117" t="n"/>
      <c r="E641" s="118" t="n"/>
      <c r="F641" s="119" t="n"/>
      <c r="G641" s="119" t="n"/>
      <c r="H641" s="119" t="n"/>
      <c r="I641" s="119" t="n"/>
      <c r="J641" s="119" t="n"/>
      <c r="K641" s="119" t="n">
        <v/>
      </c>
      <c r="L641" s="119" t="n">
        <v/>
      </c>
      <c r="M641" s="119" t="n">
        <v/>
      </c>
      <c r="N641" s="119" t="n">
        <v/>
      </c>
      <c r="O641" s="119" t="n">
        <v/>
      </c>
      <c r="P641" s="117" t="n"/>
    </row>
    <row r="642" ht="41.4" customFormat="1" customHeight="1" s="2">
      <c r="A642" s="6">
        <f>A568+1</f>
        <v/>
      </c>
      <c r="B642" s="4" t="inlineStr">
        <is>
          <t>Main Cables</t>
        </is>
      </c>
      <c r="C642" s="4" t="inlineStr">
        <is>
          <t>Supply of Polycab Alluminium armoured cable 3.5 core 50 sqmm from meter room of the building to electrical main panel of the Bank inside the premises.</t>
        </is>
      </c>
      <c r="D642" s="5" t="inlineStr">
        <is>
          <t>MTR</t>
        </is>
      </c>
      <c r="E642" s="16" t="n">
        <v>50</v>
      </c>
      <c r="F642" s="20" t="n"/>
      <c r="G642" s="47" t="n"/>
      <c r="H642" s="47" t="n"/>
      <c r="I642" s="47" t="n"/>
      <c r="J642" s="47" t="n"/>
      <c r="K642" s="20" t="n">
        <v/>
      </c>
      <c r="L642" s="47" t="n">
        <v/>
      </c>
      <c r="M642" s="47" t="n">
        <v/>
      </c>
      <c r="N642" s="47" t="n">
        <v/>
      </c>
      <c r="O642" s="47" t="n">
        <v/>
      </c>
      <c r="P642" s="88" t="n"/>
    </row>
    <row r="643" customFormat="1" s="2">
      <c r="A643" s="6" t="n"/>
      <c r="B643" s="4" t="n"/>
      <c r="C643" s="4" t="n"/>
      <c r="D643" s="5" t="n"/>
      <c r="E643" s="16" t="n"/>
      <c r="F643" s="20" t="n"/>
      <c r="G643" s="47" t="n"/>
      <c r="H643" s="47" t="n"/>
      <c r="I643" s="47" t="n"/>
      <c r="J643" s="16">
        <f>PRODUCT(F643:I643)</f>
        <v/>
      </c>
      <c r="K643" s="20" t="n">
        <v/>
      </c>
      <c r="L643" s="47" t="n">
        <v/>
      </c>
      <c r="M643" s="47" t="n">
        <v/>
      </c>
      <c r="N643" s="47" t="n">
        <v/>
      </c>
      <c r="O643" s="16" t="n">
        <v/>
      </c>
      <c r="P643" s="88" t="n"/>
    </row>
    <row r="644" customFormat="1" s="2">
      <c r="A644" s="6" t="n"/>
      <c r="B644" s="4" t="n"/>
      <c r="C644" s="4" t="inlineStr">
        <is>
          <t>Meter Room To Panel</t>
        </is>
      </c>
      <c r="D644" s="5" t="inlineStr">
        <is>
          <t>Mtr</t>
        </is>
      </c>
      <c r="E644" s="16" t="n"/>
      <c r="F644" s="20" t="n">
        <v>1</v>
      </c>
      <c r="G644" s="47" t="n">
        <v>50</v>
      </c>
      <c r="H644" s="47" t="n"/>
      <c r="I644" s="47" t="n"/>
      <c r="J644" s="16">
        <f>PRODUCT(F644:I644)</f>
        <v/>
      </c>
      <c r="K644" s="20" t="n">
        <v>1</v>
      </c>
      <c r="L644" s="47" t="n">
        <v/>
      </c>
      <c r="M644" s="47" t="n">
        <v/>
      </c>
      <c r="N644" s="47" t="n">
        <v/>
      </c>
      <c r="O644" s="16" t="n">
        <v/>
      </c>
      <c r="P644" s="88" t="n"/>
    </row>
    <row r="645" customFormat="1" s="2">
      <c r="A645" s="6" t="n"/>
      <c r="B645" s="4" t="n"/>
      <c r="C645" s="4" t="n"/>
      <c r="D645" s="5" t="n"/>
      <c r="E645" s="16" t="n"/>
      <c r="F645" s="20" t="n"/>
      <c r="G645" s="47" t="n"/>
      <c r="H645" s="47" t="n"/>
      <c r="I645" s="47" t="n"/>
      <c r="J645" s="16">
        <f>PRODUCT(F645:I645)</f>
        <v/>
      </c>
      <c r="K645" s="20" t="n">
        <v/>
      </c>
      <c r="L645" s="47" t="n">
        <v/>
      </c>
      <c r="M645" s="47" t="n">
        <v/>
      </c>
      <c r="N645" s="47" t="n">
        <v/>
      </c>
      <c r="O645" s="16" t="n">
        <v/>
      </c>
      <c r="P645" s="88" t="n"/>
    </row>
    <row r="646" customFormat="1" s="2">
      <c r="A646" s="6" t="n"/>
      <c r="B646" s="6" t="n"/>
      <c r="C646" s="112" t="inlineStr">
        <is>
          <t>Total Qty</t>
        </is>
      </c>
      <c r="D646" s="7" t="n"/>
      <c r="E646" s="17" t="n"/>
      <c r="F646" s="16" t="n"/>
      <c r="G646" s="16" t="n"/>
      <c r="H646" s="16" t="n"/>
      <c r="I646" s="16" t="n"/>
      <c r="J646" s="26">
        <f>ROUND(SUM(J643:J645),)</f>
        <v/>
      </c>
      <c r="K646" s="16" t="n">
        <v/>
      </c>
      <c r="L646" s="16" t="n">
        <v/>
      </c>
      <c r="M646" s="16" t="n">
        <v/>
      </c>
      <c r="N646" s="16" t="n">
        <v/>
      </c>
      <c r="O646" s="26" t="n">
        <v/>
      </c>
      <c r="P646" s="88" t="n"/>
    </row>
    <row r="647" customFormat="1" s="2">
      <c r="A647" s="6" t="n"/>
      <c r="B647" s="4" t="n"/>
      <c r="C647" s="4" t="n"/>
      <c r="D647" s="5" t="n"/>
      <c r="E647" s="16" t="n"/>
      <c r="F647" s="20" t="n"/>
      <c r="G647" s="47" t="n"/>
      <c r="H647" s="47" t="n"/>
      <c r="I647" s="47" t="n"/>
      <c r="J647" s="47" t="n"/>
      <c r="K647" s="20" t="n">
        <v/>
      </c>
      <c r="L647" s="47" t="n">
        <v/>
      </c>
      <c r="M647" s="47" t="n">
        <v/>
      </c>
      <c r="N647" s="47" t="n">
        <v/>
      </c>
      <c r="O647" s="47" t="n">
        <v/>
      </c>
      <c r="P647" s="88" t="n"/>
    </row>
    <row r="648" ht="138" customFormat="1" customHeight="1" s="2">
      <c r="A648" s="6">
        <f>A642+1</f>
        <v/>
      </c>
      <c r="B648" s="4" t="inlineStr">
        <is>
          <t>Writable Backpainted Glass Board in meeting room</t>
        </is>
      </c>
      <c r="C648" s="4"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D648" s="7" t="inlineStr">
        <is>
          <t>sft</t>
        </is>
      </c>
      <c r="E648" s="17" t="n">
        <v>32</v>
      </c>
      <c r="F648" s="20" t="n"/>
      <c r="G648" s="47" t="n"/>
      <c r="H648" s="47" t="n"/>
      <c r="I648" s="47" t="n"/>
      <c r="J648" s="47" t="n"/>
      <c r="K648" s="20" t="n">
        <v/>
      </c>
      <c r="L648" s="47" t="n">
        <v/>
      </c>
      <c r="M648" s="47" t="n">
        <v/>
      </c>
      <c r="N648" s="47" t="n">
        <v/>
      </c>
      <c r="O648" s="47" t="n">
        <v/>
      </c>
      <c r="P648" s="88" t="n"/>
    </row>
    <row r="649" customFormat="1" s="2">
      <c r="A649" s="6" t="n"/>
      <c r="B649" s="4" t="n"/>
      <c r="C649" s="14" t="inlineStr">
        <is>
          <t>BM Cabin</t>
        </is>
      </c>
      <c r="D649" s="7" t="n"/>
      <c r="E649" s="17" t="n"/>
      <c r="F649" s="20" t="n"/>
      <c r="G649" s="47" t="n"/>
      <c r="H649" s="47" t="n"/>
      <c r="I649" s="47" t="n"/>
      <c r="J649" s="47">
        <f>PRODUCT(E649:I649)</f>
        <v/>
      </c>
      <c r="K649" s="20" t="n">
        <v/>
      </c>
      <c r="L649" s="47" t="n">
        <v/>
      </c>
      <c r="M649" s="47" t="n">
        <v/>
      </c>
      <c r="N649" s="47" t="n">
        <v/>
      </c>
      <c r="O649" s="47" t="n">
        <v/>
      </c>
      <c r="P649" s="88" t="n"/>
    </row>
    <row r="650" customFormat="1" s="2">
      <c r="A650" s="6" t="n"/>
      <c r="B650" s="4" t="n"/>
      <c r="C650" s="4" t="inlineStr">
        <is>
          <t>Writable Backpainted Glass</t>
        </is>
      </c>
      <c r="D650" s="7" t="inlineStr">
        <is>
          <t>Sq.ft</t>
        </is>
      </c>
      <c r="E650" s="17" t="n"/>
      <c r="F650" s="20" t="n">
        <v>1</v>
      </c>
      <c r="G650" s="47" t="n">
        <v>4</v>
      </c>
      <c r="H650" s="47" t="n"/>
      <c r="I650" s="47" t="n">
        <v>3</v>
      </c>
      <c r="J650" s="47">
        <f>PRODUCT(E650:I650)</f>
        <v/>
      </c>
      <c r="K650" s="20" t="n">
        <v>1</v>
      </c>
      <c r="L650" s="47" t="n">
        <v/>
      </c>
      <c r="M650" s="47" t="n">
        <v/>
      </c>
      <c r="N650" s="47" t="n">
        <v/>
      </c>
      <c r="O650" s="47" t="n">
        <v/>
      </c>
      <c r="P650" s="88" t="n"/>
    </row>
    <row r="651" customFormat="1" s="2">
      <c r="A651" s="6" t="n"/>
      <c r="B651" s="4" t="n"/>
      <c r="C651" s="14" t="inlineStr">
        <is>
          <t>JL Cabin</t>
        </is>
      </c>
      <c r="D651" s="7" t="n"/>
      <c r="E651" s="17" t="n"/>
      <c r="F651" s="20" t="n"/>
      <c r="G651" s="47" t="n"/>
      <c r="H651" s="47" t="n"/>
      <c r="I651" s="47" t="n"/>
      <c r="J651" s="47">
        <f>PRODUCT(E651:I651)</f>
        <v/>
      </c>
      <c r="K651" s="20" t="n">
        <v/>
      </c>
      <c r="L651" s="47" t="n">
        <v/>
      </c>
      <c r="M651" s="47" t="n">
        <v/>
      </c>
      <c r="N651" s="47" t="n">
        <v/>
      </c>
      <c r="O651" s="47" t="n">
        <v/>
      </c>
      <c r="P651" s="88" t="n"/>
    </row>
    <row r="652" customFormat="1" s="2">
      <c r="A652" s="6" t="n"/>
      <c r="B652" s="4" t="n"/>
      <c r="C652" s="4" t="inlineStr">
        <is>
          <t>Writable Backpainted Glass</t>
        </is>
      </c>
      <c r="D652" s="7" t="inlineStr">
        <is>
          <t>Sq.ft</t>
        </is>
      </c>
      <c r="E652" s="17" t="n"/>
      <c r="F652" s="20" t="n">
        <v>1</v>
      </c>
      <c r="G652" s="47" t="n">
        <v>4</v>
      </c>
      <c r="H652" s="47" t="n"/>
      <c r="I652" s="47" t="n">
        <v>3</v>
      </c>
      <c r="J652" s="47">
        <f>PRODUCT(E652:I652)</f>
        <v/>
      </c>
      <c r="K652" s="20" t="n">
        <v>1</v>
      </c>
      <c r="L652" s="47" t="n">
        <v/>
      </c>
      <c r="M652" s="47" t="n">
        <v/>
      </c>
      <c r="N652" s="47" t="n">
        <v/>
      </c>
      <c r="O652" s="47" t="n">
        <v/>
      </c>
      <c r="P652" s="88" t="n"/>
    </row>
    <row r="653" customFormat="1" s="2">
      <c r="A653" s="6" t="n"/>
      <c r="B653" s="4" t="n"/>
      <c r="C653" s="4" t="n"/>
      <c r="D653" s="7" t="n"/>
      <c r="E653" s="17" t="n"/>
      <c r="F653" s="20" t="n"/>
      <c r="G653" s="47" t="n"/>
      <c r="H653" s="47" t="n"/>
      <c r="I653" s="47" t="n"/>
      <c r="J653" s="47">
        <f>PRODUCT(E653:I653)</f>
        <v/>
      </c>
      <c r="K653" s="20" t="n">
        <v/>
      </c>
      <c r="L653" s="47" t="n">
        <v/>
      </c>
      <c r="M653" s="47" t="n">
        <v/>
      </c>
      <c r="N653" s="47" t="n">
        <v/>
      </c>
      <c r="O653" s="47" t="n">
        <v/>
      </c>
      <c r="P653" s="88" t="n"/>
    </row>
    <row r="654" customFormat="1" s="2">
      <c r="A654" s="112" t="n"/>
      <c r="B654" s="112" t="n"/>
      <c r="C654" s="112" t="inlineStr">
        <is>
          <t>Total Qty</t>
        </is>
      </c>
      <c r="D654" s="120" t="n"/>
      <c r="E654" s="121" t="n"/>
      <c r="F654" s="123" t="n"/>
      <c r="G654" s="123" t="n"/>
      <c r="H654" s="123" t="n"/>
      <c r="I654" s="123" t="n"/>
      <c r="J654" s="123">
        <f>SUM(J649:J653)</f>
        <v/>
      </c>
      <c r="K654" s="123" t="n">
        <v/>
      </c>
      <c r="L654" s="123" t="n">
        <v/>
      </c>
      <c r="M654" s="123" t="n">
        <v/>
      </c>
      <c r="N654" s="123" t="n">
        <v/>
      </c>
      <c r="O654" s="123" t="n">
        <v/>
      </c>
      <c r="P654" s="88" t="n"/>
    </row>
    <row r="655" customFormat="1" s="2">
      <c r="A655" s="6" t="n"/>
      <c r="B655" s="4" t="n"/>
      <c r="C655" s="4" t="n"/>
      <c r="D655" s="7" t="n"/>
      <c r="E655" s="17" t="n"/>
      <c r="F655" s="20" t="n"/>
      <c r="G655" s="47" t="n"/>
      <c r="H655" s="47" t="n"/>
      <c r="I655" s="47" t="n"/>
      <c r="J655" s="47" t="n"/>
      <c r="K655" s="20" t="n">
        <v/>
      </c>
      <c r="L655" s="47" t="n">
        <v/>
      </c>
      <c r="M655" s="47" t="n">
        <v/>
      </c>
      <c r="N655" s="47" t="n">
        <v/>
      </c>
      <c r="O655" s="47" t="n">
        <v/>
      </c>
      <c r="P655" s="88" t="n"/>
    </row>
    <row r="656" ht="27.6" customFormat="1" customHeight="1" s="2">
      <c r="A656" s="6">
        <f>A648+1</f>
        <v/>
      </c>
      <c r="B656" s="4" t="inlineStr">
        <is>
          <t>Plastic Chair for Guard</t>
        </is>
      </c>
      <c r="C656" s="4" t="inlineStr">
        <is>
          <t>Providing of Plastic chair without armrest Grey color, Neelkamal make.</t>
        </is>
      </c>
      <c r="D656" s="5" t="inlineStr">
        <is>
          <t>nos</t>
        </is>
      </c>
      <c r="E656" s="16" t="n">
        <v>1</v>
      </c>
      <c r="F656" s="20" t="n"/>
      <c r="G656" s="47" t="n"/>
      <c r="H656" s="47" t="n"/>
      <c r="I656" s="47" t="n"/>
      <c r="J656" s="47" t="n"/>
      <c r="K656" s="20" t="n">
        <v/>
      </c>
      <c r="L656" s="47" t="n">
        <v/>
      </c>
      <c r="M656" s="47" t="n">
        <v/>
      </c>
      <c r="N656" s="47" t="n">
        <v/>
      </c>
      <c r="O656" s="47" t="n">
        <v/>
      </c>
      <c r="P656" s="120" t="inlineStr">
        <is>
          <t>Not provided</t>
        </is>
      </c>
    </row>
    <row r="657" customFormat="1" s="2">
      <c r="A657" s="6" t="n"/>
      <c r="B657" s="4" t="n"/>
      <c r="C657" s="14" t="n"/>
      <c r="D657" s="7" t="n"/>
      <c r="E657" s="17" t="n"/>
      <c r="F657" s="20" t="n"/>
      <c r="G657" s="47" t="n"/>
      <c r="H657" s="47" t="n"/>
      <c r="I657" s="47" t="n"/>
      <c r="J657" s="47">
        <f>PRODUCT(E657:I657)</f>
        <v/>
      </c>
      <c r="K657" s="20" t="n">
        <v/>
      </c>
      <c r="L657" s="47" t="n">
        <v/>
      </c>
      <c r="M657" s="47" t="n">
        <v/>
      </c>
      <c r="N657" s="47" t="n">
        <v/>
      </c>
      <c r="O657" s="47" t="n">
        <v/>
      </c>
      <c r="P657" s="88" t="n"/>
    </row>
    <row r="658" customFormat="1" s="2">
      <c r="A658" s="6" t="n"/>
      <c r="B658" s="4" t="n"/>
      <c r="C658" s="4" t="inlineStr">
        <is>
          <t>As Per Site</t>
        </is>
      </c>
      <c r="D658" s="7" t="inlineStr">
        <is>
          <t>Nos</t>
        </is>
      </c>
      <c r="E658" s="17" t="n"/>
      <c r="F658" s="20" t="n">
        <v>1</v>
      </c>
      <c r="G658" s="47" t="n"/>
      <c r="H658" s="47" t="n"/>
      <c r="I658" s="47" t="n"/>
      <c r="J658" s="47">
        <f>PRODUCT(E658:I658)</f>
        <v/>
      </c>
      <c r="K658" s="20" t="n">
        <v>1</v>
      </c>
      <c r="L658" s="47" t="n">
        <v/>
      </c>
      <c r="M658" s="47" t="n">
        <v/>
      </c>
      <c r="N658" s="47" t="n">
        <v/>
      </c>
      <c r="O658" s="47" t="n">
        <v/>
      </c>
    </row>
    <row r="659" customFormat="1" s="2">
      <c r="A659" s="6" t="n"/>
      <c r="B659" s="4" t="n"/>
      <c r="C659" s="4" t="n"/>
      <c r="D659" s="7" t="n"/>
      <c r="E659" s="17" t="n"/>
      <c r="F659" s="20" t="n"/>
      <c r="G659" s="47" t="n"/>
      <c r="H659" s="47" t="n"/>
      <c r="I659" s="47" t="n"/>
      <c r="J659" s="47">
        <f>PRODUCT(E659:I659)</f>
        <v/>
      </c>
      <c r="K659" s="20" t="n">
        <v/>
      </c>
      <c r="L659" s="47" t="n">
        <v/>
      </c>
      <c r="M659" s="47" t="n">
        <v/>
      </c>
      <c r="N659" s="47" t="n">
        <v/>
      </c>
      <c r="O659" s="47" t="n">
        <v/>
      </c>
      <c r="P659" s="88" t="n"/>
    </row>
    <row r="660" customFormat="1" s="2">
      <c r="A660" s="112" t="n"/>
      <c r="B660" s="112" t="n"/>
      <c r="C660" s="112" t="inlineStr">
        <is>
          <t>Total Qty</t>
        </is>
      </c>
      <c r="D660" s="120" t="n"/>
      <c r="E660" s="121" t="n"/>
      <c r="F660" s="123" t="n"/>
      <c r="G660" s="123" t="n"/>
      <c r="H660" s="123" t="n"/>
      <c r="I660" s="123" t="n"/>
      <c r="J660" s="123">
        <f>SUM(J657:J659)</f>
        <v/>
      </c>
      <c r="K660" s="123" t="n">
        <v/>
      </c>
      <c r="L660" s="123" t="n">
        <v/>
      </c>
      <c r="M660" s="123" t="n">
        <v/>
      </c>
      <c r="N660" s="123" t="n">
        <v/>
      </c>
      <c r="O660" s="123" t="n">
        <v/>
      </c>
      <c r="P660" s="88" t="n"/>
    </row>
    <row r="661" customFormat="1" s="2">
      <c r="A661" s="6" t="n"/>
      <c r="B661" s="4" t="n"/>
      <c r="C661" s="4" t="n"/>
      <c r="D661" s="7" t="n"/>
      <c r="E661" s="17" t="n"/>
      <c r="F661" s="20" t="n"/>
      <c r="G661" s="47" t="n"/>
      <c r="H661" s="47" t="n"/>
      <c r="I661" s="47" t="n"/>
      <c r="J661" s="47" t="n"/>
      <c r="K661" s="20" t="n">
        <v/>
      </c>
      <c r="L661" s="47" t="n">
        <v/>
      </c>
      <c r="M661" s="47" t="n">
        <v/>
      </c>
      <c r="N661" s="47" t="n">
        <v/>
      </c>
      <c r="O661" s="47" t="n">
        <v/>
      </c>
      <c r="P661" s="88" t="n"/>
    </row>
    <row r="662" ht="41.4" customFormat="1" customHeight="1" s="2">
      <c r="A662" s="6">
        <f>A656+1</f>
        <v/>
      </c>
      <c r="B662" s="4" t="inlineStr">
        <is>
          <t>Fixing of Hanging signages, Door signages, Internal and External</t>
        </is>
      </c>
      <c r="C662" s="4" t="inlineStr">
        <is>
          <t>Fixing of all the signages provided by ICICI Bank, Hanging or on the wall and partitions as instructed by project incharge.</t>
        </is>
      </c>
      <c r="D662" s="5" t="inlineStr">
        <is>
          <t>L sum</t>
        </is>
      </c>
      <c r="E662" s="16" t="n">
        <v>4</v>
      </c>
      <c r="F662" s="20" t="n"/>
      <c r="G662" s="47" t="n"/>
      <c r="H662" s="47" t="n"/>
      <c r="I662" s="47" t="n"/>
      <c r="J662" s="47" t="n"/>
      <c r="K662" s="20" t="n">
        <v/>
      </c>
      <c r="L662" s="47" t="n">
        <v/>
      </c>
      <c r="M662" s="47" t="n">
        <v/>
      </c>
      <c r="N662" s="47" t="n">
        <v/>
      </c>
      <c r="O662" s="47" t="n">
        <v/>
      </c>
      <c r="P662" s="88" t="n"/>
    </row>
    <row r="663" customFormat="1" s="2">
      <c r="A663" s="6" t="n"/>
      <c r="B663" s="4" t="n"/>
      <c r="C663" s="14" t="n"/>
      <c r="D663" s="7" t="n"/>
      <c r="E663" s="17" t="n"/>
      <c r="F663" s="20" t="n"/>
      <c r="G663" s="47" t="n"/>
      <c r="H663" s="47" t="n"/>
      <c r="I663" s="47" t="n"/>
      <c r="J663" s="47">
        <f>PRODUCT(E663:I663)</f>
        <v/>
      </c>
      <c r="K663" s="20" t="n">
        <v/>
      </c>
      <c r="L663" s="47" t="n">
        <v/>
      </c>
      <c r="M663" s="47" t="n">
        <v/>
      </c>
      <c r="N663" s="47" t="n">
        <v/>
      </c>
      <c r="O663" s="47" t="n">
        <v/>
      </c>
      <c r="P663" s="88" t="n"/>
    </row>
    <row r="664" customFormat="1" s="2">
      <c r="A664" s="6" t="n"/>
      <c r="B664" s="4" t="n"/>
      <c r="C664" s="4" t="inlineStr">
        <is>
          <t>As Per Site</t>
        </is>
      </c>
      <c r="D664" s="7" t="inlineStr">
        <is>
          <t>L/s</t>
        </is>
      </c>
      <c r="E664" s="17" t="n"/>
      <c r="F664" s="20" t="n">
        <v>1</v>
      </c>
      <c r="G664" s="47" t="n"/>
      <c r="H664" s="47" t="n"/>
      <c r="I664" s="47" t="n"/>
      <c r="J664" s="47">
        <f>PRODUCT(E664:I664)</f>
        <v/>
      </c>
      <c r="K664" s="20" t="n">
        <v>1</v>
      </c>
      <c r="L664" s="47" t="n">
        <v/>
      </c>
      <c r="M664" s="47" t="n">
        <v/>
      </c>
      <c r="N664" s="47" t="n">
        <v/>
      </c>
      <c r="O664" s="47" t="n">
        <v/>
      </c>
      <c r="P664" s="88" t="n"/>
    </row>
    <row r="665" customFormat="1" s="2">
      <c r="A665" s="6" t="n"/>
      <c r="B665" s="4" t="n"/>
      <c r="C665" s="4" t="n"/>
      <c r="D665" s="7" t="n"/>
      <c r="E665" s="17" t="n"/>
      <c r="F665" s="20" t="n"/>
      <c r="G665" s="47" t="n"/>
      <c r="H665" s="47" t="n"/>
      <c r="I665" s="47" t="n"/>
      <c r="J665" s="47">
        <f>PRODUCT(E665:I665)</f>
        <v/>
      </c>
      <c r="K665" s="20" t="n">
        <v/>
      </c>
      <c r="L665" s="47" t="n">
        <v/>
      </c>
      <c r="M665" s="47" t="n">
        <v/>
      </c>
      <c r="N665" s="47" t="n">
        <v/>
      </c>
      <c r="O665" s="47" t="n">
        <v/>
      </c>
      <c r="P665" s="88" t="n"/>
    </row>
    <row r="666" customFormat="1" s="2">
      <c r="A666" s="112" t="n"/>
      <c r="B666" s="112" t="n"/>
      <c r="C666" s="112" t="inlineStr">
        <is>
          <t>Total Qty</t>
        </is>
      </c>
      <c r="D666" s="120" t="n"/>
      <c r="E666" s="121" t="n"/>
      <c r="F666" s="123" t="n"/>
      <c r="G666" s="123" t="n"/>
      <c r="H666" s="123" t="n"/>
      <c r="I666" s="123" t="n"/>
      <c r="J666" s="123">
        <f>SUM(J663:J665)</f>
        <v/>
      </c>
      <c r="K666" s="123" t="n">
        <v/>
      </c>
      <c r="L666" s="123" t="n">
        <v/>
      </c>
      <c r="M666" s="123" t="n">
        <v/>
      </c>
      <c r="N666" s="123" t="n">
        <v/>
      </c>
      <c r="O666" s="123" t="n">
        <v/>
      </c>
      <c r="P666" s="88" t="n"/>
    </row>
    <row r="667" customFormat="1" s="2">
      <c r="A667" s="6" t="n"/>
      <c r="B667" s="4" t="n"/>
      <c r="C667" s="4" t="n"/>
      <c r="D667" s="7" t="n"/>
      <c r="E667" s="17" t="n"/>
      <c r="F667" s="20" t="n"/>
      <c r="G667" s="47" t="n"/>
      <c r="H667" s="47" t="n"/>
      <c r="I667" s="47" t="n"/>
      <c r="J667" s="47" t="n"/>
      <c r="K667" s="20" t="n">
        <v/>
      </c>
      <c r="L667" s="47" t="n">
        <v/>
      </c>
      <c r="M667" s="47" t="n">
        <v/>
      </c>
      <c r="N667" s="47" t="n">
        <v/>
      </c>
      <c r="O667" s="47" t="n">
        <v/>
      </c>
      <c r="P667" s="88" t="n"/>
    </row>
    <row r="668" ht="96.59999999999999" customFormat="1" customHeight="1" s="2">
      <c r="A668" s="6">
        <f>A662+1</f>
        <v/>
      </c>
      <c r="B668" s="4" t="inlineStr">
        <is>
          <t>Key Hives</t>
        </is>
      </c>
      <c r="C668" s="4"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D668" s="7" t="inlineStr">
        <is>
          <t>nos</t>
        </is>
      </c>
      <c r="E668" s="17" t="n">
        <v>1</v>
      </c>
      <c r="F668" s="20" t="n"/>
      <c r="G668" s="47" t="n"/>
      <c r="H668" s="47" t="n"/>
      <c r="I668" s="47" t="n"/>
      <c r="J668" s="47" t="n"/>
      <c r="K668" s="20" t="n">
        <v/>
      </c>
      <c r="L668" s="47" t="n">
        <v/>
      </c>
      <c r="M668" s="47" t="n">
        <v/>
      </c>
      <c r="N668" s="47" t="n">
        <v/>
      </c>
      <c r="O668" s="47" t="n">
        <v/>
      </c>
      <c r="P668" s="88" t="n"/>
    </row>
    <row r="669" customFormat="1" s="2">
      <c r="A669" s="6" t="n"/>
      <c r="B669" s="4" t="n"/>
      <c r="C669" s="14" t="n"/>
      <c r="D669" s="7" t="n"/>
      <c r="E669" s="17" t="n"/>
      <c r="F669" s="20" t="n"/>
      <c r="G669" s="47" t="n"/>
      <c r="H669" s="47" t="n"/>
      <c r="I669" s="47" t="n"/>
      <c r="J669" s="47">
        <f>PRODUCT(E669:I669)</f>
        <v/>
      </c>
      <c r="K669" s="20" t="n">
        <v/>
      </c>
      <c r="L669" s="47" t="n">
        <v/>
      </c>
      <c r="M669" s="47" t="n">
        <v/>
      </c>
      <c r="N669" s="47" t="n">
        <v/>
      </c>
      <c r="O669" s="47" t="n">
        <v/>
      </c>
      <c r="P669" s="88" t="n"/>
    </row>
    <row r="670" customFormat="1" s="2">
      <c r="A670" s="6" t="n"/>
      <c r="B670" s="4" t="n"/>
      <c r="C670" s="4" t="inlineStr">
        <is>
          <t>As Per Site</t>
        </is>
      </c>
      <c r="D670" s="7" t="inlineStr">
        <is>
          <t>Nos</t>
        </is>
      </c>
      <c r="E670" s="17" t="n"/>
      <c r="F670" s="20" t="n">
        <v>1</v>
      </c>
      <c r="G670" s="47" t="n"/>
      <c r="H670" s="47" t="n"/>
      <c r="I670" s="47" t="n"/>
      <c r="J670" s="47">
        <f>PRODUCT(E670:I670)</f>
        <v/>
      </c>
      <c r="K670" s="20" t="n">
        <v>1</v>
      </c>
      <c r="L670" s="47" t="n">
        <v/>
      </c>
      <c r="M670" s="47" t="n">
        <v/>
      </c>
      <c r="N670" s="47" t="n">
        <v/>
      </c>
      <c r="O670" s="47" t="n">
        <v/>
      </c>
      <c r="P670" s="88" t="n"/>
    </row>
    <row r="671" customFormat="1" s="2">
      <c r="A671" s="6" t="n"/>
      <c r="B671" s="4" t="n"/>
      <c r="C671" s="4" t="n"/>
      <c r="D671" s="7" t="n"/>
      <c r="E671" s="17" t="n"/>
      <c r="F671" s="20" t="n"/>
      <c r="G671" s="47" t="n"/>
      <c r="H671" s="47" t="n"/>
      <c r="I671" s="47" t="n"/>
      <c r="J671" s="47">
        <f>PRODUCT(E671:I671)</f>
        <v/>
      </c>
      <c r="K671" s="20" t="n">
        <v/>
      </c>
      <c r="L671" s="47" t="n">
        <v/>
      </c>
      <c r="M671" s="47" t="n">
        <v/>
      </c>
      <c r="N671" s="47" t="n">
        <v/>
      </c>
      <c r="O671" s="47" t="n">
        <v/>
      </c>
      <c r="P671" s="88" t="n"/>
    </row>
    <row r="672" customFormat="1" s="2">
      <c r="A672" s="112" t="n"/>
      <c r="B672" s="112" t="n"/>
      <c r="C672" s="112" t="inlineStr">
        <is>
          <t>Total Qty</t>
        </is>
      </c>
      <c r="D672" s="120" t="n"/>
      <c r="E672" s="121" t="n"/>
      <c r="F672" s="123" t="n"/>
      <c r="G672" s="123" t="n"/>
      <c r="H672" s="123" t="n"/>
      <c r="I672" s="123" t="n"/>
      <c r="J672" s="123">
        <f>SUM(J669:J671)</f>
        <v/>
      </c>
      <c r="K672" s="123" t="n">
        <v/>
      </c>
      <c r="L672" s="123" t="n">
        <v/>
      </c>
      <c r="M672" s="123" t="n">
        <v/>
      </c>
      <c r="N672" s="123" t="n">
        <v/>
      </c>
      <c r="O672" s="123" t="n">
        <v/>
      </c>
      <c r="P672" s="88" t="n"/>
    </row>
    <row r="673">
      <c r="A673" s="117" t="n"/>
      <c r="B673" s="117" t="n"/>
      <c r="C673" s="117" t="n"/>
      <c r="D673" s="117" t="n"/>
      <c r="E673" s="118" t="n"/>
      <c r="F673" s="119" t="n"/>
      <c r="G673" s="119" t="n"/>
      <c r="H673" s="119" t="n"/>
      <c r="I673" s="119" t="n"/>
      <c r="J673" s="119" t="n"/>
      <c r="K673" s="119" t="n">
        <v/>
      </c>
      <c r="L673" s="119" t="n">
        <v/>
      </c>
      <c r="M673" s="119" t="n">
        <v/>
      </c>
      <c r="N673" s="119" t="n">
        <v/>
      </c>
      <c r="O673" s="119" t="n">
        <v/>
      </c>
      <c r="P673" s="117" t="n"/>
    </row>
    <row r="674" ht="151.8" customFormat="1" customHeight="1" s="2">
      <c r="A674" s="6">
        <f>A668+1</f>
        <v/>
      </c>
      <c r="B674" s="4" t="inlineStr">
        <is>
          <t>WC doors Flush Door</t>
        </is>
      </c>
      <c r="C674" s="4"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D674" s="5" t="inlineStr">
        <is>
          <t>nos</t>
        </is>
      </c>
      <c r="E674" s="16" t="n">
        <v>2</v>
      </c>
      <c r="F674" s="20" t="n"/>
      <c r="G674" s="47" t="n"/>
      <c r="H674" s="47" t="n"/>
      <c r="I674" s="47" t="n"/>
      <c r="J674" s="47" t="n"/>
      <c r="K674" s="20" t="n">
        <v/>
      </c>
      <c r="L674" s="47" t="n">
        <v/>
      </c>
      <c r="M674" s="47" t="n">
        <v/>
      </c>
      <c r="N674" s="47" t="n">
        <v/>
      </c>
      <c r="O674" s="47" t="n">
        <v/>
      </c>
      <c r="P674" s="88" t="n"/>
    </row>
    <row r="675" customFormat="1" s="2">
      <c r="A675" s="6" t="n"/>
      <c r="B675" s="4" t="n"/>
      <c r="C675" s="14" t="inlineStr">
        <is>
          <t>Gents Toilet</t>
        </is>
      </c>
      <c r="D675" s="7" t="n"/>
      <c r="E675" s="17" t="n"/>
      <c r="F675" s="20" t="n"/>
      <c r="G675" s="47" t="n"/>
      <c r="H675" s="47" t="n"/>
      <c r="I675" s="47" t="n"/>
      <c r="J675" s="47">
        <f>PRODUCT(E675:I675)</f>
        <v/>
      </c>
      <c r="K675" s="20" t="n">
        <v/>
      </c>
      <c r="L675" s="47" t="n">
        <v/>
      </c>
      <c r="M675" s="47" t="n">
        <v/>
      </c>
      <c r="N675" s="47" t="n">
        <v/>
      </c>
      <c r="O675" s="47" t="n">
        <v/>
      </c>
      <c r="P675" s="88" t="n"/>
    </row>
    <row r="676" customFormat="1" s="2">
      <c r="A676" s="6" t="n"/>
      <c r="B676" s="4" t="n"/>
      <c r="C676" s="4" t="inlineStr">
        <is>
          <t>Entry Door</t>
        </is>
      </c>
      <c r="D676" s="7" t="inlineStr">
        <is>
          <t>Nos</t>
        </is>
      </c>
      <c r="E676" s="17" t="n"/>
      <c r="F676" s="20" t="n">
        <v>1</v>
      </c>
      <c r="G676" s="47" t="n"/>
      <c r="H676" s="47" t="n"/>
      <c r="I676" s="47" t="n"/>
      <c r="J676" s="47">
        <f>PRODUCT(E676:I676)</f>
        <v/>
      </c>
      <c r="K676" s="20" t="n">
        <v>1</v>
      </c>
      <c r="L676" s="47" t="n">
        <v/>
      </c>
      <c r="M676" s="47" t="n">
        <v/>
      </c>
      <c r="N676" s="47" t="n">
        <v/>
      </c>
      <c r="O676" s="47" t="n">
        <v/>
      </c>
      <c r="P676" s="88" t="n"/>
    </row>
    <row r="677" customFormat="1" s="2">
      <c r="A677" s="6" t="n"/>
      <c r="B677" s="4" t="n"/>
      <c r="C677" s="14" t="inlineStr">
        <is>
          <t>Ladies Toilet</t>
        </is>
      </c>
      <c r="D677" s="7" t="n"/>
      <c r="E677" s="17" t="n"/>
      <c r="F677" s="20" t="n"/>
      <c r="G677" s="47" t="n"/>
      <c r="H677" s="47" t="n"/>
      <c r="I677" s="47" t="n"/>
      <c r="J677" s="47" t="n"/>
      <c r="K677" s="20" t="n">
        <v/>
      </c>
      <c r="L677" s="47" t="n">
        <v/>
      </c>
      <c r="M677" s="47" t="n">
        <v/>
      </c>
      <c r="N677" s="47" t="n">
        <v/>
      </c>
      <c r="O677" s="47" t="n">
        <v/>
      </c>
      <c r="P677" s="88" t="n"/>
    </row>
    <row r="678" customFormat="1" s="2">
      <c r="A678" s="6" t="n"/>
      <c r="B678" s="4" t="n"/>
      <c r="C678" s="4" t="inlineStr">
        <is>
          <t>Entry Door</t>
        </is>
      </c>
      <c r="D678" s="7" t="inlineStr">
        <is>
          <t>Nos</t>
        </is>
      </c>
      <c r="E678" s="17" t="n"/>
      <c r="F678" s="20" t="n">
        <v>1</v>
      </c>
      <c r="G678" s="47" t="n"/>
      <c r="H678" s="47" t="n"/>
      <c r="I678" s="47" t="n"/>
      <c r="J678" s="47">
        <f>PRODUCT(E678:I678)</f>
        <v/>
      </c>
      <c r="K678" s="20" t="n">
        <v>1</v>
      </c>
      <c r="L678" s="47" t="n">
        <v/>
      </c>
      <c r="M678" s="47" t="n">
        <v/>
      </c>
      <c r="N678" s="47" t="n">
        <v/>
      </c>
      <c r="O678" s="47" t="n">
        <v/>
      </c>
      <c r="P678" s="88" t="n"/>
    </row>
    <row r="679" customFormat="1" s="2">
      <c r="A679" s="6" t="n"/>
      <c r="B679" s="4" t="n"/>
      <c r="C679" s="4" t="n"/>
      <c r="D679" s="7" t="n"/>
      <c r="E679" s="17" t="n"/>
      <c r="F679" s="20" t="n"/>
      <c r="G679" s="47" t="n"/>
      <c r="H679" s="47" t="n"/>
      <c r="I679" s="47" t="n"/>
      <c r="J679" s="47">
        <f>PRODUCT(E679:I679)</f>
        <v/>
      </c>
      <c r="K679" s="20" t="n">
        <v/>
      </c>
      <c r="L679" s="47" t="n">
        <v/>
      </c>
      <c r="M679" s="47" t="n">
        <v/>
      </c>
      <c r="N679" s="47" t="n">
        <v/>
      </c>
      <c r="O679" s="47" t="n">
        <v/>
      </c>
      <c r="P679" s="88" t="n"/>
    </row>
    <row r="680" customFormat="1" s="2">
      <c r="A680" s="112" t="n"/>
      <c r="B680" s="112" t="n"/>
      <c r="C680" s="112" t="inlineStr">
        <is>
          <t>Total Qty</t>
        </is>
      </c>
      <c r="D680" s="120" t="n"/>
      <c r="E680" s="121" t="n"/>
      <c r="F680" s="123" t="n"/>
      <c r="G680" s="123" t="n"/>
      <c r="H680" s="123" t="n"/>
      <c r="I680" s="123" t="n"/>
      <c r="J680" s="123">
        <f>SUM(J675:J679)</f>
        <v/>
      </c>
      <c r="K680" s="123" t="n">
        <v/>
      </c>
      <c r="L680" s="123" t="n">
        <v/>
      </c>
      <c r="M680" s="123" t="n">
        <v/>
      </c>
      <c r="N680" s="123" t="n">
        <v/>
      </c>
      <c r="O680" s="123" t="n">
        <v/>
      </c>
      <c r="P680" s="88" t="n"/>
    </row>
    <row r="681" customFormat="1" s="2">
      <c r="A681" s="6" t="n"/>
      <c r="B681" s="4" t="n"/>
      <c r="C681" s="4" t="n"/>
      <c r="D681" s="7" t="n"/>
      <c r="E681" s="17" t="n"/>
      <c r="F681" s="20" t="n"/>
      <c r="G681" s="47" t="n"/>
      <c r="H681" s="47" t="n"/>
      <c r="I681" s="47" t="n"/>
      <c r="J681" s="47" t="n"/>
      <c r="K681" s="20" t="n">
        <v/>
      </c>
      <c r="L681" s="47" t="n">
        <v/>
      </c>
      <c r="M681" s="47" t="n">
        <v/>
      </c>
      <c r="N681" s="47" t="n">
        <v/>
      </c>
      <c r="O681" s="47" t="n">
        <v/>
      </c>
      <c r="P681" s="88" t="n"/>
    </row>
    <row r="682" ht="165.6" customFormat="1" customHeight="1" s="2">
      <c r="A682" s="6">
        <f>A674+1</f>
        <v/>
      </c>
      <c r="B682" s="4" t="inlineStr">
        <is>
          <t>Luster Paint on Wall</t>
        </is>
      </c>
      <c r="C682" s="4"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D682" s="7" t="inlineStr">
        <is>
          <t>Sft</t>
        </is>
      </c>
      <c r="E682" s="17" t="n">
        <v>2530</v>
      </c>
      <c r="F682" s="20" t="n"/>
      <c r="G682" s="47" t="n"/>
      <c r="H682" s="47" t="n"/>
      <c r="I682" s="47" t="n"/>
      <c r="J682" s="47" t="n"/>
      <c r="K682" s="20" t="n">
        <v/>
      </c>
      <c r="L682" s="47" t="n">
        <v/>
      </c>
      <c r="M682" s="47" t="n">
        <v/>
      </c>
      <c r="N682" s="47" t="n">
        <v/>
      </c>
      <c r="O682" s="47" t="n">
        <v/>
      </c>
      <c r="P682" s="88" t="n"/>
    </row>
    <row r="683" customFormat="1" s="2">
      <c r="A683" s="6" t="n"/>
      <c r="B683" s="4" t="n"/>
      <c r="C683" s="14" t="inlineStr">
        <is>
          <t>ATM Area</t>
        </is>
      </c>
      <c r="D683" s="7" t="n"/>
      <c r="E683" s="17" t="n"/>
      <c r="F683" s="20" t="n"/>
      <c r="G683" s="47" t="n"/>
      <c r="H683" s="47" t="n"/>
      <c r="I683" s="47" t="n"/>
      <c r="J683" s="47">
        <f>PRODUCT(E683:I683)</f>
        <v/>
      </c>
      <c r="K683" s="20" t="n">
        <v/>
      </c>
      <c r="L683" s="47" t="n">
        <v/>
      </c>
      <c r="M683" s="47" t="n">
        <v/>
      </c>
      <c r="N683" s="47" t="n">
        <v/>
      </c>
      <c r="O683" s="47" t="n">
        <v/>
      </c>
      <c r="P683" s="88" t="n"/>
    </row>
    <row r="684" customFormat="1" s="2">
      <c r="A684" s="6" t="n"/>
      <c r="B684" s="4" t="n"/>
      <c r="C684" s="4" t="inlineStr">
        <is>
          <t>Front Side Wall</t>
        </is>
      </c>
      <c r="D684" s="7" t="inlineStr">
        <is>
          <t>Sq.ft</t>
        </is>
      </c>
      <c r="E684" s="17" t="n"/>
      <c r="F684" s="20" t="n">
        <v>1</v>
      </c>
      <c r="G684" s="47" t="n">
        <v>11.5</v>
      </c>
      <c r="H684" s="47" t="n"/>
      <c r="I684" s="47" t="n">
        <v>10</v>
      </c>
      <c r="J684" s="47">
        <f>PRODUCT(E684:I684)</f>
        <v/>
      </c>
      <c r="K684" s="20" t="n">
        <v>1</v>
      </c>
      <c r="L684" s="47" t="n">
        <v/>
      </c>
      <c r="M684" s="47" t="n">
        <v/>
      </c>
      <c r="N684" s="47" t="n">
        <v/>
      </c>
      <c r="O684" s="47" t="n">
        <v/>
      </c>
      <c r="P684" s="88" t="n"/>
    </row>
    <row r="685" customFormat="1" s="2">
      <c r="A685" s="6" t="n"/>
      <c r="B685" s="4" t="n"/>
      <c r="C685" s="4" t="inlineStr">
        <is>
          <t>Right Side Wall</t>
        </is>
      </c>
      <c r="D685" s="7" t="inlineStr">
        <is>
          <t>Sq.ft</t>
        </is>
      </c>
      <c r="E685" s="17" t="n"/>
      <c r="F685" s="20" t="n">
        <v>1</v>
      </c>
      <c r="G685" s="47" t="n">
        <v>7</v>
      </c>
      <c r="H685" s="47" t="n"/>
      <c r="I685" s="47" t="n">
        <v>10</v>
      </c>
      <c r="J685" s="47">
        <f>PRODUCT(E685:I685)</f>
        <v/>
      </c>
      <c r="K685" s="20" t="n">
        <v>1</v>
      </c>
      <c r="L685" s="47" t="n">
        <v/>
      </c>
      <c r="M685" s="47" t="n">
        <v/>
      </c>
      <c r="N685" s="47" t="n">
        <v/>
      </c>
      <c r="O685" s="47" t="n">
        <v/>
      </c>
      <c r="P685" s="88" t="n"/>
    </row>
    <row r="686" customFormat="1" s="2">
      <c r="A686" s="6" t="n"/>
      <c r="B686" s="4" t="n"/>
      <c r="C686" s="14" t="inlineStr">
        <is>
          <t>Electrical Room</t>
        </is>
      </c>
      <c r="D686" s="7" t="n"/>
      <c r="E686" s="17" t="n"/>
      <c r="F686" s="20" t="n"/>
      <c r="G686" s="47" t="n"/>
      <c r="H686" s="47" t="n"/>
      <c r="I686" s="47" t="n"/>
      <c r="J686" s="47">
        <f>PRODUCT(E686:I686)</f>
        <v/>
      </c>
      <c r="K686" s="20" t="n">
        <v/>
      </c>
      <c r="L686" s="47" t="n">
        <v/>
      </c>
      <c r="M686" s="47" t="n">
        <v/>
      </c>
      <c r="N686" s="47" t="n">
        <v/>
      </c>
      <c r="O686" s="47" t="n">
        <v/>
      </c>
      <c r="P686" s="88" t="n"/>
    </row>
    <row r="687" customFormat="1" s="2">
      <c r="A687" s="6" t="n"/>
      <c r="B687" s="4" t="n"/>
      <c r="C687" s="4" t="inlineStr">
        <is>
          <t>Right Side Wall</t>
        </is>
      </c>
      <c r="D687" s="7" t="inlineStr">
        <is>
          <t>Sq.ft</t>
        </is>
      </c>
      <c r="E687" s="17" t="n"/>
      <c r="F687" s="20" t="n">
        <v>1</v>
      </c>
      <c r="G687" s="47" t="n">
        <v>6.17</v>
      </c>
      <c r="H687" s="47" t="n"/>
      <c r="I687" s="47" t="n">
        <v>8.94</v>
      </c>
      <c r="J687" s="47">
        <f>PRODUCT(E687:I687)</f>
        <v/>
      </c>
      <c r="K687" s="20" t="n">
        <v>1</v>
      </c>
      <c r="L687" s="47" t="n">
        <v/>
      </c>
      <c r="M687" s="47" t="n">
        <v/>
      </c>
      <c r="N687" s="47" t="n">
        <v/>
      </c>
      <c r="O687" s="47" t="n">
        <v/>
      </c>
      <c r="P687" s="88" t="n"/>
    </row>
    <row r="688" customFormat="1" s="2">
      <c r="A688" s="6" t="n"/>
      <c r="B688" s="4" t="n"/>
      <c r="C688" s="4" t="inlineStr">
        <is>
          <t>Add Patta</t>
        </is>
      </c>
      <c r="D688" s="7" t="inlineStr">
        <is>
          <t>Sq.ft</t>
        </is>
      </c>
      <c r="E688" s="17" t="n"/>
      <c r="F688" s="20" t="n">
        <v>1</v>
      </c>
      <c r="G688" s="47" t="n">
        <v>6.17</v>
      </c>
      <c r="H688" s="47" t="n">
        <v>0.33</v>
      </c>
      <c r="I688" s="47" t="n"/>
      <c r="J688" s="47">
        <f>PRODUCT(E688:I688)</f>
        <v/>
      </c>
      <c r="K688" s="20" t="n">
        <v>1</v>
      </c>
      <c r="L688" s="47" t="n">
        <v/>
      </c>
      <c r="M688" s="47" t="n">
        <v/>
      </c>
      <c r="N688" s="47" t="n">
        <v/>
      </c>
      <c r="O688" s="47" t="n">
        <v/>
      </c>
      <c r="P688" s="88" t="n"/>
    </row>
    <row r="689" customFormat="1" s="2">
      <c r="A689" s="6" t="n"/>
      <c r="B689" s="4" t="n"/>
      <c r="C689" s="4" t="inlineStr">
        <is>
          <t>Add Patta</t>
        </is>
      </c>
      <c r="D689" s="7" t="inlineStr">
        <is>
          <t>Sq.ft</t>
        </is>
      </c>
      <c r="E689" s="17" t="n"/>
      <c r="F689" s="20" t="n">
        <v>1</v>
      </c>
      <c r="G689" s="47" t="n">
        <v>1.75</v>
      </c>
      <c r="H689" s="47" t="n">
        <v>0.33</v>
      </c>
      <c r="I689" s="47" t="n"/>
      <c r="J689" s="47">
        <f>PRODUCT(E689:I689)</f>
        <v/>
      </c>
      <c r="K689" s="20" t="n">
        <v>1</v>
      </c>
      <c r="L689" s="47" t="n">
        <v/>
      </c>
      <c r="M689" s="47" t="n">
        <v/>
      </c>
      <c r="N689" s="47" t="n">
        <v/>
      </c>
      <c r="O689" s="47" t="n">
        <v/>
      </c>
      <c r="P689" s="88" t="n"/>
    </row>
    <row r="690" customFormat="1" s="2">
      <c r="A690" s="6" t="n"/>
      <c r="B690" s="4" t="n"/>
      <c r="C690" s="4" t="inlineStr">
        <is>
          <t>Front Side Wall</t>
        </is>
      </c>
      <c r="D690" s="7" t="inlineStr">
        <is>
          <t>Sq.ft</t>
        </is>
      </c>
      <c r="E690" s="17" t="n"/>
      <c r="F690" s="20" t="n">
        <v>1</v>
      </c>
      <c r="G690" s="47" t="n">
        <v>7</v>
      </c>
      <c r="H690" s="47" t="n"/>
      <c r="I690" s="47" t="n">
        <v>8.94</v>
      </c>
      <c r="J690" s="47">
        <f>PRODUCT(E690:I690)</f>
        <v/>
      </c>
      <c r="K690" s="20" t="n">
        <v>1</v>
      </c>
      <c r="L690" s="47" t="n">
        <v/>
      </c>
      <c r="M690" s="47" t="n">
        <v/>
      </c>
      <c r="N690" s="47" t="n">
        <v/>
      </c>
      <c r="O690" s="47" t="n">
        <v/>
      </c>
      <c r="P690" s="88" t="n"/>
    </row>
    <row r="691" customFormat="1" s="2">
      <c r="A691" s="6" t="n"/>
      <c r="B691" s="4" t="n"/>
      <c r="C691" s="4" t="inlineStr">
        <is>
          <t>Add Patta</t>
        </is>
      </c>
      <c r="D691" s="7" t="inlineStr">
        <is>
          <t>Sq.ft</t>
        </is>
      </c>
      <c r="E691" s="17" t="n"/>
      <c r="F691" s="20" t="n">
        <v>2</v>
      </c>
      <c r="G691" s="47" t="n">
        <v>0.5</v>
      </c>
      <c r="H691" s="47" t="n"/>
      <c r="I691" s="47" t="n">
        <v>8.94</v>
      </c>
      <c r="J691" s="47">
        <f>PRODUCT(E691:I691)</f>
        <v/>
      </c>
      <c r="K691" s="20" t="n">
        <v>2</v>
      </c>
      <c r="L691" s="47" t="n">
        <v/>
      </c>
      <c r="M691" s="47" t="n">
        <v/>
      </c>
      <c r="N691" s="47" t="n">
        <v/>
      </c>
      <c r="O691" s="47" t="n">
        <v/>
      </c>
      <c r="P691" s="88" t="n"/>
    </row>
    <row r="692" customFormat="1" s="2">
      <c r="A692" s="6" t="n"/>
      <c r="B692" s="4" t="n"/>
      <c r="C692" s="4" t="inlineStr">
        <is>
          <t>Add Patta</t>
        </is>
      </c>
      <c r="D692" s="7" t="inlineStr">
        <is>
          <t>Sq.ft</t>
        </is>
      </c>
      <c r="E692" s="17" t="n"/>
      <c r="F692" s="20" t="n">
        <v>1</v>
      </c>
      <c r="G692" s="47" t="n">
        <v>2</v>
      </c>
      <c r="H692" s="47" t="n"/>
      <c r="I692" s="47" t="n">
        <v>0.17</v>
      </c>
      <c r="J692" s="47">
        <f>PRODUCT(E692:I692)</f>
        <v/>
      </c>
      <c r="K692" s="20" t="n">
        <v>1</v>
      </c>
      <c r="L692" s="47" t="n">
        <v/>
      </c>
      <c r="M692" s="47" t="n">
        <v/>
      </c>
      <c r="N692" s="47" t="n">
        <v/>
      </c>
      <c r="O692" s="47" t="n">
        <v/>
      </c>
      <c r="P692" s="88" t="n"/>
    </row>
    <row r="693" customFormat="1" s="2">
      <c r="A693" s="6" t="n"/>
      <c r="B693" s="4" t="n"/>
      <c r="C693" s="4" t="inlineStr">
        <is>
          <t>Left Side Wall</t>
        </is>
      </c>
      <c r="D693" s="7" t="inlineStr">
        <is>
          <t>Sq.ft</t>
        </is>
      </c>
      <c r="E693" s="17" t="n"/>
      <c r="F693" s="20" t="n">
        <v>1</v>
      </c>
      <c r="G693" s="47" t="n">
        <v>6</v>
      </c>
      <c r="H693" s="47" t="n"/>
      <c r="I693" s="47">
        <f>8.94-0.25</f>
        <v/>
      </c>
      <c r="J693" s="47">
        <f>PRODUCT(E693:I693)</f>
        <v/>
      </c>
      <c r="K693" s="20" t="n">
        <v>1</v>
      </c>
      <c r="L693" s="47" t="n">
        <v/>
      </c>
      <c r="M693" s="47" t="n">
        <v/>
      </c>
      <c r="N693" s="47" t="n">
        <v/>
      </c>
      <c r="O693" s="47" t="n">
        <v/>
      </c>
      <c r="P693" s="88" t="n"/>
    </row>
    <row r="694" customFormat="1" s="2">
      <c r="A694" s="6" t="n"/>
      <c r="B694" s="4" t="n"/>
      <c r="C694" s="4" t="inlineStr">
        <is>
          <t>Add Patta</t>
        </is>
      </c>
      <c r="D694" s="7" t="inlineStr">
        <is>
          <t>Sq.ft</t>
        </is>
      </c>
      <c r="E694" s="17" t="n"/>
      <c r="F694" s="20" t="n">
        <v>1</v>
      </c>
      <c r="G694" s="47" t="n">
        <v>6</v>
      </c>
      <c r="H694" s="47" t="n">
        <v>0.33</v>
      </c>
      <c r="I694" s="47" t="n"/>
      <c r="J694" s="47">
        <f>PRODUCT(E694:I694)</f>
        <v/>
      </c>
      <c r="K694" s="20" t="n">
        <v>1</v>
      </c>
      <c r="L694" s="47" t="n">
        <v/>
      </c>
      <c r="M694" s="47" t="n">
        <v/>
      </c>
      <c r="N694" s="47" t="n">
        <v/>
      </c>
      <c r="O694" s="47" t="n">
        <v/>
      </c>
      <c r="P694" s="88" t="n"/>
    </row>
    <row r="695" customFormat="1" s="2">
      <c r="A695" s="6" t="n"/>
      <c r="B695" s="4" t="n"/>
      <c r="C695" s="4" t="inlineStr">
        <is>
          <t>Door Side</t>
        </is>
      </c>
      <c r="D695" s="7" t="inlineStr">
        <is>
          <t>Sq.ft</t>
        </is>
      </c>
      <c r="E695" s="17" t="n"/>
      <c r="F695" s="20" t="n">
        <v>1</v>
      </c>
      <c r="G695" s="47" t="n">
        <v>7</v>
      </c>
      <c r="H695" s="47" t="n"/>
      <c r="I695" s="47" t="n">
        <v>8.94</v>
      </c>
      <c r="J695" s="47">
        <f>PRODUCT(E695:I695)</f>
        <v/>
      </c>
      <c r="K695" s="20" t="n">
        <v>1</v>
      </c>
      <c r="L695" s="47" t="n">
        <v/>
      </c>
      <c r="M695" s="47" t="n">
        <v/>
      </c>
      <c r="N695" s="47" t="n">
        <v/>
      </c>
      <c r="O695" s="47" t="n">
        <v/>
      </c>
      <c r="P695" s="88" t="n"/>
    </row>
    <row r="696" customFormat="1" s="2">
      <c r="A696" s="6" t="n"/>
      <c r="B696" s="4" t="n"/>
      <c r="C696" s="4" t="inlineStr">
        <is>
          <t>Door Area Less ( - )</t>
        </is>
      </c>
      <c r="D696" s="7" t="inlineStr">
        <is>
          <t>Sq.ft</t>
        </is>
      </c>
      <c r="E696" s="17" t="n"/>
      <c r="F696" s="20" t="n">
        <v>-1</v>
      </c>
      <c r="G696" s="47" t="n">
        <v>1.8</v>
      </c>
      <c r="H696" s="47" t="n"/>
      <c r="I696" s="47" t="n">
        <v>7</v>
      </c>
      <c r="J696" s="47">
        <f>PRODUCT(E696:I696)</f>
        <v/>
      </c>
      <c r="K696" s="20" t="n">
        <v>-1</v>
      </c>
      <c r="L696" s="47" t="n">
        <v/>
      </c>
      <c r="M696" s="47" t="n">
        <v/>
      </c>
      <c r="N696" s="47" t="n">
        <v/>
      </c>
      <c r="O696" s="47" t="n">
        <v/>
      </c>
      <c r="P696" s="88" t="n"/>
    </row>
    <row r="697" customFormat="1" s="2">
      <c r="A697" s="6" t="n"/>
      <c r="B697" s="4" t="n"/>
      <c r="C697" s="4" t="inlineStr">
        <is>
          <t>Add Patta</t>
        </is>
      </c>
      <c r="D697" s="7" t="inlineStr">
        <is>
          <t>Sq.ft</t>
        </is>
      </c>
      <c r="E697" s="17" t="n"/>
      <c r="F697" s="20" t="n">
        <v>1</v>
      </c>
      <c r="G697" s="47">
        <f>4.59+5.42</f>
        <v/>
      </c>
      <c r="H697" s="47" t="n">
        <v>0.67</v>
      </c>
      <c r="I697" s="47" t="n"/>
      <c r="J697" s="47">
        <f>PRODUCT(E697:I697)</f>
        <v/>
      </c>
      <c r="K697" s="20" t="n">
        <v>1</v>
      </c>
      <c r="L697" s="47" t="n">
        <v/>
      </c>
      <c r="M697" s="47" t="n">
        <v/>
      </c>
      <c r="N697" s="47" t="n">
        <v/>
      </c>
      <c r="O697" s="47" t="n">
        <v/>
      </c>
      <c r="P697" s="88" t="n"/>
    </row>
    <row r="698" customFormat="1" s="2">
      <c r="A698" s="6" t="n"/>
      <c r="B698" s="4" t="n"/>
      <c r="C698" s="14" t="inlineStr">
        <is>
          <t>Strong Room</t>
        </is>
      </c>
      <c r="D698" s="7" t="n"/>
      <c r="E698" s="17" t="n"/>
      <c r="F698" s="20" t="n"/>
      <c r="G698" s="47" t="n"/>
      <c r="H698" s="47" t="n"/>
      <c r="I698" s="47" t="n"/>
      <c r="J698" s="47">
        <f>PRODUCT(E698:I698)</f>
        <v/>
      </c>
      <c r="K698" s="20" t="n">
        <v/>
      </c>
      <c r="L698" s="47" t="n">
        <v/>
      </c>
      <c r="M698" s="47" t="n">
        <v/>
      </c>
      <c r="N698" s="47" t="n">
        <v/>
      </c>
      <c r="O698" s="47" t="n">
        <v/>
      </c>
      <c r="P698" s="88" t="n"/>
    </row>
    <row r="699" customFormat="1" s="2">
      <c r="A699" s="6" t="n"/>
      <c r="B699" s="4" t="n"/>
      <c r="C699" s="4" t="inlineStr">
        <is>
          <t>Front Side Wall</t>
        </is>
      </c>
      <c r="D699" s="7" t="inlineStr">
        <is>
          <t>Sq.ft</t>
        </is>
      </c>
      <c r="E699" s="17" t="n"/>
      <c r="F699" s="20" t="n">
        <v>1</v>
      </c>
      <c r="G699" s="47" t="n">
        <v>7.64</v>
      </c>
      <c r="H699" s="47" t="n"/>
      <c r="I699" s="47" t="n">
        <v>8</v>
      </c>
      <c r="J699" s="47">
        <f>PRODUCT(E699:I699)</f>
        <v/>
      </c>
      <c r="K699" s="20" t="n">
        <v>1</v>
      </c>
      <c r="L699" s="47" t="n">
        <v/>
      </c>
      <c r="M699" s="47" t="n">
        <v/>
      </c>
      <c r="N699" s="47" t="n">
        <v/>
      </c>
      <c r="O699" s="47" t="n">
        <v/>
      </c>
      <c r="P699" s="88" t="n"/>
    </row>
    <row r="700" customFormat="1" s="2">
      <c r="A700" s="6" t="n"/>
      <c r="B700" s="4" t="n"/>
      <c r="C700" s="4" t="n"/>
      <c r="D700" s="7" t="inlineStr">
        <is>
          <t>Sq.ft</t>
        </is>
      </c>
      <c r="E700" s="17" t="n"/>
      <c r="F700" s="20" t="n">
        <v>1</v>
      </c>
      <c r="G700" s="47" t="n">
        <v>11.02</v>
      </c>
      <c r="H700" s="47" t="n"/>
      <c r="I700" s="47" t="n">
        <v>8</v>
      </c>
      <c r="J700" s="47">
        <f>PRODUCT(E700:I700)</f>
        <v/>
      </c>
      <c r="K700" s="20" t="n">
        <v>1</v>
      </c>
      <c r="L700" s="47" t="n">
        <v/>
      </c>
      <c r="M700" s="47" t="n">
        <v/>
      </c>
      <c r="N700" s="47" t="n">
        <v/>
      </c>
      <c r="O700" s="47" t="n">
        <v/>
      </c>
      <c r="P700" s="88" t="n"/>
    </row>
    <row r="701" customFormat="1" s="2">
      <c r="A701" s="6" t="n"/>
      <c r="B701" s="4" t="n"/>
      <c r="C701" s="4" t="n"/>
      <c r="D701" s="7" t="inlineStr">
        <is>
          <t>Sq.ft</t>
        </is>
      </c>
      <c r="E701" s="17" t="n"/>
      <c r="F701" s="20" t="n">
        <v>1</v>
      </c>
      <c r="G701" s="47" t="n">
        <v>3.88</v>
      </c>
      <c r="H701" s="47" t="n"/>
      <c r="I701" s="47" t="n">
        <v>8</v>
      </c>
      <c r="J701" s="47">
        <f>PRODUCT(E701:I701)</f>
        <v/>
      </c>
      <c r="K701" s="20" t="n">
        <v>1</v>
      </c>
      <c r="L701" s="47" t="n">
        <v/>
      </c>
      <c r="M701" s="47" t="n">
        <v/>
      </c>
      <c r="N701" s="47" t="n">
        <v/>
      </c>
      <c r="O701" s="47" t="n">
        <v/>
      </c>
      <c r="P701" s="88" t="n"/>
    </row>
    <row r="702" customFormat="1" s="2">
      <c r="A702" s="6" t="n"/>
      <c r="B702" s="4" t="n"/>
      <c r="C702" s="4" t="n"/>
      <c r="D702" s="7" t="inlineStr">
        <is>
          <t>Sq.ft</t>
        </is>
      </c>
      <c r="E702" s="17" t="n"/>
      <c r="F702" s="20" t="n">
        <v>1</v>
      </c>
      <c r="G702" s="47" t="n">
        <v>0.5</v>
      </c>
      <c r="H702" s="47" t="n"/>
      <c r="I702" s="47" t="n">
        <v>8</v>
      </c>
      <c r="J702" s="47">
        <f>PRODUCT(E702:I702)</f>
        <v/>
      </c>
      <c r="K702" s="20" t="n">
        <v>1</v>
      </c>
      <c r="L702" s="47" t="n">
        <v/>
      </c>
      <c r="M702" s="47" t="n">
        <v/>
      </c>
      <c r="N702" s="47" t="n">
        <v/>
      </c>
      <c r="O702" s="47" t="n">
        <v/>
      </c>
      <c r="P702" s="88" t="n"/>
    </row>
    <row r="703" customFormat="1" s="2">
      <c r="A703" s="6" t="n"/>
      <c r="B703" s="4" t="n"/>
      <c r="C703" s="4" t="n"/>
      <c r="D703" s="7" t="inlineStr">
        <is>
          <t>Sq.ft</t>
        </is>
      </c>
      <c r="E703" s="17" t="n"/>
      <c r="F703" s="20" t="n">
        <v>1</v>
      </c>
      <c r="G703" s="47" t="n">
        <v>3.78</v>
      </c>
      <c r="H703" s="47" t="n"/>
      <c r="I703" s="47" t="n">
        <v>8</v>
      </c>
      <c r="J703" s="47">
        <f>PRODUCT(E703:I703)</f>
        <v/>
      </c>
      <c r="K703" s="20" t="n">
        <v>1</v>
      </c>
      <c r="L703" s="47" t="n">
        <v/>
      </c>
      <c r="M703" s="47" t="n">
        <v/>
      </c>
      <c r="N703" s="47" t="n">
        <v/>
      </c>
      <c r="O703" s="47" t="n">
        <v/>
      </c>
      <c r="P703" s="88" t="n"/>
    </row>
    <row r="704" customFormat="1" s="2">
      <c r="A704" s="6" t="n"/>
      <c r="B704" s="4" t="n"/>
      <c r="C704" s="4" t="inlineStr">
        <is>
          <t>Door Area Less ( - )</t>
        </is>
      </c>
      <c r="D704" s="7" t="inlineStr">
        <is>
          <t>Sq.ft</t>
        </is>
      </c>
      <c r="E704" s="17" t="n"/>
      <c r="F704" s="20" t="n">
        <v>-1</v>
      </c>
      <c r="G704" s="47" t="n">
        <v>3.5</v>
      </c>
      <c r="H704" s="47" t="n"/>
      <c r="I704" s="47" t="n">
        <v>6.5</v>
      </c>
      <c r="J704" s="47">
        <f>PRODUCT(E704:I704)</f>
        <v/>
      </c>
      <c r="K704" s="20" t="n">
        <v>-1</v>
      </c>
      <c r="L704" s="47" t="n">
        <v/>
      </c>
      <c r="M704" s="47" t="n">
        <v/>
      </c>
      <c r="N704" s="47" t="n">
        <v/>
      </c>
      <c r="O704" s="47" t="n">
        <v/>
      </c>
      <c r="P704" s="88" t="n"/>
    </row>
    <row r="705" customFormat="1" s="2">
      <c r="A705" s="6" t="n"/>
      <c r="B705" s="4" t="n"/>
      <c r="C705" s="14" t="inlineStr">
        <is>
          <t>Safe Room</t>
        </is>
      </c>
      <c r="D705" s="7" t="n"/>
      <c r="E705" s="17" t="n"/>
      <c r="F705" s="20" t="n"/>
      <c r="G705" s="47" t="n"/>
      <c r="H705" s="47" t="n"/>
      <c r="I705" s="47" t="n"/>
      <c r="J705" s="47" t="n"/>
      <c r="K705" s="20" t="n">
        <v/>
      </c>
      <c r="L705" s="47" t="n">
        <v/>
      </c>
      <c r="M705" s="47" t="n">
        <v/>
      </c>
      <c r="N705" s="47" t="n">
        <v/>
      </c>
      <c r="O705" s="47" t="n">
        <v/>
      </c>
      <c r="P705" s="88" t="n"/>
    </row>
    <row r="706" customFormat="1" s="2">
      <c r="A706" s="6" t="n"/>
      <c r="B706" s="4" t="n"/>
      <c r="C706" s="4" t="inlineStr">
        <is>
          <t>Right Side Wall</t>
        </is>
      </c>
      <c r="D706" s="7" t="inlineStr">
        <is>
          <t>Sq.ft</t>
        </is>
      </c>
      <c r="E706" s="17" t="n"/>
      <c r="F706" s="20" t="n">
        <v>1</v>
      </c>
      <c r="G706" s="47" t="n">
        <v>5.56</v>
      </c>
      <c r="H706" s="47" t="n"/>
      <c r="I706" s="47" t="n">
        <v>8</v>
      </c>
      <c r="J706" s="47">
        <f>PRODUCT(E706:I706)</f>
        <v/>
      </c>
      <c r="K706" s="20" t="n">
        <v>1</v>
      </c>
      <c r="L706" s="47" t="n">
        <v/>
      </c>
      <c r="M706" s="47" t="n">
        <v/>
      </c>
      <c r="N706" s="47" t="n">
        <v/>
      </c>
      <c r="O706" s="47" t="n">
        <v/>
      </c>
      <c r="P706" s="88" t="n"/>
    </row>
    <row r="707" customFormat="1" s="2">
      <c r="A707" s="6" t="n"/>
      <c r="B707" s="4" t="n"/>
      <c r="C707" s="4" t="n"/>
      <c r="D707" s="7" t="inlineStr">
        <is>
          <t>Sq.ft</t>
        </is>
      </c>
      <c r="E707" s="17" t="n"/>
      <c r="F707" s="20" t="n">
        <v>1</v>
      </c>
      <c r="G707" s="47" t="n">
        <v>11.52</v>
      </c>
      <c r="H707" s="47" t="n"/>
      <c r="I707" s="47" t="n">
        <v>8</v>
      </c>
      <c r="J707" s="47">
        <f>PRODUCT(E707:I707)</f>
        <v/>
      </c>
      <c r="K707" s="20" t="n">
        <v>1</v>
      </c>
      <c r="L707" s="47" t="n">
        <v/>
      </c>
      <c r="M707" s="47" t="n">
        <v/>
      </c>
      <c r="N707" s="47" t="n">
        <v/>
      </c>
      <c r="O707" s="47" t="n">
        <v/>
      </c>
      <c r="P707" s="88" t="n"/>
    </row>
    <row r="708" customFormat="1" s="2">
      <c r="A708" s="6" t="n"/>
      <c r="B708" s="4" t="n"/>
      <c r="C708" s="4" t="n"/>
      <c r="D708" s="7" t="inlineStr">
        <is>
          <t>Sq.ft</t>
        </is>
      </c>
      <c r="E708" s="17" t="n"/>
      <c r="F708" s="20" t="n">
        <v>1</v>
      </c>
      <c r="G708" s="47" t="n">
        <v>5.8</v>
      </c>
      <c r="H708" s="47" t="n"/>
      <c r="I708" s="47" t="n">
        <v>8</v>
      </c>
      <c r="J708" s="47">
        <f>PRODUCT(E708:I708)</f>
        <v/>
      </c>
      <c r="K708" s="20" t="n">
        <v>1</v>
      </c>
      <c r="L708" s="47" t="n">
        <v/>
      </c>
      <c r="M708" s="47" t="n">
        <v/>
      </c>
      <c r="N708" s="47" t="n">
        <v/>
      </c>
      <c r="O708" s="47" t="n">
        <v/>
      </c>
      <c r="P708" s="88" t="n"/>
    </row>
    <row r="709" customFormat="1" s="2">
      <c r="A709" s="6" t="n"/>
      <c r="B709" s="4" t="n"/>
      <c r="C709" s="14" t="inlineStr">
        <is>
          <t>Back Office Area</t>
        </is>
      </c>
      <c r="D709" s="7" t="n"/>
      <c r="E709" s="17" t="n"/>
      <c r="F709" s="20" t="n"/>
      <c r="G709" s="47" t="n"/>
      <c r="H709" s="47" t="n"/>
      <c r="I709" s="47" t="n"/>
      <c r="J709" s="47">
        <f>PRODUCT(E709:I709)</f>
        <v/>
      </c>
      <c r="K709" s="20" t="n">
        <v/>
      </c>
      <c r="L709" s="47" t="n">
        <v/>
      </c>
      <c r="M709" s="47" t="n">
        <v/>
      </c>
      <c r="N709" s="47" t="n">
        <v/>
      </c>
      <c r="O709" s="47" t="n">
        <v/>
      </c>
      <c r="P709" s="88" t="n"/>
    </row>
    <row r="710" customFormat="1" s="2">
      <c r="A710" s="6" t="n"/>
      <c r="B710" s="4" t="n"/>
      <c r="C710" s="4" t="inlineStr">
        <is>
          <t>Front Side Wall</t>
        </is>
      </c>
      <c r="D710" s="7" t="inlineStr">
        <is>
          <t>Sq.ft</t>
        </is>
      </c>
      <c r="E710" s="17" t="n"/>
      <c r="F710" s="20" t="n">
        <v>1</v>
      </c>
      <c r="G710" s="47" t="n">
        <v>14.95</v>
      </c>
      <c r="H710" s="47" t="n"/>
      <c r="I710" s="47" t="n">
        <v>4.04</v>
      </c>
      <c r="J710" s="47">
        <f>PRODUCT(E710:I710)</f>
        <v/>
      </c>
      <c r="K710" s="20" t="n">
        <v>1</v>
      </c>
      <c r="L710" s="47" t="n">
        <v/>
      </c>
      <c r="M710" s="47" t="n">
        <v/>
      </c>
      <c r="N710" s="47" t="n">
        <v/>
      </c>
      <c r="O710" s="47" t="n">
        <v/>
      </c>
      <c r="P710" s="88" t="n"/>
    </row>
    <row r="711" customFormat="1" s="2">
      <c r="A711" s="6" t="n"/>
      <c r="B711" s="4" t="n"/>
      <c r="C711" s="4" t="inlineStr">
        <is>
          <t>Continue Wall</t>
        </is>
      </c>
      <c r="D711" s="7" t="inlineStr">
        <is>
          <t>Sq.ft</t>
        </is>
      </c>
      <c r="E711" s="17" t="n"/>
      <c r="F711" s="20" t="n">
        <v>1</v>
      </c>
      <c r="G711" s="47" t="n">
        <v>5</v>
      </c>
      <c r="H711" s="47" t="n"/>
      <c r="I711" s="47" t="n">
        <v>3.68</v>
      </c>
      <c r="J711" s="47">
        <f>PRODUCT(E711:I711)</f>
        <v/>
      </c>
      <c r="K711" s="20" t="n">
        <v>1</v>
      </c>
      <c r="L711" s="47" t="n">
        <v/>
      </c>
      <c r="M711" s="47" t="n">
        <v/>
      </c>
      <c r="N711" s="47" t="n">
        <v/>
      </c>
      <c r="O711" s="47" t="n">
        <v/>
      </c>
      <c r="P711" s="88" t="n"/>
    </row>
    <row r="712" customFormat="1" s="2">
      <c r="A712" s="6" t="n"/>
      <c r="B712" s="4" t="n"/>
      <c r="C712" s="4" t="inlineStr">
        <is>
          <t>Column Area</t>
        </is>
      </c>
      <c r="D712" s="7" t="inlineStr">
        <is>
          <t>Sq.ft</t>
        </is>
      </c>
      <c r="E712" s="17" t="n"/>
      <c r="F712" s="20" t="n">
        <v>1</v>
      </c>
      <c r="G712" s="47" t="n">
        <v>3</v>
      </c>
      <c r="H712" s="47" t="n"/>
      <c r="I712" s="47" t="n">
        <v>3.72</v>
      </c>
      <c r="J712" s="47">
        <f>PRODUCT(E712:I712)</f>
        <v/>
      </c>
      <c r="K712" s="20" t="n">
        <v>1</v>
      </c>
      <c r="L712" s="47" t="n">
        <v/>
      </c>
      <c r="M712" s="47" t="n">
        <v/>
      </c>
      <c r="N712" s="47" t="n">
        <v/>
      </c>
      <c r="O712" s="47" t="n">
        <v/>
      </c>
      <c r="P712" s="88" t="n"/>
    </row>
    <row r="713" customFormat="1" s="2">
      <c r="A713" s="6" t="n"/>
      <c r="B713" s="4" t="n"/>
      <c r="C713" s="4" t="inlineStr">
        <is>
          <t>Column Area</t>
        </is>
      </c>
      <c r="D713" s="7" t="inlineStr">
        <is>
          <t>Sq.ft</t>
        </is>
      </c>
      <c r="E713" s="17" t="n"/>
      <c r="F713" s="20" t="n">
        <v>1</v>
      </c>
      <c r="G713" s="47" t="n">
        <v>1</v>
      </c>
      <c r="H713" s="47" t="n"/>
      <c r="I713" s="47" t="n">
        <v>3.3</v>
      </c>
      <c r="J713" s="47">
        <f>PRODUCT(E713:I713)</f>
        <v/>
      </c>
      <c r="K713" s="20" t="n">
        <v>1</v>
      </c>
      <c r="L713" s="47" t="n">
        <v/>
      </c>
      <c r="M713" s="47" t="n">
        <v/>
      </c>
      <c r="N713" s="47" t="n">
        <v/>
      </c>
      <c r="O713" s="47" t="n">
        <v/>
      </c>
      <c r="P713" s="88" t="n"/>
    </row>
    <row r="714" customFormat="1" s="2">
      <c r="A714" s="6" t="n"/>
      <c r="B714" s="4" t="n"/>
      <c r="C714" s="4" t="inlineStr">
        <is>
          <t>Column Area</t>
        </is>
      </c>
      <c r="D714" s="7" t="inlineStr">
        <is>
          <t>Sq.ft</t>
        </is>
      </c>
      <c r="E714" s="17" t="n"/>
      <c r="F714" s="20" t="n">
        <v>1</v>
      </c>
      <c r="G714" s="47" t="n">
        <v>4.33</v>
      </c>
      <c r="H714" s="47" t="n"/>
      <c r="I714" s="47" t="n">
        <v>3.71</v>
      </c>
      <c r="J714" s="47">
        <f>PRODUCT(E714:I714)</f>
        <v/>
      </c>
      <c r="K714" s="20" t="n">
        <v>1</v>
      </c>
      <c r="L714" s="47" t="n">
        <v/>
      </c>
      <c r="M714" s="47" t="n">
        <v/>
      </c>
      <c r="N714" s="47" t="n">
        <v/>
      </c>
      <c r="O714" s="47" t="n">
        <v/>
      </c>
      <c r="P714" s="88" t="n"/>
    </row>
    <row r="715" customFormat="1" s="2">
      <c r="A715" s="6" t="n"/>
      <c r="B715" s="4" t="n"/>
      <c r="C715" s="4" t="inlineStr">
        <is>
          <t>Wall Area</t>
        </is>
      </c>
      <c r="D715" s="7" t="inlineStr">
        <is>
          <t>Sq.ft</t>
        </is>
      </c>
      <c r="E715" s="17" t="n"/>
      <c r="F715" s="20" t="n">
        <v>1</v>
      </c>
      <c r="G715" s="47" t="n">
        <v>3.69</v>
      </c>
      <c r="H715" s="47" t="n"/>
      <c r="I715" s="47" t="n">
        <v>3.76</v>
      </c>
      <c r="J715" s="47">
        <f>PRODUCT(E715:I715)</f>
        <v/>
      </c>
      <c r="K715" s="20" t="n">
        <v>1</v>
      </c>
      <c r="L715" s="47" t="n">
        <v/>
      </c>
      <c r="M715" s="47" t="n">
        <v/>
      </c>
      <c r="N715" s="47" t="n">
        <v/>
      </c>
      <c r="O715" s="47" t="n">
        <v/>
      </c>
      <c r="P715" s="88" t="n"/>
    </row>
    <row r="716" customFormat="1" s="2">
      <c r="A716" s="6" t="n"/>
      <c r="B716" s="4" t="n"/>
      <c r="C716" s="4" t="inlineStr">
        <is>
          <t xml:space="preserve">Vertical </t>
        </is>
      </c>
      <c r="D716" s="7" t="inlineStr">
        <is>
          <t>Sq.ft</t>
        </is>
      </c>
      <c r="E716" s="17" t="n"/>
      <c r="F716" s="20" t="n">
        <v>1</v>
      </c>
      <c r="G716" s="47">
        <f>4.5/12</f>
        <v/>
      </c>
      <c r="H716" s="47" t="n"/>
      <c r="I716" s="47" t="n">
        <v>7.71</v>
      </c>
      <c r="J716" s="47">
        <f>PRODUCT(E716:I716)</f>
        <v/>
      </c>
      <c r="K716" s="20" t="n">
        <v>1</v>
      </c>
      <c r="L716" s="47" t="n">
        <v/>
      </c>
      <c r="M716" s="47" t="n">
        <v/>
      </c>
      <c r="N716" s="47" t="n">
        <v/>
      </c>
      <c r="O716" s="47" t="n">
        <v/>
      </c>
      <c r="P716" s="88" t="n"/>
    </row>
    <row r="717" customFormat="1" s="2">
      <c r="A717" s="6" t="n"/>
      <c r="B717" s="4" t="n"/>
      <c r="C717" s="4" t="inlineStr">
        <is>
          <t>Horzontal</t>
        </is>
      </c>
      <c r="D717" s="7" t="inlineStr">
        <is>
          <t>Sq.ft</t>
        </is>
      </c>
      <c r="E717" s="17" t="n"/>
      <c r="F717" s="20" t="n">
        <v>1</v>
      </c>
      <c r="G717" s="47" t="n">
        <v>3.69</v>
      </c>
      <c r="H717" s="47">
        <f>4.5/12</f>
        <v/>
      </c>
      <c r="I717" s="47" t="n"/>
      <c r="J717" s="47">
        <f>PRODUCT(E717:I717)</f>
        <v/>
      </c>
      <c r="K717" s="20" t="n">
        <v>1</v>
      </c>
      <c r="L717" s="47" t="n">
        <v/>
      </c>
      <c r="M717" s="47" t="n">
        <v/>
      </c>
      <c r="N717" s="47" t="n">
        <v/>
      </c>
      <c r="O717" s="47" t="n">
        <v/>
      </c>
      <c r="P717" s="88" t="n"/>
    </row>
    <row r="718" customFormat="1" s="2">
      <c r="A718" s="6" t="n"/>
      <c r="B718" s="4" t="n"/>
      <c r="C718" s="4" t="inlineStr">
        <is>
          <t>Horzontal</t>
        </is>
      </c>
      <c r="D718" s="7" t="inlineStr">
        <is>
          <t>Sq.ft</t>
        </is>
      </c>
      <c r="E718" s="17" t="n"/>
      <c r="F718" s="20" t="n">
        <v>1</v>
      </c>
      <c r="G718" s="47" t="n">
        <v>2.13</v>
      </c>
      <c r="H718" s="47">
        <f>4.5/12</f>
        <v/>
      </c>
      <c r="I718" s="47" t="n"/>
      <c r="J718" s="47">
        <f>PRODUCT(E718:I718)</f>
        <v/>
      </c>
      <c r="K718" s="20" t="n">
        <v>1</v>
      </c>
      <c r="L718" s="47" t="n">
        <v/>
      </c>
      <c r="M718" s="47" t="n">
        <v/>
      </c>
      <c r="N718" s="47" t="n">
        <v/>
      </c>
      <c r="O718" s="47" t="n">
        <v/>
      </c>
      <c r="P718" s="88" t="n"/>
    </row>
    <row r="719" customFormat="1" s="2">
      <c r="A719" s="6" t="n"/>
      <c r="B719" s="4" t="n"/>
      <c r="C719" s="4" t="inlineStr">
        <is>
          <t xml:space="preserve">Vertical </t>
        </is>
      </c>
      <c r="D719" s="7" t="inlineStr">
        <is>
          <t>Sq.ft</t>
        </is>
      </c>
      <c r="E719" s="17" t="n"/>
      <c r="F719" s="20" t="n">
        <v>1</v>
      </c>
      <c r="G719" s="47" t="n">
        <v>7.84</v>
      </c>
      <c r="H719" s="47" t="n"/>
      <c r="I719" s="47" t="n">
        <v>0.5</v>
      </c>
      <c r="J719" s="47">
        <f>PRODUCT(E719:I719)</f>
        <v/>
      </c>
      <c r="K719" s="20" t="n">
        <v>1</v>
      </c>
      <c r="L719" s="47" t="n">
        <v/>
      </c>
      <c r="M719" s="47" t="n">
        <v/>
      </c>
      <c r="N719" s="47" t="n">
        <v/>
      </c>
      <c r="O719" s="47" t="n">
        <v/>
      </c>
      <c r="P719" s="88" t="n"/>
    </row>
    <row r="720" customFormat="1" s="2">
      <c r="A720" s="6" t="n"/>
      <c r="B720" s="4" t="n"/>
      <c r="C720" s="4" t="inlineStr">
        <is>
          <t>Bottom</t>
        </is>
      </c>
      <c r="D720" s="7" t="inlineStr">
        <is>
          <t>Sq.ft</t>
        </is>
      </c>
      <c r="E720" s="17" t="n"/>
      <c r="F720" s="20" t="n">
        <v>1</v>
      </c>
      <c r="G720" s="47" t="n">
        <v>1.58</v>
      </c>
      <c r="H720" s="47" t="n"/>
      <c r="I720" s="47" t="n">
        <v>0.58</v>
      </c>
      <c r="J720" s="47">
        <f>PRODUCT(E720:I720)</f>
        <v/>
      </c>
      <c r="K720" s="20" t="n">
        <v>1</v>
      </c>
      <c r="L720" s="47" t="n">
        <v/>
      </c>
      <c r="M720" s="47" t="n">
        <v/>
      </c>
      <c r="N720" s="47" t="n">
        <v/>
      </c>
      <c r="O720" s="47" t="n">
        <v/>
      </c>
      <c r="P720" s="88" t="n"/>
    </row>
    <row r="721" customFormat="1" s="2">
      <c r="A721" s="6" t="n"/>
      <c r="B721" s="4" t="n"/>
      <c r="C721" s="4" t="inlineStr">
        <is>
          <t>Wall Area</t>
        </is>
      </c>
      <c r="D721" s="7" t="inlineStr">
        <is>
          <t>Sq.ft</t>
        </is>
      </c>
      <c r="E721" s="17" t="n"/>
      <c r="F721" s="20" t="n">
        <v>1</v>
      </c>
      <c r="G721" s="47" t="n">
        <v>3.17</v>
      </c>
      <c r="H721" s="47" t="n"/>
      <c r="I721" s="47" t="n">
        <v>7.84</v>
      </c>
      <c r="J721" s="47">
        <f>PRODUCT(E721:I721)</f>
        <v/>
      </c>
      <c r="K721" s="20" t="n">
        <v>1</v>
      </c>
      <c r="L721" s="47" t="n">
        <v/>
      </c>
      <c r="M721" s="47" t="n">
        <v/>
      </c>
      <c r="N721" s="47" t="n">
        <v/>
      </c>
      <c r="O721" s="47" t="n">
        <v/>
      </c>
      <c r="P721" s="88" t="n"/>
    </row>
    <row r="722" customFormat="1" s="2">
      <c r="A722" s="6" t="n"/>
      <c r="B722" s="4" t="n"/>
      <c r="C722" s="14" t="inlineStr">
        <is>
          <t>Outer Side for Toilet</t>
        </is>
      </c>
      <c r="D722" s="7" t="n"/>
      <c r="E722" s="17" t="n"/>
      <c r="F722" s="20" t="n"/>
      <c r="G722" s="47" t="n"/>
      <c r="H722" s="47" t="n"/>
      <c r="I722" s="47" t="n"/>
      <c r="J722" s="47" t="n"/>
      <c r="K722" s="20" t="n">
        <v/>
      </c>
      <c r="L722" s="47" t="n">
        <v/>
      </c>
      <c r="M722" s="47" t="n">
        <v/>
      </c>
      <c r="N722" s="47" t="n">
        <v/>
      </c>
      <c r="O722" s="47" t="n">
        <v/>
      </c>
      <c r="P722" s="88" t="n"/>
    </row>
    <row r="723" customFormat="1" s="2">
      <c r="A723" s="6" t="n"/>
      <c r="B723" s="4" t="n"/>
      <c r="C723" s="4" t="inlineStr">
        <is>
          <t>Column Area</t>
        </is>
      </c>
      <c r="D723" s="7" t="inlineStr">
        <is>
          <t>Sq.ft</t>
        </is>
      </c>
      <c r="E723" s="17" t="n"/>
      <c r="F723" s="20" t="n">
        <v>1</v>
      </c>
      <c r="G723" s="47" t="n">
        <v>1.5</v>
      </c>
      <c r="H723" s="47" t="n"/>
      <c r="I723" s="47" t="n">
        <v>3.7</v>
      </c>
      <c r="J723" s="47">
        <f>PRODUCT(E723:I723)</f>
        <v/>
      </c>
      <c r="K723" s="20" t="n">
        <v>1</v>
      </c>
      <c r="L723" s="47" t="n">
        <v/>
      </c>
      <c r="M723" s="47" t="n">
        <v/>
      </c>
      <c r="N723" s="47" t="n">
        <v/>
      </c>
      <c r="O723" s="47" t="n">
        <v/>
      </c>
      <c r="P723" s="88" t="n"/>
    </row>
    <row r="724" customFormat="1" s="2">
      <c r="A724" s="6" t="n"/>
      <c r="B724" s="4" t="n"/>
      <c r="C724" s="4" t="inlineStr">
        <is>
          <t>Column Area</t>
        </is>
      </c>
      <c r="D724" s="7" t="inlineStr">
        <is>
          <t>Sq.ft</t>
        </is>
      </c>
      <c r="E724" s="17" t="n"/>
      <c r="F724" s="20" t="n">
        <v>1</v>
      </c>
      <c r="G724" s="47" t="n">
        <v>0.92</v>
      </c>
      <c r="H724" s="47" t="n"/>
      <c r="I724" s="47" t="n">
        <v>3.27</v>
      </c>
      <c r="J724" s="47">
        <f>PRODUCT(E724:I724)</f>
        <v/>
      </c>
      <c r="K724" s="20" t="n">
        <v>1</v>
      </c>
      <c r="L724" s="47" t="n">
        <v/>
      </c>
      <c r="M724" s="47" t="n">
        <v/>
      </c>
      <c r="N724" s="47" t="n">
        <v/>
      </c>
      <c r="O724" s="47" t="n">
        <v/>
      </c>
      <c r="P724" s="88" t="n"/>
    </row>
    <row r="725" customFormat="1" s="2">
      <c r="A725" s="6" t="n"/>
      <c r="B725" s="4" t="n"/>
      <c r="C725" s="4" t="inlineStr">
        <is>
          <t>Column Area</t>
        </is>
      </c>
      <c r="D725" s="7" t="inlineStr">
        <is>
          <t>Sq.ft</t>
        </is>
      </c>
      <c r="E725" s="17" t="n"/>
      <c r="F725" s="20" t="n">
        <v>1</v>
      </c>
      <c r="G725" s="47" t="n">
        <v>2.58</v>
      </c>
      <c r="H725" s="47" t="n"/>
      <c r="I725" s="47" t="n">
        <v>3.27</v>
      </c>
      <c r="J725" s="47">
        <f>PRODUCT(E725:I725)</f>
        <v/>
      </c>
      <c r="K725" s="20" t="n">
        <v>1</v>
      </c>
      <c r="L725" s="47" t="n">
        <v/>
      </c>
      <c r="M725" s="47" t="n">
        <v/>
      </c>
      <c r="N725" s="47" t="n">
        <v/>
      </c>
      <c r="O725" s="47" t="n">
        <v/>
      </c>
      <c r="P725" s="88" t="n"/>
    </row>
    <row r="726" customFormat="1" s="2">
      <c r="A726" s="6" t="n"/>
      <c r="B726" s="4" t="n"/>
      <c r="C726" s="4" t="inlineStr">
        <is>
          <t>Wall Area</t>
        </is>
      </c>
      <c r="D726" s="7" t="inlineStr">
        <is>
          <t>Sq.ft</t>
        </is>
      </c>
      <c r="E726" s="17" t="n"/>
      <c r="F726" s="20" t="n">
        <v>1</v>
      </c>
      <c r="G726" s="47" t="n">
        <v>11.18</v>
      </c>
      <c r="H726" s="47" t="n"/>
      <c r="I726" s="47" t="n">
        <v>3.68</v>
      </c>
      <c r="J726" s="47">
        <f>PRODUCT(E726:I726)</f>
        <v/>
      </c>
      <c r="K726" s="20" t="n">
        <v>1</v>
      </c>
      <c r="L726" s="47" t="n">
        <v/>
      </c>
      <c r="M726" s="47" t="n">
        <v/>
      </c>
      <c r="N726" s="47" t="n">
        <v/>
      </c>
      <c r="O726" s="47" t="n">
        <v/>
      </c>
      <c r="P726" s="88" t="n"/>
    </row>
    <row r="727" customFormat="1" s="2">
      <c r="A727" s="6" t="n"/>
      <c r="B727" s="4" t="n"/>
      <c r="C727" s="4" t="inlineStr">
        <is>
          <t>Door Area Less ( - )</t>
        </is>
      </c>
      <c r="D727" s="7" t="inlineStr">
        <is>
          <t>Sq.ft</t>
        </is>
      </c>
      <c r="E727" s="17" t="n"/>
      <c r="F727" s="20" t="n">
        <v>-1</v>
      </c>
      <c r="G727" s="47" t="n">
        <v>2.58</v>
      </c>
      <c r="H727" s="47" t="n"/>
      <c r="I727" s="47" t="n">
        <v>3.33</v>
      </c>
      <c r="J727" s="47">
        <f>PRODUCT(E727:I727)</f>
        <v/>
      </c>
      <c r="K727" s="20" t="n">
        <v>-1</v>
      </c>
      <c r="L727" s="47" t="n">
        <v/>
      </c>
      <c r="M727" s="47" t="n">
        <v/>
      </c>
      <c r="N727" s="47" t="n">
        <v/>
      </c>
      <c r="O727" s="47" t="n">
        <v/>
      </c>
      <c r="P727" s="88" t="n"/>
    </row>
    <row r="728" customFormat="1" s="2">
      <c r="A728" s="6" t="n"/>
      <c r="B728" s="4" t="n"/>
      <c r="C728" s="4" t="inlineStr">
        <is>
          <t>Wall Area</t>
        </is>
      </c>
      <c r="D728" s="7" t="inlineStr">
        <is>
          <t>Sq.ft</t>
        </is>
      </c>
      <c r="E728" s="17" t="n"/>
      <c r="F728" s="20" t="n">
        <v>1</v>
      </c>
      <c r="G728" s="47" t="n">
        <v>5.89</v>
      </c>
      <c r="H728" s="47" t="n"/>
      <c r="I728" s="47" t="n">
        <v>3.71</v>
      </c>
      <c r="J728" s="47">
        <f>PRODUCT(E728:I728)</f>
        <v/>
      </c>
      <c r="K728" s="20" t="n">
        <v>1</v>
      </c>
      <c r="L728" s="47" t="n">
        <v/>
      </c>
      <c r="M728" s="47" t="n">
        <v/>
      </c>
      <c r="N728" s="47" t="n">
        <v/>
      </c>
      <c r="O728" s="47" t="n">
        <v/>
      </c>
      <c r="P728" s="88" t="n"/>
    </row>
    <row r="729" customFormat="1" s="2">
      <c r="A729" s="6" t="n"/>
      <c r="B729" s="4" t="n"/>
      <c r="C729" s="4" t="inlineStr">
        <is>
          <t>Wall Area</t>
        </is>
      </c>
      <c r="D729" s="7" t="inlineStr">
        <is>
          <t>Sq.ft</t>
        </is>
      </c>
      <c r="E729" s="17" t="n"/>
      <c r="F729" s="20" t="n">
        <v>1</v>
      </c>
      <c r="G729" s="47" t="n">
        <v>5.83</v>
      </c>
      <c r="H729" s="47" t="n"/>
      <c r="I729" s="47" t="n">
        <v>7.77</v>
      </c>
      <c r="J729" s="47">
        <f>PRODUCT(E729:I729)</f>
        <v/>
      </c>
      <c r="K729" s="20" t="n">
        <v>1</v>
      </c>
      <c r="L729" s="47" t="n">
        <v/>
      </c>
      <c r="M729" s="47" t="n">
        <v/>
      </c>
      <c r="N729" s="47" t="n">
        <v/>
      </c>
      <c r="O729" s="47" t="n">
        <v/>
      </c>
      <c r="P729" s="88" t="n"/>
    </row>
    <row r="730" customFormat="1" s="2">
      <c r="A730" s="6" t="n"/>
      <c r="B730" s="4" t="n"/>
      <c r="C730" s="4" t="inlineStr">
        <is>
          <t>Beam Bottom</t>
        </is>
      </c>
      <c r="D730" s="7" t="inlineStr">
        <is>
          <t>Sq.ft</t>
        </is>
      </c>
      <c r="E730" s="17" t="n"/>
      <c r="F730" s="20" t="n">
        <v>1</v>
      </c>
      <c r="G730" s="47" t="n">
        <v>4.9</v>
      </c>
      <c r="H730" s="47" t="n"/>
      <c r="I730" s="47">
        <f>2.5/12</f>
        <v/>
      </c>
      <c r="J730" s="47">
        <f>PRODUCT(E730:I730)</f>
        <v/>
      </c>
      <c r="K730" s="20" t="n">
        <v>1</v>
      </c>
      <c r="L730" s="47" t="n">
        <v/>
      </c>
      <c r="M730" s="47" t="n">
        <v/>
      </c>
      <c r="N730" s="47" t="n">
        <v/>
      </c>
      <c r="O730" s="47" t="n">
        <v/>
      </c>
      <c r="P730" s="88" t="n"/>
    </row>
    <row r="731" customFormat="1" s="2">
      <c r="A731" s="6" t="n"/>
      <c r="B731" s="4" t="n"/>
      <c r="C731" s="14" t="inlineStr">
        <is>
          <t>Store Room</t>
        </is>
      </c>
      <c r="D731" s="7" t="n"/>
      <c r="E731" s="17" t="n"/>
      <c r="F731" s="20" t="n"/>
      <c r="G731" s="47" t="n"/>
      <c r="H731" s="47" t="n"/>
      <c r="I731" s="47" t="n"/>
      <c r="J731" s="47">
        <f>PRODUCT(E731:I731)</f>
        <v/>
      </c>
      <c r="K731" s="20" t="n">
        <v/>
      </c>
      <c r="L731" s="47" t="n">
        <v/>
      </c>
      <c r="M731" s="47" t="n">
        <v/>
      </c>
      <c r="N731" s="47" t="n">
        <v/>
      </c>
      <c r="O731" s="47" t="n">
        <v/>
      </c>
      <c r="P731" s="88" t="n"/>
    </row>
    <row r="732" customFormat="1" s="2">
      <c r="A732" s="6" t="n"/>
      <c r="B732" s="4" t="n"/>
      <c r="C732" s="4" t="inlineStr">
        <is>
          <t>Front Side Wall</t>
        </is>
      </c>
      <c r="D732" s="7" t="inlineStr">
        <is>
          <t>Sq.ft</t>
        </is>
      </c>
      <c r="E732" s="17" t="n"/>
      <c r="F732" s="20" t="n">
        <v>1</v>
      </c>
      <c r="G732" s="47" t="n">
        <v>5.25</v>
      </c>
      <c r="H732" s="47" t="n"/>
      <c r="I732" s="47" t="n">
        <v>7.66</v>
      </c>
      <c r="J732" s="47">
        <f>PRODUCT(E732:I732)</f>
        <v/>
      </c>
      <c r="K732" s="20" t="n">
        <v>1</v>
      </c>
      <c r="L732" s="47" t="n">
        <v/>
      </c>
      <c r="M732" s="47" t="n">
        <v/>
      </c>
      <c r="N732" s="47" t="n">
        <v/>
      </c>
      <c r="O732" s="47" t="n">
        <v/>
      </c>
      <c r="P732" s="88" t="n"/>
    </row>
    <row r="733" customFormat="1" s="2">
      <c r="A733" s="6" t="n"/>
      <c r="B733" s="4" t="n"/>
      <c r="C733" s="14" t="inlineStr">
        <is>
          <t>JL Cabin</t>
        </is>
      </c>
      <c r="D733" s="7" t="n"/>
      <c r="E733" s="17" t="n"/>
      <c r="F733" s="20" t="n"/>
      <c r="G733" s="47" t="n"/>
      <c r="H733" s="47" t="n"/>
      <c r="I733" s="47" t="n"/>
      <c r="J733" s="47">
        <f>PRODUCT(E733:I733)</f>
        <v/>
      </c>
      <c r="K733" s="20" t="n">
        <v/>
      </c>
      <c r="L733" s="47" t="n">
        <v/>
      </c>
      <c r="M733" s="47" t="n">
        <v/>
      </c>
      <c r="N733" s="47" t="n">
        <v/>
      </c>
      <c r="O733" s="47" t="n">
        <v/>
      </c>
      <c r="P733" s="88" t="n"/>
    </row>
    <row r="734" customFormat="1" s="2">
      <c r="A734" s="6" t="n"/>
      <c r="B734" s="4" t="n"/>
      <c r="C734" s="4" t="inlineStr">
        <is>
          <t>Front Side Wall</t>
        </is>
      </c>
      <c r="D734" s="7" t="inlineStr">
        <is>
          <t>Sq.ft</t>
        </is>
      </c>
      <c r="E734" s="17" t="n"/>
      <c r="F734" s="20" t="n">
        <v>1</v>
      </c>
      <c r="G734" s="47" t="n">
        <v>6.83</v>
      </c>
      <c r="H734" s="47" t="n"/>
      <c r="I734" s="47" t="n">
        <v>4.54</v>
      </c>
      <c r="J734" s="47">
        <f>PRODUCT(E734:I734)</f>
        <v/>
      </c>
      <c r="K734" s="20" t="n">
        <v>1</v>
      </c>
      <c r="L734" s="47" t="n">
        <v/>
      </c>
      <c r="M734" s="47" t="n">
        <v/>
      </c>
      <c r="N734" s="47" t="n">
        <v/>
      </c>
      <c r="O734" s="47" t="n">
        <v/>
      </c>
      <c r="P734" s="88" t="n"/>
    </row>
    <row r="735" customFormat="1" s="2">
      <c r="A735" s="6" t="n"/>
      <c r="B735" s="4" t="n"/>
      <c r="C735" s="4" t="inlineStr">
        <is>
          <t>Left Side Wall</t>
        </is>
      </c>
      <c r="D735" s="7" t="inlineStr">
        <is>
          <t>Sq.ft</t>
        </is>
      </c>
      <c r="E735" s="17" t="n"/>
      <c r="F735" s="20" t="n">
        <v>1</v>
      </c>
      <c r="G735" s="47" t="n">
        <v>3.33</v>
      </c>
      <c r="H735" s="47" t="n"/>
      <c r="I735" s="47" t="n">
        <v>4.54</v>
      </c>
      <c r="J735" s="47">
        <f>PRODUCT(E735:I735)</f>
        <v/>
      </c>
      <c r="K735" s="20" t="n">
        <v>1</v>
      </c>
      <c r="L735" s="47" t="n">
        <v/>
      </c>
      <c r="M735" s="47" t="n">
        <v/>
      </c>
      <c r="N735" s="47" t="n">
        <v/>
      </c>
      <c r="O735" s="47" t="n">
        <v/>
      </c>
      <c r="P735" s="88" t="n"/>
    </row>
    <row r="736" customFormat="1" s="2">
      <c r="A736" s="6" t="n"/>
      <c r="B736" s="4" t="n"/>
      <c r="C736" s="14" t="inlineStr">
        <is>
          <t>ATM Area - Loft</t>
        </is>
      </c>
      <c r="D736" s="7" t="n"/>
      <c r="E736" s="17" t="n"/>
      <c r="F736" s="20" t="n"/>
      <c r="G736" s="47" t="n"/>
      <c r="H736" s="47" t="n"/>
      <c r="I736" s="47" t="n"/>
      <c r="J736" s="47">
        <f>PRODUCT(E736:I736)</f>
        <v/>
      </c>
      <c r="K736" s="20" t="n">
        <v/>
      </c>
      <c r="L736" s="47" t="n">
        <v/>
      </c>
      <c r="M736" s="47" t="n">
        <v/>
      </c>
      <c r="N736" s="47" t="n">
        <v/>
      </c>
      <c r="O736" s="47" t="n">
        <v/>
      </c>
      <c r="P736" s="88" t="n"/>
    </row>
    <row r="737" customFormat="1" s="2">
      <c r="A737" s="6" t="n"/>
      <c r="B737" s="4" t="n"/>
      <c r="C737" s="4" t="inlineStr">
        <is>
          <t>Left &amp; Right Side Wall</t>
        </is>
      </c>
      <c r="D737" s="7" t="inlineStr">
        <is>
          <t>Sq.ft</t>
        </is>
      </c>
      <c r="E737" s="17" t="n"/>
      <c r="F737" s="20" t="n">
        <v>2</v>
      </c>
      <c r="G737" s="47" t="n">
        <v>6.73</v>
      </c>
      <c r="H737" s="47" t="n"/>
      <c r="I737" s="47" t="n">
        <v>7.76</v>
      </c>
      <c r="J737" s="47">
        <f>PRODUCT(E737:I737)</f>
        <v/>
      </c>
      <c r="K737" s="20" t="n">
        <v>2</v>
      </c>
      <c r="L737" s="47" t="n">
        <v/>
      </c>
      <c r="M737" s="47" t="n">
        <v/>
      </c>
      <c r="N737" s="47" t="n">
        <v/>
      </c>
      <c r="O737" s="47" t="n">
        <v/>
      </c>
      <c r="P737" s="88" t="n"/>
    </row>
    <row r="738" customFormat="1" s="2">
      <c r="A738" s="6" t="n"/>
      <c r="B738" s="4" t="n"/>
      <c r="C738" s="4" t="inlineStr">
        <is>
          <t>Add vertical</t>
        </is>
      </c>
      <c r="D738" s="7" t="inlineStr">
        <is>
          <t>Sq.ft</t>
        </is>
      </c>
      <c r="E738" s="17" t="n"/>
      <c r="F738" s="20" t="n">
        <v>2</v>
      </c>
      <c r="G738" s="47" t="n">
        <v>0.5</v>
      </c>
      <c r="H738" s="47" t="n"/>
      <c r="I738" s="47" t="n">
        <v>7.76</v>
      </c>
      <c r="J738" s="47">
        <f>PRODUCT(E738:I738)</f>
        <v/>
      </c>
      <c r="K738" s="20" t="n">
        <v>2</v>
      </c>
      <c r="L738" s="47" t="n">
        <v/>
      </c>
      <c r="M738" s="47" t="n">
        <v/>
      </c>
      <c r="N738" s="47" t="n">
        <v/>
      </c>
      <c r="O738" s="47" t="n">
        <v/>
      </c>
      <c r="P738" s="88" t="n"/>
    </row>
    <row r="739" customFormat="1" s="2">
      <c r="A739" s="6" t="n"/>
      <c r="B739" s="4" t="n"/>
      <c r="C739" s="14" t="inlineStr">
        <is>
          <t>Staircase Side</t>
        </is>
      </c>
      <c r="D739" s="7" t="n"/>
      <c r="E739" s="17" t="n"/>
      <c r="F739" s="20" t="n"/>
      <c r="G739" s="47" t="n"/>
      <c r="H739" s="47" t="n"/>
      <c r="I739" s="47" t="n"/>
      <c r="J739" s="47">
        <f>PRODUCT(E739:I739)</f>
        <v/>
      </c>
      <c r="K739" s="20" t="n">
        <v/>
      </c>
      <c r="L739" s="47" t="n">
        <v/>
      </c>
      <c r="M739" s="47" t="n">
        <v/>
      </c>
      <c r="N739" s="47" t="n">
        <v/>
      </c>
      <c r="O739" s="47" t="n">
        <v/>
      </c>
      <c r="P739" s="88" t="n"/>
    </row>
    <row r="740" customFormat="1" s="2">
      <c r="A740" s="6" t="n"/>
      <c r="B740" s="4" t="n"/>
      <c r="C740" s="4" t="inlineStr">
        <is>
          <t>Right Side Wall</t>
        </is>
      </c>
      <c r="D740" s="7" t="inlineStr">
        <is>
          <t>Sq.ft</t>
        </is>
      </c>
      <c r="E740" s="17" t="n"/>
      <c r="F740" s="20" t="n">
        <v>1</v>
      </c>
      <c r="G740" s="47" t="n">
        <v>0.75</v>
      </c>
      <c r="H740" s="47" t="n"/>
      <c r="I740" s="47" t="n">
        <v>0.17</v>
      </c>
      <c r="J740" s="47">
        <f>PRODUCT(E740:I740)</f>
        <v/>
      </c>
      <c r="K740" s="20" t="n">
        <v>1</v>
      </c>
      <c r="L740" s="47" t="n">
        <v/>
      </c>
      <c r="M740" s="47" t="n">
        <v/>
      </c>
      <c r="N740" s="47" t="n">
        <v/>
      </c>
      <c r="O740" s="47" t="n">
        <v/>
      </c>
      <c r="P740" s="88" t="n"/>
    </row>
    <row r="741" customFormat="1" s="2">
      <c r="A741" s="6" t="n"/>
      <c r="B741" s="4" t="n"/>
      <c r="C741" s="4" t="n"/>
      <c r="D741" s="7" t="inlineStr">
        <is>
          <t>Sq.ft</t>
        </is>
      </c>
      <c r="E741" s="17" t="n"/>
      <c r="F741" s="20" t="n">
        <v>1</v>
      </c>
      <c r="G741" s="47" t="n">
        <v>0.83</v>
      </c>
      <c r="H741" s="47" t="n"/>
      <c r="I741" s="47" t="n">
        <v>0.75</v>
      </c>
      <c r="J741" s="47">
        <f>PRODUCT(E741:I741)</f>
        <v/>
      </c>
      <c r="K741" s="20" t="n">
        <v>1</v>
      </c>
      <c r="L741" s="47" t="n">
        <v/>
      </c>
      <c r="M741" s="47" t="n">
        <v/>
      </c>
      <c r="N741" s="47" t="n">
        <v/>
      </c>
      <c r="O741" s="47" t="n">
        <v/>
      </c>
      <c r="P741" s="88" t="n"/>
    </row>
    <row r="742" customFormat="1" s="2">
      <c r="A742" s="6" t="n"/>
      <c r="B742" s="4" t="n"/>
      <c r="C742" s="4" t="n"/>
      <c r="D742" s="7" t="inlineStr">
        <is>
          <t>Sq.ft</t>
        </is>
      </c>
      <c r="E742" s="17" t="n"/>
      <c r="F742" s="20" t="n">
        <v>1</v>
      </c>
      <c r="G742" s="47" t="n">
        <v>0.83</v>
      </c>
      <c r="H742" s="47" t="n"/>
      <c r="I742" s="47">
        <f>16/12</f>
        <v/>
      </c>
      <c r="J742" s="47">
        <f>PRODUCT(E742:I742)</f>
        <v/>
      </c>
      <c r="K742" s="20" t="n">
        <v>1</v>
      </c>
      <c r="L742" s="47" t="n">
        <v/>
      </c>
      <c r="M742" s="47" t="n">
        <v/>
      </c>
      <c r="N742" s="47" t="n">
        <v/>
      </c>
      <c r="O742" s="47" t="n">
        <v/>
      </c>
      <c r="P742" s="88" t="n"/>
    </row>
    <row r="743" customFormat="1" s="2">
      <c r="A743" s="6" t="n"/>
      <c r="B743" s="4" t="n"/>
      <c r="C743" s="4" t="n"/>
      <c r="D743" s="7" t="inlineStr">
        <is>
          <t>Sq.ft</t>
        </is>
      </c>
      <c r="E743" s="17" t="n"/>
      <c r="F743" s="20" t="n">
        <v>1</v>
      </c>
      <c r="G743" s="47" t="n">
        <v>2.54</v>
      </c>
      <c r="H743" s="47" t="n"/>
      <c r="I743" s="47" t="n">
        <v>1.333333333333333</v>
      </c>
      <c r="J743" s="47">
        <f>PRODUCT(E743:I743)</f>
        <v/>
      </c>
      <c r="K743" s="20" t="n">
        <v>1</v>
      </c>
      <c r="L743" s="47" t="n">
        <v/>
      </c>
      <c r="M743" s="47" t="n">
        <v/>
      </c>
      <c r="N743" s="47" t="n">
        <v/>
      </c>
      <c r="O743" s="47" t="n">
        <v/>
      </c>
      <c r="P743" s="88" t="n"/>
    </row>
    <row r="744" customFormat="1" s="2">
      <c r="A744" s="6" t="n"/>
      <c r="B744" s="4" t="n"/>
      <c r="C744" s="4" t="n"/>
      <c r="D744" s="7" t="inlineStr">
        <is>
          <t>Sq.ft</t>
        </is>
      </c>
      <c r="E744" s="17" t="n"/>
      <c r="F744" s="20" t="n">
        <v>1</v>
      </c>
      <c r="G744" s="47" t="n">
        <v>9.550000000000001</v>
      </c>
      <c r="H744" s="47" t="n"/>
      <c r="I744" s="47" t="n">
        <v>1.93</v>
      </c>
      <c r="J744" s="47">
        <f>PRODUCT(E744:I744)</f>
        <v/>
      </c>
      <c r="K744" s="20" t="n">
        <v>1</v>
      </c>
      <c r="L744" s="47" t="n">
        <v/>
      </c>
      <c r="M744" s="47" t="n">
        <v/>
      </c>
      <c r="N744" s="47" t="n">
        <v/>
      </c>
      <c r="O744" s="47" t="n">
        <v/>
      </c>
      <c r="P744" s="88" t="n"/>
    </row>
    <row r="745" customFormat="1" s="2">
      <c r="A745" s="6" t="n"/>
      <c r="B745" s="4" t="n"/>
      <c r="C745" s="4" t="n"/>
      <c r="D745" s="7" t="inlineStr">
        <is>
          <t>Sq.ft</t>
        </is>
      </c>
      <c r="E745" s="17" t="n"/>
      <c r="F745" s="20" t="n">
        <v>1</v>
      </c>
      <c r="G745" s="47" t="n">
        <v>11</v>
      </c>
      <c r="H745" s="47" t="n"/>
      <c r="I745" s="47" t="n">
        <v>0.5</v>
      </c>
      <c r="J745" s="47">
        <f>PRODUCT(E745:I745)</f>
        <v/>
      </c>
      <c r="K745" s="20" t="n">
        <v>1</v>
      </c>
      <c r="L745" s="47" t="n">
        <v/>
      </c>
      <c r="M745" s="47" t="n">
        <v/>
      </c>
      <c r="N745" s="47" t="n">
        <v/>
      </c>
      <c r="O745" s="47" t="n">
        <v/>
      </c>
      <c r="P745" s="88" t="n"/>
    </row>
    <row r="746" customFormat="1" s="2">
      <c r="A746" s="6" t="n"/>
      <c r="B746" s="4" t="n"/>
      <c r="C746" s="14" t="inlineStr">
        <is>
          <t>Column Area</t>
        </is>
      </c>
      <c r="D746" s="7" t="n"/>
      <c r="E746" s="17" t="n"/>
      <c r="F746" s="20" t="n"/>
      <c r="G746" s="47" t="n"/>
      <c r="H746" s="47" t="n"/>
      <c r="I746" s="47" t="n"/>
      <c r="J746" s="47">
        <f>PRODUCT(E746:I746)</f>
        <v/>
      </c>
      <c r="K746" s="20" t="n">
        <v/>
      </c>
      <c r="L746" s="47" t="n">
        <v/>
      </c>
      <c r="M746" s="47" t="n">
        <v/>
      </c>
      <c r="N746" s="47" t="n">
        <v/>
      </c>
      <c r="O746" s="47" t="n">
        <v/>
      </c>
      <c r="P746" s="88" t="n"/>
    </row>
    <row r="747" customFormat="1" s="2">
      <c r="A747" s="6" t="n"/>
      <c r="B747" s="4" t="n"/>
      <c r="C747" s="4" t="n"/>
      <c r="D747" s="7" t="inlineStr">
        <is>
          <t>Sq.ft</t>
        </is>
      </c>
      <c r="E747" s="17" t="n"/>
      <c r="F747" s="20" t="n">
        <v>1</v>
      </c>
      <c r="G747" s="47" t="n">
        <v>3.92</v>
      </c>
      <c r="H747" s="47" t="n"/>
      <c r="I747" s="47" t="n">
        <v>7.7</v>
      </c>
      <c r="J747" s="47">
        <f>PRODUCT(E747:I747)</f>
        <v/>
      </c>
      <c r="K747" s="20" t="n">
        <v>1</v>
      </c>
      <c r="L747" s="47" t="n">
        <v/>
      </c>
      <c r="M747" s="47" t="n">
        <v/>
      </c>
      <c r="N747" s="47" t="n">
        <v/>
      </c>
      <c r="O747" s="47" t="n">
        <v/>
      </c>
      <c r="P747" s="88" t="n"/>
    </row>
    <row r="748" customFormat="1" s="2">
      <c r="A748" s="6" t="n"/>
      <c r="B748" s="4" t="n"/>
      <c r="C748" s="4" t="n"/>
      <c r="D748" s="7" t="inlineStr">
        <is>
          <t>Sq.ft</t>
        </is>
      </c>
      <c r="E748" s="17" t="n"/>
      <c r="F748" s="20" t="n">
        <v>1</v>
      </c>
      <c r="G748" s="47" t="n">
        <v>1.08</v>
      </c>
      <c r="H748" s="47" t="n"/>
      <c r="I748" s="47" t="n">
        <v>7.7</v>
      </c>
      <c r="J748" s="47">
        <f>PRODUCT(E748:I748)</f>
        <v/>
      </c>
      <c r="K748" s="20" t="n">
        <v>1</v>
      </c>
      <c r="L748" s="47" t="n">
        <v/>
      </c>
      <c r="M748" s="47" t="n">
        <v/>
      </c>
      <c r="N748" s="47" t="n">
        <v/>
      </c>
      <c r="O748" s="47" t="n">
        <v/>
      </c>
      <c r="P748" s="88" t="n"/>
    </row>
    <row r="749" customFormat="1" s="2">
      <c r="A749" s="6" t="n"/>
      <c r="B749" s="4" t="n"/>
      <c r="C749" s="4" t="n"/>
      <c r="D749" s="7" t="inlineStr">
        <is>
          <t>Sq.ft</t>
        </is>
      </c>
      <c r="E749" s="17" t="n"/>
      <c r="F749" s="20" t="n">
        <v>1</v>
      </c>
      <c r="G749" s="47" t="n">
        <v>2</v>
      </c>
      <c r="H749" s="47" t="n"/>
      <c r="I749" s="47" t="n">
        <v>7.7</v>
      </c>
      <c r="J749" s="47">
        <f>PRODUCT(E749:I749)</f>
        <v/>
      </c>
      <c r="K749" s="20" t="n">
        <v>1</v>
      </c>
      <c r="L749" s="47" t="n">
        <v/>
      </c>
      <c r="M749" s="47" t="n">
        <v/>
      </c>
      <c r="N749" s="47" t="n">
        <v/>
      </c>
      <c r="O749" s="47" t="n">
        <v/>
      </c>
      <c r="P749" s="88" t="n"/>
    </row>
    <row r="750" customFormat="1" s="2">
      <c r="A750" s="6" t="n"/>
      <c r="B750" s="4" t="n"/>
      <c r="C750" s="4" t="inlineStr">
        <is>
          <t>Bottom Area</t>
        </is>
      </c>
      <c r="D750" s="7" t="n"/>
      <c r="E750" s="17" t="n"/>
      <c r="F750" s="20" t="n"/>
      <c r="G750" s="47" t="n"/>
      <c r="H750" s="47" t="n"/>
      <c r="I750" s="47" t="n"/>
      <c r="J750" s="47">
        <f>PRODUCT(E750:I750)</f>
        <v/>
      </c>
      <c r="K750" s="20" t="n">
        <v/>
      </c>
      <c r="L750" s="47" t="n">
        <v/>
      </c>
      <c r="M750" s="47" t="n">
        <v/>
      </c>
      <c r="N750" s="47" t="n">
        <v/>
      </c>
      <c r="O750" s="47" t="n">
        <v/>
      </c>
      <c r="P750" s="88" t="n"/>
    </row>
    <row r="751" customFormat="1" s="2">
      <c r="A751" s="6" t="n"/>
      <c r="B751" s="4" t="n"/>
      <c r="C751" s="4" t="n"/>
      <c r="D751" s="7" t="inlineStr">
        <is>
          <t>Sq.ft</t>
        </is>
      </c>
      <c r="E751" s="17" t="n"/>
      <c r="F751" s="20" t="n">
        <v>1</v>
      </c>
      <c r="G751" s="47" t="n">
        <v>2.72</v>
      </c>
      <c r="H751" s="47" t="n">
        <v>1.25</v>
      </c>
      <c r="I751" s="47" t="n"/>
      <c r="J751" s="47">
        <f>PRODUCT(E751:I751)</f>
        <v/>
      </c>
      <c r="K751" s="20" t="n">
        <v>1</v>
      </c>
      <c r="L751" s="47" t="n">
        <v/>
      </c>
      <c r="M751" s="47" t="n">
        <v/>
      </c>
      <c r="N751" s="47" t="n">
        <v/>
      </c>
      <c r="O751" s="47" t="n">
        <v/>
      </c>
      <c r="P751" s="88" t="n"/>
    </row>
    <row r="752" customFormat="1" s="2">
      <c r="A752" s="6" t="n"/>
      <c r="B752" s="4" t="n"/>
      <c r="C752" s="4" t="n"/>
      <c r="D752" s="7" t="inlineStr">
        <is>
          <t>Sq.ft</t>
        </is>
      </c>
      <c r="E752" s="17" t="n"/>
      <c r="F752" s="20" t="n">
        <v>1</v>
      </c>
      <c r="G752" s="47" t="n">
        <v>3.92</v>
      </c>
      <c r="H752" s="47" t="n">
        <v>0.17</v>
      </c>
      <c r="I752" s="47" t="n"/>
      <c r="J752" s="47">
        <f>PRODUCT(E752:I752)</f>
        <v/>
      </c>
      <c r="K752" s="20" t="n">
        <v>1</v>
      </c>
      <c r="L752" s="47" t="n">
        <v/>
      </c>
      <c r="M752" s="47" t="n">
        <v/>
      </c>
      <c r="N752" s="47" t="n">
        <v/>
      </c>
      <c r="O752" s="47" t="n">
        <v/>
      </c>
      <c r="P752" s="88" t="n"/>
    </row>
    <row r="753" customFormat="1" s="2">
      <c r="A753" s="6" t="n"/>
      <c r="B753" s="4" t="n"/>
      <c r="C753" s="4" t="n"/>
      <c r="D753" s="7" t="inlineStr">
        <is>
          <t>Sq.ft</t>
        </is>
      </c>
      <c r="E753" s="17" t="n"/>
      <c r="F753" s="20" t="n">
        <v>1</v>
      </c>
      <c r="G753" s="47" t="n">
        <v>2</v>
      </c>
      <c r="H753" s="47" t="n">
        <v>0.17</v>
      </c>
      <c r="I753" s="47" t="n"/>
      <c r="J753" s="47">
        <f>PRODUCT(E753:I753)</f>
        <v/>
      </c>
      <c r="K753" s="20" t="n">
        <v>1</v>
      </c>
      <c r="L753" s="47" t="n">
        <v/>
      </c>
      <c r="M753" s="47" t="n">
        <v/>
      </c>
      <c r="N753" s="47" t="n">
        <v/>
      </c>
      <c r="O753" s="47" t="n">
        <v/>
      </c>
      <c r="P753" s="88" t="n"/>
    </row>
    <row r="754" customFormat="1" s="2">
      <c r="A754" s="6" t="n"/>
      <c r="B754" s="4" t="n"/>
      <c r="C754" s="4" t="n"/>
      <c r="D754" s="7" t="n"/>
      <c r="E754" s="17" t="n"/>
      <c r="F754" s="20" t="n"/>
      <c r="G754" s="47" t="n"/>
      <c r="H754" s="47" t="n"/>
      <c r="I754" s="47" t="n"/>
      <c r="J754" s="47">
        <f>PRODUCT(E754:I754)</f>
        <v/>
      </c>
      <c r="K754" s="20" t="n">
        <v/>
      </c>
      <c r="L754" s="47" t="n">
        <v/>
      </c>
      <c r="M754" s="47" t="n">
        <v/>
      </c>
      <c r="N754" s="47" t="n">
        <v/>
      </c>
      <c r="O754" s="47" t="n">
        <v/>
      </c>
      <c r="P754" s="88" t="n"/>
    </row>
    <row r="755" customFormat="1" s="2">
      <c r="A755" s="112" t="n"/>
      <c r="B755" s="112" t="n"/>
      <c r="C755" s="112" t="inlineStr">
        <is>
          <t>Total Qty</t>
        </is>
      </c>
      <c r="D755" s="120" t="n"/>
      <c r="E755" s="121" t="n"/>
      <c r="F755" s="123" t="n"/>
      <c r="G755" s="123" t="n"/>
      <c r="H755" s="123" t="n"/>
      <c r="I755" s="123" t="n"/>
      <c r="J755" s="123">
        <f>ROUND(SUM(J683:J754),)</f>
        <v/>
      </c>
      <c r="K755" s="123" t="n">
        <v/>
      </c>
      <c r="L755" s="123" t="n">
        <v/>
      </c>
      <c r="M755" s="123" t="n">
        <v/>
      </c>
      <c r="N755" s="123" t="n">
        <v/>
      </c>
      <c r="O755" s="123" t="n">
        <v/>
      </c>
      <c r="P755" s="88" t="n"/>
    </row>
    <row r="756" customFormat="1" s="2">
      <c r="A756" s="6" t="n"/>
      <c r="B756" s="4" t="n"/>
      <c r="C756" s="4" t="n"/>
      <c r="D756" s="7" t="n"/>
      <c r="E756" s="17" t="n"/>
      <c r="F756" s="20" t="n"/>
      <c r="G756" s="47" t="n"/>
      <c r="H756" s="47" t="n"/>
      <c r="I756" s="47" t="n"/>
      <c r="J756" s="47" t="n"/>
      <c r="K756" s="20" t="n">
        <v/>
      </c>
      <c r="L756" s="47" t="n">
        <v/>
      </c>
      <c r="M756" s="47" t="n">
        <v/>
      </c>
      <c r="N756" s="47" t="n">
        <v/>
      </c>
      <c r="O756" s="47" t="n">
        <v/>
      </c>
      <c r="P756" s="88" t="n"/>
    </row>
    <row r="757" ht="41.4" customFormat="1" customHeight="1" s="2">
      <c r="A757" s="6">
        <f>A682+1</f>
        <v/>
      </c>
      <c r="B757" s="4" t="inlineStr">
        <is>
          <t>Enamel paint for Rolling Sutter</t>
        </is>
      </c>
      <c r="C757" s="4" t="inlineStr">
        <is>
          <t>Providing and applying Crimson Red matt enamel paint for rolling shutter with Red oxide to be applied before enamel paint. Make - Asian paints.</t>
        </is>
      </c>
      <c r="D757" s="5" t="inlineStr">
        <is>
          <t>Sft</t>
        </is>
      </c>
      <c r="E757" s="16" t="n">
        <v>836</v>
      </c>
      <c r="F757" s="20" t="n"/>
      <c r="G757" s="47" t="n"/>
      <c r="H757" s="47" t="n"/>
      <c r="I757" s="47" t="n"/>
      <c r="J757" s="47" t="n"/>
      <c r="K757" s="20" t="n">
        <v/>
      </c>
      <c r="L757" s="47" t="n">
        <v/>
      </c>
      <c r="M757" s="47" t="n">
        <v/>
      </c>
      <c r="N757" s="47" t="n">
        <v/>
      </c>
      <c r="O757" s="47" t="n">
        <v/>
      </c>
      <c r="P757" s="88" t="n"/>
    </row>
    <row r="758" customFormat="1" s="2">
      <c r="A758" s="6" t="n"/>
      <c r="B758" s="4" t="n"/>
      <c r="C758" s="14" t="inlineStr">
        <is>
          <t xml:space="preserve">Branch &amp; ATM </t>
        </is>
      </c>
      <c r="D758" s="5" t="n"/>
      <c r="E758" s="16" t="n"/>
      <c r="F758" s="20" t="n"/>
      <c r="G758" s="47" t="n"/>
      <c r="H758" s="47" t="n"/>
      <c r="I758" s="47" t="n"/>
      <c r="J758" s="47">
        <f>PRODUCT(E758:I758)</f>
        <v/>
      </c>
      <c r="K758" s="20" t="n">
        <v/>
      </c>
      <c r="L758" s="47" t="n">
        <v/>
      </c>
      <c r="M758" s="47" t="n">
        <v/>
      </c>
      <c r="N758" s="47" t="n">
        <v/>
      </c>
      <c r="O758" s="47" t="n">
        <v/>
      </c>
      <c r="P758" s="88" t="n"/>
    </row>
    <row r="759" customFormat="1" s="2">
      <c r="A759" s="6" t="n"/>
      <c r="B759" s="4" t="n"/>
      <c r="C759" s="4" t="inlineStr">
        <is>
          <t>Rolling Shutter Paint</t>
        </is>
      </c>
      <c r="D759" s="5" t="inlineStr">
        <is>
          <t>Sq.ft</t>
        </is>
      </c>
      <c r="E759" s="16" t="n">
        <v>1.5</v>
      </c>
      <c r="F759" s="20" t="n">
        <v>3</v>
      </c>
      <c r="G759" s="47" t="n">
        <v>10</v>
      </c>
      <c r="H759" s="47" t="n"/>
      <c r="I759" s="47" t="n">
        <v>18.5</v>
      </c>
      <c r="J759" s="47">
        <f>PRODUCT(E759:I759)</f>
        <v/>
      </c>
      <c r="K759" s="20" t="n">
        <v>3</v>
      </c>
      <c r="L759" s="47" t="n">
        <v/>
      </c>
      <c r="M759" s="47" t="n">
        <v/>
      </c>
      <c r="N759" s="47" t="n">
        <v/>
      </c>
      <c r="O759" s="47" t="n">
        <v/>
      </c>
      <c r="P759" s="88" t="n"/>
    </row>
    <row r="760" customFormat="1" s="2">
      <c r="A760" s="6" t="n"/>
      <c r="B760" s="4" t="n"/>
      <c r="C760" s="4" t="n"/>
      <c r="D760" s="5" t="n"/>
      <c r="E760" s="16" t="n"/>
      <c r="F760" s="20" t="n"/>
      <c r="G760" s="47" t="n"/>
      <c r="H760" s="47" t="n"/>
      <c r="I760" s="47" t="n"/>
      <c r="J760" s="47">
        <f>PRODUCT(E760:I760)</f>
        <v/>
      </c>
      <c r="K760" s="20" t="n">
        <v/>
      </c>
      <c r="L760" s="47" t="n">
        <v/>
      </c>
      <c r="M760" s="47" t="n">
        <v/>
      </c>
      <c r="N760" s="47" t="n">
        <v/>
      </c>
      <c r="O760" s="47" t="n">
        <v/>
      </c>
      <c r="P760" s="88" t="n"/>
    </row>
    <row r="761" customFormat="1" s="2">
      <c r="A761" s="112" t="n"/>
      <c r="B761" s="112" t="n"/>
      <c r="C761" s="112" t="inlineStr">
        <is>
          <t>Total Qty</t>
        </is>
      </c>
      <c r="D761" s="125" t="n"/>
      <c r="E761" s="26" t="n"/>
      <c r="F761" s="123" t="n"/>
      <c r="G761" s="123" t="n"/>
      <c r="H761" s="123" t="n"/>
      <c r="I761" s="123" t="n"/>
      <c r="J761" s="123">
        <f>ROUND(SUM(J758:J760),)</f>
        <v/>
      </c>
      <c r="K761" s="123" t="n">
        <v/>
      </c>
      <c r="L761" s="123" t="n">
        <v/>
      </c>
      <c r="M761" s="123" t="n">
        <v/>
      </c>
      <c r="N761" s="123" t="n">
        <v/>
      </c>
      <c r="O761" s="123" t="n">
        <v/>
      </c>
      <c r="P761" s="88" t="n"/>
    </row>
    <row r="762" customFormat="1" s="2">
      <c r="A762" s="6" t="n"/>
      <c r="B762" s="4" t="n"/>
      <c r="C762" s="4" t="n"/>
      <c r="D762" s="5" t="n"/>
      <c r="E762" s="16" t="n"/>
      <c r="F762" s="20" t="n"/>
      <c r="G762" s="47" t="n"/>
      <c r="H762" s="47" t="n"/>
      <c r="I762" s="47" t="n"/>
      <c r="J762" s="47" t="n"/>
      <c r="K762" s="20" t="n">
        <v/>
      </c>
      <c r="L762" s="47" t="n">
        <v/>
      </c>
      <c r="M762" s="47" t="n">
        <v/>
      </c>
      <c r="N762" s="47" t="n">
        <v/>
      </c>
      <c r="O762" s="47" t="n">
        <v/>
      </c>
      <c r="P762" s="88" t="n"/>
    </row>
    <row r="763" ht="124.2" customFormat="1" customHeight="1" s="2">
      <c r="A763" s="6">
        <f>A757+1</f>
        <v/>
      </c>
      <c r="B763" s="4" t="inlineStr">
        <is>
          <t>Solid Partition between Glass Partition &amp;Ceiling</t>
        </is>
      </c>
      <c r="C763" s="4"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D763" s="7" t="inlineStr">
        <is>
          <t>sft</t>
        </is>
      </c>
      <c r="E763" s="17" t="n">
        <v>278</v>
      </c>
      <c r="F763" s="20" t="n"/>
      <c r="G763" s="47" t="n"/>
      <c r="H763" s="47" t="n"/>
      <c r="I763" s="47" t="n"/>
      <c r="J763" s="47" t="n"/>
      <c r="K763" s="20" t="n">
        <v/>
      </c>
      <c r="L763" s="47" t="n">
        <v/>
      </c>
      <c r="M763" s="47" t="n">
        <v/>
      </c>
      <c r="N763" s="47" t="n">
        <v/>
      </c>
      <c r="O763" s="47" t="n">
        <v/>
      </c>
      <c r="P763" s="88" t="n"/>
    </row>
    <row r="764" customFormat="1" s="2">
      <c r="A764" s="6" t="n"/>
      <c r="B764" s="4" t="n"/>
      <c r="C764" s="14" t="inlineStr">
        <is>
          <t xml:space="preserve">JL Cabin </t>
        </is>
      </c>
      <c r="D764" s="7" t="n"/>
      <c r="E764" s="17" t="n"/>
      <c r="F764" s="20" t="n"/>
      <c r="G764" s="47" t="n"/>
      <c r="H764" s="47" t="n"/>
      <c r="I764" s="47" t="n"/>
      <c r="J764" s="47">
        <f>PRODUCT(E764:I764)</f>
        <v/>
      </c>
      <c r="K764" s="20" t="n">
        <v/>
      </c>
      <c r="L764" s="47" t="n">
        <v/>
      </c>
      <c r="M764" s="47" t="n">
        <v/>
      </c>
      <c r="N764" s="47" t="n">
        <v/>
      </c>
      <c r="O764" s="47" t="n">
        <v/>
      </c>
      <c r="P764" s="88" t="n"/>
    </row>
    <row r="765" customFormat="1" s="2">
      <c r="A765" s="6" t="n"/>
      <c r="B765" s="4" t="n"/>
      <c r="C765" s="4" t="inlineStr">
        <is>
          <t>Above Glass Right Side</t>
        </is>
      </c>
      <c r="D765" s="7" t="inlineStr">
        <is>
          <t xml:space="preserve">Sq.ft </t>
        </is>
      </c>
      <c r="E765" s="17" t="n"/>
      <c r="F765" s="20" t="n">
        <v>1</v>
      </c>
      <c r="G765" s="47" t="n">
        <v>0.17</v>
      </c>
      <c r="H765" s="47" t="n"/>
      <c r="I765" s="47" t="n">
        <v>3.83</v>
      </c>
      <c r="J765" s="47">
        <f>PRODUCT(E765:I765)</f>
        <v/>
      </c>
      <c r="K765" s="20" t="n">
        <v>1</v>
      </c>
      <c r="L765" s="47" t="n">
        <v/>
      </c>
      <c r="M765" s="47" t="n">
        <v/>
      </c>
      <c r="N765" s="47" t="n">
        <v/>
      </c>
      <c r="O765" s="47" t="n">
        <v/>
      </c>
      <c r="P765" s="88" t="n"/>
    </row>
    <row r="766" customFormat="1" s="2">
      <c r="A766" s="6" t="n"/>
      <c r="B766" s="4" t="n"/>
      <c r="C766" s="4" t="inlineStr">
        <is>
          <t>Above Glass Right Side</t>
        </is>
      </c>
      <c r="D766" s="7" t="inlineStr">
        <is>
          <t xml:space="preserve">Sq.ft </t>
        </is>
      </c>
      <c r="E766" s="17" t="n"/>
      <c r="F766" s="20" t="n">
        <v>1</v>
      </c>
      <c r="G766" s="47" t="n">
        <v>8.92</v>
      </c>
      <c r="H766" s="47" t="n"/>
      <c r="I766" s="47" t="n">
        <v>1.11</v>
      </c>
      <c r="J766" s="47">
        <f>PRODUCT(E766:I766)</f>
        <v/>
      </c>
      <c r="K766" s="20" t="n">
        <v>1</v>
      </c>
      <c r="L766" s="47" t="n">
        <v/>
      </c>
      <c r="M766" s="47" t="n">
        <v/>
      </c>
      <c r="N766" s="47" t="n">
        <v/>
      </c>
      <c r="O766" s="47" t="n">
        <v/>
      </c>
      <c r="P766" s="88" t="n"/>
    </row>
    <row r="767" customFormat="1" s="2">
      <c r="A767" s="6" t="n"/>
      <c r="B767" s="4" t="n"/>
      <c r="C767" s="4" t="inlineStr">
        <is>
          <t>Above Glass Door Side</t>
        </is>
      </c>
      <c r="D767" s="7" t="inlineStr">
        <is>
          <t xml:space="preserve">Sq.ft </t>
        </is>
      </c>
      <c r="E767" s="17" t="n"/>
      <c r="F767" s="20" t="n">
        <v>1</v>
      </c>
      <c r="G767" s="47" t="n">
        <v>7.83</v>
      </c>
      <c r="H767" s="47" t="n"/>
      <c r="I767" s="47" t="n">
        <v>1.11</v>
      </c>
      <c r="J767" s="47">
        <f>PRODUCT(E767:I767)</f>
        <v/>
      </c>
      <c r="K767" s="20" t="n">
        <v>1</v>
      </c>
      <c r="L767" s="47" t="n">
        <v/>
      </c>
      <c r="M767" s="47" t="n">
        <v/>
      </c>
      <c r="N767" s="47" t="n">
        <v/>
      </c>
      <c r="O767" s="47" t="n">
        <v/>
      </c>
      <c r="P767" s="88" t="n"/>
    </row>
    <row r="768" customFormat="1" s="2">
      <c r="A768" s="6" t="n"/>
      <c r="B768" s="4" t="n"/>
      <c r="C768" s="14" t="inlineStr">
        <is>
          <t xml:space="preserve">Pantry </t>
        </is>
      </c>
      <c r="D768" s="7" t="n"/>
      <c r="E768" s="17" t="n"/>
      <c r="F768" s="20" t="n"/>
      <c r="G768" s="47" t="n"/>
      <c r="H768" s="47" t="n"/>
      <c r="I768" s="47" t="n"/>
      <c r="J768" s="47">
        <f>PRODUCT(E768:I768)</f>
        <v/>
      </c>
      <c r="K768" s="20" t="n">
        <v/>
      </c>
      <c r="L768" s="47" t="n">
        <v/>
      </c>
      <c r="M768" s="47" t="n">
        <v/>
      </c>
      <c r="N768" s="47" t="n">
        <v/>
      </c>
      <c r="O768" s="47" t="n">
        <v/>
      </c>
      <c r="P768" s="88" t="n"/>
    </row>
    <row r="769" customFormat="1" s="2">
      <c r="A769" s="6" t="n"/>
      <c r="B769" s="4" t="n"/>
      <c r="C769" s="4" t="inlineStr">
        <is>
          <t xml:space="preserve">Above Glass Door Side </t>
        </is>
      </c>
      <c r="D769" s="7" t="inlineStr">
        <is>
          <t xml:space="preserve">Sq.ft </t>
        </is>
      </c>
      <c r="E769" s="17" t="n"/>
      <c r="F769" s="20" t="n">
        <v>1</v>
      </c>
      <c r="G769" s="47" t="n">
        <v>0.85</v>
      </c>
      <c r="H769" s="47" t="n"/>
      <c r="I769" s="47" t="n">
        <v>6.89</v>
      </c>
      <c r="J769" s="47">
        <f>PRODUCT(E769:I769)</f>
        <v/>
      </c>
      <c r="K769" s="20" t="n">
        <v>1</v>
      </c>
      <c r="L769" s="47" t="n">
        <v/>
      </c>
      <c r="M769" s="47" t="n">
        <v/>
      </c>
      <c r="N769" s="47" t="n">
        <v/>
      </c>
      <c r="O769" s="47" t="n">
        <v/>
      </c>
      <c r="P769" s="88" t="n"/>
    </row>
    <row r="770" customFormat="1" s="2">
      <c r="A770" s="6" t="n"/>
      <c r="B770" s="4" t="n"/>
      <c r="C770" s="4" t="inlineStr">
        <is>
          <t xml:space="preserve">Above Glass Door Side </t>
        </is>
      </c>
      <c r="D770" s="7" t="inlineStr">
        <is>
          <t xml:space="preserve">Sq.ft </t>
        </is>
      </c>
      <c r="E770" s="17" t="n"/>
      <c r="F770" s="20" t="n">
        <v>1</v>
      </c>
      <c r="G770" s="47" t="n">
        <v>6.47</v>
      </c>
      <c r="H770" s="47" t="n"/>
      <c r="I770" s="47" t="n">
        <v>1.11</v>
      </c>
      <c r="J770" s="47">
        <f>PRODUCT(E770:I770)</f>
        <v/>
      </c>
      <c r="K770" s="20" t="n">
        <v>1</v>
      </c>
      <c r="L770" s="47" t="n">
        <v/>
      </c>
      <c r="M770" s="47" t="n">
        <v/>
      </c>
      <c r="N770" s="47" t="n">
        <v/>
      </c>
      <c r="O770" s="47" t="n">
        <v/>
      </c>
      <c r="P770" s="88" t="n"/>
    </row>
    <row r="771" customFormat="1" s="2">
      <c r="A771" s="6" t="n"/>
      <c r="B771" s="4" t="n"/>
      <c r="C771" s="14" t="inlineStr">
        <is>
          <t>BM Cabin</t>
        </is>
      </c>
      <c r="D771" s="7" t="n"/>
      <c r="E771" s="17" t="n"/>
      <c r="F771" s="20" t="n"/>
      <c r="G771" s="47" t="n"/>
      <c r="H771" s="47" t="n"/>
      <c r="I771" s="47" t="n"/>
      <c r="J771" s="47">
        <f>PRODUCT(E771:I771)</f>
        <v/>
      </c>
      <c r="K771" s="20" t="n">
        <v/>
      </c>
      <c r="L771" s="47" t="n">
        <v/>
      </c>
      <c r="M771" s="47" t="n">
        <v/>
      </c>
      <c r="N771" s="47" t="n">
        <v/>
      </c>
      <c r="O771" s="47" t="n">
        <v/>
      </c>
      <c r="P771" s="88" t="n"/>
    </row>
    <row r="772" customFormat="1" s="2">
      <c r="A772" s="6" t="n"/>
      <c r="B772" s="4" t="n"/>
      <c r="C772" s="4" t="inlineStr">
        <is>
          <t>Aboev Glass Left Side</t>
        </is>
      </c>
      <c r="D772" s="7" t="inlineStr">
        <is>
          <t xml:space="preserve">Sq.ft </t>
        </is>
      </c>
      <c r="E772" s="17" t="n"/>
      <c r="F772" s="20" t="n">
        <v>1</v>
      </c>
      <c r="G772" s="47" t="n">
        <v>9.789999999999999</v>
      </c>
      <c r="H772" s="47" t="n"/>
      <c r="I772" s="47" t="n">
        <v>2</v>
      </c>
      <c r="J772" s="47">
        <f>PRODUCT(E772:I772)</f>
        <v/>
      </c>
      <c r="K772" s="20" t="n">
        <v>1</v>
      </c>
      <c r="L772" s="47" t="n">
        <v/>
      </c>
      <c r="M772" s="47" t="n">
        <v/>
      </c>
      <c r="N772" s="47" t="n">
        <v/>
      </c>
      <c r="O772" s="47" t="n">
        <v/>
      </c>
      <c r="P772" s="88" t="n"/>
    </row>
    <row r="773" customFormat="1" s="2">
      <c r="A773" s="6" t="n"/>
      <c r="B773" s="4" t="n"/>
      <c r="C773" s="14" t="inlineStr">
        <is>
          <t xml:space="preserve">Wall To Column </t>
        </is>
      </c>
      <c r="D773" s="7" t="n"/>
      <c r="E773" s="17" t="n"/>
      <c r="F773" s="20" t="n"/>
      <c r="G773" s="47" t="n"/>
      <c r="H773" s="47" t="n"/>
      <c r="I773" s="47" t="n"/>
      <c r="J773" s="47">
        <f>PRODUCT(E773:I773)</f>
        <v/>
      </c>
      <c r="K773" s="20" t="n">
        <v/>
      </c>
      <c r="L773" s="47" t="n">
        <v/>
      </c>
      <c r="M773" s="47" t="n">
        <v/>
      </c>
      <c r="N773" s="47" t="n">
        <v/>
      </c>
      <c r="O773" s="47" t="n">
        <v/>
      </c>
      <c r="P773" s="88" t="n"/>
    </row>
    <row r="774" customFormat="1" s="2">
      <c r="A774" s="6" t="n"/>
      <c r="B774" s="4" t="n"/>
      <c r="C774" s="4" t="inlineStr">
        <is>
          <t>Above Partition</t>
        </is>
      </c>
      <c r="D774" s="7" t="inlineStr">
        <is>
          <t xml:space="preserve">Sq.ft </t>
        </is>
      </c>
      <c r="E774" s="17" t="n"/>
      <c r="F774" s="20" t="n">
        <v>1</v>
      </c>
      <c r="G774" s="47" t="n">
        <v>11.73</v>
      </c>
      <c r="H774" s="47" t="n"/>
      <c r="I774" s="47" t="n">
        <v>1</v>
      </c>
      <c r="J774" s="47">
        <f>PRODUCT(E774:I774)</f>
        <v/>
      </c>
      <c r="K774" s="20" t="n">
        <v>1</v>
      </c>
      <c r="L774" s="47" t="n">
        <v/>
      </c>
      <c r="M774" s="47" t="n">
        <v/>
      </c>
      <c r="N774" s="47" t="n">
        <v/>
      </c>
      <c r="O774" s="47" t="n">
        <v/>
      </c>
      <c r="P774" s="88" t="n"/>
    </row>
    <row r="775" customFormat="1" s="2">
      <c r="A775" s="6" t="n"/>
      <c r="B775" s="4" t="n"/>
      <c r="C775" s="4" t="inlineStr">
        <is>
          <t>Above Partition</t>
        </is>
      </c>
      <c r="D775" s="7" t="inlineStr">
        <is>
          <t xml:space="preserve">Sq.ft </t>
        </is>
      </c>
      <c r="E775" s="17" t="n"/>
      <c r="F775" s="20" t="n">
        <v>1</v>
      </c>
      <c r="G775" s="34" t="n">
        <v>10.67</v>
      </c>
      <c r="H775" s="47" t="n"/>
      <c r="I775" s="47" t="n">
        <v>1</v>
      </c>
      <c r="J775" s="47">
        <f>PRODUCT(E775:I775)</f>
        <v/>
      </c>
      <c r="K775" s="20" t="n">
        <v>1</v>
      </c>
      <c r="L775" s="34" t="n">
        <v/>
      </c>
      <c r="M775" s="47" t="n">
        <v/>
      </c>
      <c r="N775" s="47" t="n">
        <v/>
      </c>
      <c r="O775" s="47" t="n">
        <v/>
      </c>
      <c r="P775" s="88" t="n"/>
    </row>
    <row r="776" customFormat="1" s="2">
      <c r="A776" s="6" t="n"/>
      <c r="B776" s="4" t="n"/>
      <c r="C776" s="4" t="n"/>
      <c r="D776" s="7" t="n"/>
      <c r="E776" s="17" t="n"/>
      <c r="F776" s="20" t="n"/>
      <c r="G776" s="47" t="n"/>
      <c r="H776" s="47" t="n"/>
      <c r="I776" s="47" t="n"/>
      <c r="J776" s="47">
        <f>PRODUCT(E776:I776)</f>
        <v/>
      </c>
      <c r="K776" s="20" t="n">
        <v/>
      </c>
      <c r="L776" s="47" t="n">
        <v/>
      </c>
      <c r="M776" s="47" t="n">
        <v/>
      </c>
      <c r="N776" s="47" t="n">
        <v/>
      </c>
      <c r="O776" s="47" t="n">
        <v/>
      </c>
      <c r="P776" s="88" t="n"/>
    </row>
    <row r="777" customFormat="1" s="2">
      <c r="A777" s="112" t="n"/>
      <c r="B777" s="112" t="n"/>
      <c r="C777" s="112" t="inlineStr">
        <is>
          <t>Total Qty</t>
        </is>
      </c>
      <c r="D777" s="125" t="n"/>
      <c r="E777" s="26" t="n"/>
      <c r="F777" s="123" t="n"/>
      <c r="G777" s="123" t="n"/>
      <c r="H777" s="123" t="n"/>
      <c r="I777" s="123" t="n"/>
      <c r="J777" s="123">
        <f>ROUND(SUM(J764:J776),)</f>
        <v/>
      </c>
      <c r="K777" s="123" t="n">
        <v/>
      </c>
      <c r="L777" s="123" t="n">
        <v/>
      </c>
      <c r="M777" s="123" t="n">
        <v/>
      </c>
      <c r="N777" s="123" t="n">
        <v/>
      </c>
      <c r="O777" s="123" t="n">
        <v/>
      </c>
      <c r="P777" s="88" t="n"/>
    </row>
    <row r="778" customFormat="1" s="2">
      <c r="A778" s="6" t="n"/>
      <c r="B778" s="4" t="n"/>
      <c r="C778" s="4" t="n"/>
      <c r="D778" s="7" t="n"/>
      <c r="E778" s="17" t="n"/>
      <c r="F778" s="20" t="n"/>
      <c r="G778" s="47" t="n"/>
      <c r="H778" s="47" t="n"/>
      <c r="I778" s="47" t="n"/>
      <c r="J778" s="47" t="n"/>
      <c r="K778" s="20" t="n">
        <v/>
      </c>
      <c r="L778" s="47" t="n">
        <v/>
      </c>
      <c r="M778" s="47" t="n">
        <v/>
      </c>
      <c r="N778" s="47" t="n">
        <v/>
      </c>
      <c r="O778" s="47" t="n">
        <v/>
      </c>
      <c r="P778" s="88" t="n"/>
    </row>
    <row r="779" ht="124.2" customFormat="1" customHeight="1" s="2">
      <c r="A779" s="6">
        <f>A763+1</f>
        <v/>
      </c>
      <c r="B779" s="4" t="inlineStr">
        <is>
          <t>Apex Paint for Exterior</t>
        </is>
      </c>
      <c r="C779" s="4"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D779" s="7" t="inlineStr">
        <is>
          <t>Sft</t>
        </is>
      </c>
      <c r="E779" s="17" t="n">
        <v>40</v>
      </c>
      <c r="F779" s="20" t="n"/>
      <c r="G779" s="47" t="n"/>
      <c r="H779" s="47" t="n"/>
      <c r="I779" s="47" t="n"/>
      <c r="J779" s="47" t="n"/>
      <c r="K779" s="20" t="n">
        <v/>
      </c>
      <c r="L779" s="47" t="n">
        <v/>
      </c>
      <c r="M779" s="47" t="n">
        <v/>
      </c>
      <c r="N779" s="47" t="n">
        <v/>
      </c>
      <c r="O779" s="47" t="n">
        <v/>
      </c>
      <c r="P779" s="88" t="n"/>
    </row>
    <row r="780" ht="124.2" customFormat="1" customHeight="1" s="2">
      <c r="A780" s="6">
        <f>A779+1</f>
        <v/>
      </c>
      <c r="B780" s="4" t="inlineStr">
        <is>
          <t>Wall or Column paneling in customer lobby</t>
        </is>
      </c>
      <c r="C780"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D780" s="7" t="inlineStr">
        <is>
          <t>sft</t>
        </is>
      </c>
      <c r="E780" s="17" t="n">
        <v>476</v>
      </c>
      <c r="F780" s="20" t="n"/>
      <c r="G780" s="47" t="n"/>
      <c r="H780" s="47" t="n"/>
      <c r="I780" s="47" t="n"/>
      <c r="J780" s="47" t="n"/>
      <c r="K780" s="20" t="n">
        <v/>
      </c>
      <c r="L780" s="47" t="n">
        <v/>
      </c>
      <c r="M780" s="47" t="n">
        <v/>
      </c>
      <c r="N780" s="47" t="n">
        <v/>
      </c>
      <c r="O780" s="47" t="n">
        <v/>
      </c>
      <c r="P780" s="88" t="n"/>
    </row>
    <row r="781" customFormat="1" s="2">
      <c r="A781" s="6" t="n"/>
      <c r="B781" s="4" t="n"/>
      <c r="C781" s="14" t="inlineStr">
        <is>
          <t>ATM Area</t>
        </is>
      </c>
      <c r="D781" s="7" t="n"/>
      <c r="E781" s="17" t="n"/>
      <c r="F781" s="20" t="n"/>
      <c r="G781" s="47" t="n"/>
      <c r="H781" s="47" t="n"/>
      <c r="I781" s="47" t="n"/>
      <c r="J781" s="47">
        <f>PRODUCT(E781:I781)</f>
        <v/>
      </c>
      <c r="K781" s="20" t="n">
        <v/>
      </c>
      <c r="L781" s="47" t="n">
        <v/>
      </c>
      <c r="M781" s="47" t="n">
        <v/>
      </c>
      <c r="N781" s="47" t="n">
        <v/>
      </c>
      <c r="O781" s="47" t="n">
        <v/>
      </c>
      <c r="P781" s="88" t="n"/>
    </row>
    <row r="782" customFormat="1" s="2">
      <c r="A782" s="6" t="n"/>
      <c r="B782" s="4" t="n"/>
      <c r="C782" s="4" t="inlineStr">
        <is>
          <t>Left Side Panelling</t>
        </is>
      </c>
      <c r="D782" s="7" t="inlineStr">
        <is>
          <t>Sq.ft</t>
        </is>
      </c>
      <c r="E782" s="17" t="n"/>
      <c r="F782" s="20" t="n">
        <v>1</v>
      </c>
      <c r="G782" s="47" t="n">
        <v>6.82</v>
      </c>
      <c r="H782" s="47" t="n"/>
      <c r="I782" s="47">
        <f>110/12</f>
        <v/>
      </c>
      <c r="J782" s="47">
        <f>PRODUCT(E782:I782)</f>
        <v/>
      </c>
      <c r="K782" s="20" t="n">
        <v>1</v>
      </c>
      <c r="L782" s="47" t="n">
        <v/>
      </c>
      <c r="M782" s="47" t="n">
        <v/>
      </c>
      <c r="N782" s="47" t="n">
        <v/>
      </c>
      <c r="O782" s="47" t="n">
        <v/>
      </c>
      <c r="P782" s="88" t="n"/>
    </row>
    <row r="783" customFormat="1" s="2">
      <c r="A783" s="6" t="n"/>
      <c r="B783" s="4" t="n"/>
      <c r="C783" s="4" t="inlineStr">
        <is>
          <t>Fromt Side Panelling</t>
        </is>
      </c>
      <c r="D783" s="7" t="inlineStr">
        <is>
          <t>Sq.ft</t>
        </is>
      </c>
      <c r="E783" s="17" t="n"/>
      <c r="F783" s="20" t="n">
        <v>1</v>
      </c>
      <c r="G783" s="47" t="n">
        <v>4.89</v>
      </c>
      <c r="H783" s="47" t="n"/>
      <c r="I783" s="47" t="n">
        <v>4</v>
      </c>
      <c r="J783" s="47">
        <f>PRODUCT(E783:I783)</f>
        <v/>
      </c>
      <c r="K783" s="20" t="n">
        <v>1</v>
      </c>
      <c r="L783" s="47" t="n">
        <v/>
      </c>
      <c r="M783" s="47" t="n">
        <v/>
      </c>
      <c r="N783" s="47" t="n">
        <v/>
      </c>
      <c r="O783" s="47" t="n">
        <v/>
      </c>
      <c r="P783" s="88" t="n"/>
    </row>
    <row r="784" customFormat="1" s="2">
      <c r="A784" s="6" t="n"/>
      <c r="B784" s="4" t="n"/>
      <c r="C784" s="4" t="inlineStr">
        <is>
          <t>Door Side Panneling</t>
        </is>
      </c>
      <c r="D784" s="7" t="inlineStr">
        <is>
          <t>Sq.ft</t>
        </is>
      </c>
      <c r="E784" s="17" t="n"/>
      <c r="F784" s="20" t="n">
        <v>1</v>
      </c>
      <c r="G784" s="47">
        <f>1.36+1</f>
        <v/>
      </c>
      <c r="H784" s="47" t="n"/>
      <c r="I784" s="47" t="n">
        <v>8</v>
      </c>
      <c r="J784" s="47">
        <f>PRODUCT(E784:I784)</f>
        <v/>
      </c>
      <c r="K784" s="20" t="n">
        <v>1</v>
      </c>
      <c r="L784" s="47" t="n">
        <v/>
      </c>
      <c r="M784" s="47" t="n">
        <v/>
      </c>
      <c r="N784" s="47" t="n">
        <v/>
      </c>
      <c r="O784" s="47" t="n">
        <v/>
      </c>
      <c r="P784" s="88" t="n"/>
    </row>
    <row r="785" customFormat="1" s="2">
      <c r="A785" s="6" t="n"/>
      <c r="B785" s="4" t="n"/>
      <c r="C785" s="14" t="inlineStr">
        <is>
          <t>ATM Loft Area</t>
        </is>
      </c>
      <c r="D785" s="7" t="n"/>
      <c r="E785" s="17" t="n"/>
      <c r="F785" s="20" t="n"/>
      <c r="G785" s="47" t="n"/>
      <c r="H785" s="47" t="n"/>
      <c r="I785" s="47" t="n"/>
      <c r="J785" s="47">
        <f>PRODUCT(E785:I785)</f>
        <v/>
      </c>
      <c r="K785" s="20" t="n">
        <v/>
      </c>
      <c r="L785" s="47" t="n">
        <v/>
      </c>
      <c r="M785" s="47" t="n">
        <v/>
      </c>
      <c r="N785" s="47" t="n">
        <v/>
      </c>
      <c r="O785" s="47" t="n">
        <v/>
      </c>
      <c r="P785" s="88" t="n"/>
    </row>
    <row r="786" customFormat="1" s="2">
      <c r="A786" s="6" t="n"/>
      <c r="B786" s="4" t="n"/>
      <c r="C786" s="4" t="inlineStr">
        <is>
          <t>Fromt Side Panelling</t>
        </is>
      </c>
      <c r="D786" s="7" t="inlineStr">
        <is>
          <t>Sq.ft</t>
        </is>
      </c>
      <c r="E786" s="17" t="n"/>
      <c r="F786" s="20" t="n">
        <v>1</v>
      </c>
      <c r="G786" s="47" t="n">
        <v>11.62</v>
      </c>
      <c r="H786" s="47" t="n"/>
      <c r="I786" s="47" t="n">
        <v>8</v>
      </c>
      <c r="J786" s="47">
        <f>PRODUCT(E786:I786)</f>
        <v/>
      </c>
      <c r="K786" s="20" t="n">
        <v>1</v>
      </c>
      <c r="L786" s="47" t="n">
        <v/>
      </c>
      <c r="M786" s="47" t="n">
        <v/>
      </c>
      <c r="N786" s="47" t="n">
        <v/>
      </c>
      <c r="O786" s="47" t="n">
        <v/>
      </c>
      <c r="P786" s="88" t="n"/>
    </row>
    <row r="787" customFormat="1" s="2">
      <c r="A787" s="6" t="n"/>
      <c r="B787" s="4" t="n"/>
      <c r="C787" s="4" t="inlineStr">
        <is>
          <t>Glass Area Less ( - )</t>
        </is>
      </c>
      <c r="D787" s="7" t="inlineStr">
        <is>
          <t>Sq.ft</t>
        </is>
      </c>
      <c r="E787" s="17" t="n"/>
      <c r="F787" s="20" t="n">
        <v>-1</v>
      </c>
      <c r="G787" s="47" t="n">
        <v>9.81</v>
      </c>
      <c r="H787" s="47" t="n"/>
      <c r="I787" s="47" t="n">
        <v>4.33</v>
      </c>
      <c r="J787" s="47">
        <f>PRODUCT(E787:I787)</f>
        <v/>
      </c>
      <c r="K787" s="20" t="n">
        <v>-1</v>
      </c>
      <c r="L787" s="47" t="n">
        <v/>
      </c>
      <c r="M787" s="47" t="n">
        <v/>
      </c>
      <c r="N787" s="47" t="n">
        <v/>
      </c>
      <c r="O787" s="47" t="n">
        <v/>
      </c>
      <c r="P787" s="88" t="n"/>
    </row>
    <row r="788" customFormat="1" s="2">
      <c r="A788" s="6" t="n"/>
      <c r="B788" s="4" t="n"/>
      <c r="C788" s="24" t="inlineStr">
        <is>
          <t xml:space="preserve">Back Office </t>
        </is>
      </c>
      <c r="D788" s="27" t="n"/>
      <c r="E788" s="28" t="n"/>
      <c r="F788" s="31" t="n"/>
      <c r="G788" s="31" t="n"/>
      <c r="H788" s="31" t="n"/>
      <c r="I788" s="31" t="n"/>
      <c r="J788" s="47">
        <f>PRODUCT(E788:I788)</f>
        <v/>
      </c>
      <c r="K788" s="31" t="n">
        <v/>
      </c>
      <c r="L788" s="31" t="n">
        <v/>
      </c>
      <c r="M788" s="31" t="n">
        <v/>
      </c>
      <c r="N788" s="31" t="n">
        <v/>
      </c>
      <c r="O788" s="47" t="n">
        <v/>
      </c>
      <c r="P788" s="88" t="n"/>
    </row>
    <row r="789" customFormat="1" s="2">
      <c r="A789" s="6" t="n"/>
      <c r="B789" s="4" t="n"/>
      <c r="C789" s="25" t="inlineStr">
        <is>
          <t>Front Side Panelling</t>
        </is>
      </c>
      <c r="D789" s="27" t="inlineStr">
        <is>
          <t>Sq.ft</t>
        </is>
      </c>
      <c r="E789" s="28" t="n"/>
      <c r="F789" s="31" t="n">
        <v>1</v>
      </c>
      <c r="G789" s="31" t="n">
        <v>14.95</v>
      </c>
      <c r="H789" s="31" t="n"/>
      <c r="I789" s="31" t="n">
        <v>4</v>
      </c>
      <c r="J789" s="47">
        <f>PRODUCT(E789:I789)</f>
        <v/>
      </c>
      <c r="K789" s="31" t="n">
        <v>1</v>
      </c>
      <c r="L789" s="31" t="n">
        <v/>
      </c>
      <c r="M789" s="31" t="n">
        <v/>
      </c>
      <c r="N789" s="31" t="n">
        <v/>
      </c>
      <c r="O789" s="47" t="n">
        <v/>
      </c>
      <c r="P789" s="88" t="n"/>
    </row>
    <row r="790" customFormat="1" s="2">
      <c r="A790" s="6" t="n"/>
      <c r="B790" s="4" t="n"/>
      <c r="C790" s="25" t="inlineStr">
        <is>
          <t>Continue</t>
        </is>
      </c>
      <c r="D790" s="27" t="inlineStr">
        <is>
          <t>Sq.ft</t>
        </is>
      </c>
      <c r="E790" s="28" t="n"/>
      <c r="F790" s="31" t="n">
        <v>1</v>
      </c>
      <c r="G790" s="31" t="n">
        <v>4.87</v>
      </c>
      <c r="H790" s="32" t="n"/>
      <c r="I790" s="32" t="n">
        <v>4</v>
      </c>
      <c r="J790" s="47">
        <f>PRODUCT(E790:I790)</f>
        <v/>
      </c>
      <c r="K790" s="31" t="n">
        <v>1</v>
      </c>
      <c r="L790" s="31" t="n">
        <v/>
      </c>
      <c r="M790" s="32" t="n">
        <v/>
      </c>
      <c r="N790" s="32" t="n">
        <v/>
      </c>
      <c r="O790" s="47" t="n">
        <v/>
      </c>
      <c r="P790" s="88" t="n"/>
    </row>
    <row r="791" customFormat="1" s="2">
      <c r="A791" s="6" t="n"/>
      <c r="B791" s="4" t="n"/>
      <c r="C791" s="24" t="inlineStr">
        <is>
          <t xml:space="preserve">JL Cabin </t>
        </is>
      </c>
      <c r="D791" s="27" t="n"/>
      <c r="E791" s="28" t="n"/>
      <c r="F791" s="31" t="n"/>
      <c r="G791" s="31" t="n"/>
      <c r="H791" s="31" t="n"/>
      <c r="I791" s="32" t="n"/>
      <c r="J791" s="47">
        <f>PRODUCT(E791:I791)</f>
        <v/>
      </c>
      <c r="K791" s="31" t="n">
        <v/>
      </c>
      <c r="L791" s="31" t="n">
        <v/>
      </c>
      <c r="M791" s="31" t="n">
        <v/>
      </c>
      <c r="N791" s="32" t="n">
        <v/>
      </c>
      <c r="O791" s="47" t="n">
        <v/>
      </c>
      <c r="P791" s="88" t="n"/>
    </row>
    <row r="792" customFormat="1" s="2">
      <c r="A792" s="6" t="n"/>
      <c r="B792" s="4" t="n"/>
      <c r="C792" s="25" t="inlineStr">
        <is>
          <t>Front Side Panelling</t>
        </is>
      </c>
      <c r="D792" s="27" t="inlineStr">
        <is>
          <t>Sq.ft</t>
        </is>
      </c>
      <c r="E792" s="28" t="n"/>
      <c r="F792" s="31" t="n">
        <v>1</v>
      </c>
      <c r="G792" s="31" t="n">
        <v>6.94</v>
      </c>
      <c r="H792" s="31" t="n"/>
      <c r="I792" s="32" t="n">
        <v>4</v>
      </c>
      <c r="J792" s="47">
        <f>PRODUCT(E792:I792)</f>
        <v/>
      </c>
      <c r="K792" s="31" t="n">
        <v>1</v>
      </c>
      <c r="L792" s="31" t="n">
        <v/>
      </c>
      <c r="M792" s="31" t="n">
        <v/>
      </c>
      <c r="N792" s="32" t="n">
        <v/>
      </c>
      <c r="O792" s="47" t="n">
        <v/>
      </c>
      <c r="P792" s="88" t="n"/>
    </row>
    <row r="793" customFormat="1" s="2">
      <c r="A793" s="6" t="n"/>
      <c r="B793" s="4" t="n"/>
      <c r="C793" s="24" t="inlineStr">
        <is>
          <t>Store Room Passage</t>
        </is>
      </c>
      <c r="D793" s="27" t="n"/>
      <c r="E793" s="28" t="n"/>
      <c r="F793" s="31" t="n"/>
      <c r="G793" s="31" t="n"/>
      <c r="H793" s="32" t="n"/>
      <c r="I793" s="32" t="n"/>
      <c r="J793" s="47">
        <f>PRODUCT(E793:I793)</f>
        <v/>
      </c>
      <c r="K793" s="31" t="n">
        <v/>
      </c>
      <c r="L793" s="31" t="n">
        <v/>
      </c>
      <c r="M793" s="32" t="n">
        <v/>
      </c>
      <c r="N793" s="32" t="n">
        <v/>
      </c>
      <c r="O793" s="47" t="n">
        <v/>
      </c>
      <c r="P793" s="88" t="n"/>
    </row>
    <row r="794" customFormat="1" s="2">
      <c r="A794" s="6" t="n"/>
      <c r="B794" s="4" t="n"/>
      <c r="C794" s="25" t="inlineStr">
        <is>
          <t>Column Panelling</t>
        </is>
      </c>
      <c r="D794" s="27" t="inlineStr">
        <is>
          <t>Sq.ft</t>
        </is>
      </c>
      <c r="E794" s="28" t="n"/>
      <c r="F794" s="31" t="n">
        <v>1</v>
      </c>
      <c r="G794" s="31">
        <f>3.22+1.25+6.59</f>
        <v/>
      </c>
      <c r="H794" s="31" t="n"/>
      <c r="I794" s="32" t="n">
        <v>4</v>
      </c>
      <c r="J794" s="47">
        <f>PRODUCT(E794:I794)</f>
        <v/>
      </c>
      <c r="K794" s="31" t="n">
        <v>1</v>
      </c>
      <c r="L794" s="31" t="n">
        <v/>
      </c>
      <c r="M794" s="31" t="n">
        <v/>
      </c>
      <c r="N794" s="32" t="n">
        <v/>
      </c>
      <c r="O794" s="47" t="n">
        <v/>
      </c>
      <c r="P794" s="88" t="n"/>
    </row>
    <row r="795" customFormat="1" s="2">
      <c r="A795" s="6" t="n"/>
      <c r="B795" s="4" t="n"/>
      <c r="C795" s="24" t="inlineStr">
        <is>
          <t>Toilet Passage Outer Side</t>
        </is>
      </c>
      <c r="D795" s="27" t="n"/>
      <c r="E795" s="28" t="n"/>
      <c r="F795" s="31" t="n"/>
      <c r="G795" s="31" t="n"/>
      <c r="H795" s="31" t="n"/>
      <c r="I795" s="32" t="n"/>
      <c r="J795" s="47">
        <f>PRODUCT(E795:I795)</f>
        <v/>
      </c>
      <c r="K795" s="31" t="n">
        <v/>
      </c>
      <c r="L795" s="31" t="n">
        <v/>
      </c>
      <c r="M795" s="31" t="n">
        <v/>
      </c>
      <c r="N795" s="32" t="n">
        <v/>
      </c>
      <c r="O795" s="47" t="n">
        <v/>
      </c>
      <c r="P795" s="88" t="n"/>
    </row>
    <row r="796" customFormat="1" s="2">
      <c r="A796" s="6" t="n"/>
      <c r="B796" s="4" t="n"/>
      <c r="C796" s="25" t="inlineStr">
        <is>
          <t>Column Panelling</t>
        </is>
      </c>
      <c r="D796" s="27" t="inlineStr">
        <is>
          <t>Sq.ft</t>
        </is>
      </c>
      <c r="E796" s="30" t="n"/>
      <c r="F796" s="31" t="n">
        <v>1</v>
      </c>
      <c r="G796" s="31">
        <f>1.65+1.2+2.67</f>
        <v/>
      </c>
      <c r="H796" s="32" t="n"/>
      <c r="I796" s="32" t="n">
        <v>4</v>
      </c>
      <c r="J796" s="47">
        <f>PRODUCT(E796:I796)</f>
        <v/>
      </c>
      <c r="K796" s="31" t="n">
        <v>1</v>
      </c>
      <c r="L796" s="31" t="n">
        <v/>
      </c>
      <c r="M796" s="32" t="n">
        <v/>
      </c>
      <c r="N796" s="32" t="n">
        <v/>
      </c>
      <c r="O796" s="47" t="n">
        <v/>
      </c>
      <c r="P796" s="88" t="n"/>
    </row>
    <row r="797" customFormat="1" s="2">
      <c r="A797" s="6" t="n"/>
      <c r="B797" s="4" t="n"/>
      <c r="C797" s="25" t="inlineStr">
        <is>
          <t>Wall Panelling</t>
        </is>
      </c>
      <c r="D797" s="27" t="inlineStr">
        <is>
          <t>Sq.ft</t>
        </is>
      </c>
      <c r="E797" s="28" t="n"/>
      <c r="F797" s="31" t="n">
        <v>1</v>
      </c>
      <c r="G797" s="31">
        <f>8.58+5.78</f>
        <v/>
      </c>
      <c r="H797" s="31" t="n"/>
      <c r="I797" s="32" t="n">
        <v>4</v>
      </c>
      <c r="J797" s="47">
        <f>PRODUCT(E797:I797)</f>
        <v/>
      </c>
      <c r="K797" s="31" t="n">
        <v>1</v>
      </c>
      <c r="L797" s="31" t="n">
        <v/>
      </c>
      <c r="M797" s="31" t="n">
        <v/>
      </c>
      <c r="N797" s="32" t="n">
        <v/>
      </c>
      <c r="O797" s="47" t="n">
        <v/>
      </c>
      <c r="P797" s="88" t="n"/>
    </row>
    <row r="798" customFormat="1" s="2">
      <c r="A798" s="6" t="n"/>
      <c r="B798" s="4" t="n"/>
      <c r="C798" s="24" t="inlineStr">
        <is>
          <t xml:space="preserve">Fixed Glass Side </t>
        </is>
      </c>
      <c r="D798" s="27" t="n"/>
      <c r="E798" s="28" t="n"/>
      <c r="F798" s="31" t="n"/>
      <c r="G798" s="31" t="n"/>
      <c r="H798" s="31" t="n"/>
      <c r="I798" s="32" t="n"/>
      <c r="J798" s="47">
        <f>PRODUCT(E798:I798)</f>
        <v/>
      </c>
      <c r="K798" s="31" t="n">
        <v/>
      </c>
      <c r="L798" s="31" t="n">
        <v/>
      </c>
      <c r="M798" s="31" t="n">
        <v/>
      </c>
      <c r="N798" s="32" t="n">
        <v/>
      </c>
      <c r="O798" s="47" t="n">
        <v/>
      </c>
      <c r="P798" s="88" t="n"/>
    </row>
    <row r="799" customFormat="1" s="2">
      <c r="A799" s="6" t="n"/>
      <c r="B799" s="4" t="n"/>
      <c r="C799" s="25" t="inlineStr">
        <is>
          <t>Wall Panelling</t>
        </is>
      </c>
      <c r="D799" s="27" t="inlineStr">
        <is>
          <t>Sq.ft</t>
        </is>
      </c>
      <c r="E799" s="28" t="n"/>
      <c r="F799" s="31" t="n">
        <v>1</v>
      </c>
      <c r="G799" s="31" t="n">
        <v>13.88</v>
      </c>
      <c r="H799" s="31" t="n"/>
      <c r="I799" s="32">
        <f>17.46+1.5/12</f>
        <v/>
      </c>
      <c r="J799" s="47">
        <f>PRODUCT(E799:I799)</f>
        <v/>
      </c>
      <c r="K799" s="31" t="n">
        <v>1</v>
      </c>
      <c r="L799" s="31" t="n">
        <v/>
      </c>
      <c r="M799" s="31" t="n">
        <v/>
      </c>
      <c r="N799" s="32" t="n">
        <v/>
      </c>
      <c r="O799" s="47" t="n">
        <v/>
      </c>
      <c r="P799" s="88" t="n"/>
    </row>
    <row r="800" customFormat="1" s="2">
      <c r="A800" s="6" t="n"/>
      <c r="B800" s="4" t="n"/>
      <c r="C800" s="25" t="inlineStr">
        <is>
          <t>Glass Area Less ( - )</t>
        </is>
      </c>
      <c r="D800" s="27" t="inlineStr">
        <is>
          <t>Sq.ft</t>
        </is>
      </c>
      <c r="E800" s="28" t="n"/>
      <c r="F800" s="31" t="n">
        <v>-1</v>
      </c>
      <c r="G800" s="31" t="n">
        <v>9.720000000000001</v>
      </c>
      <c r="H800" s="31" t="n"/>
      <c r="I800" s="32" t="n">
        <v>8</v>
      </c>
      <c r="J800" s="47">
        <f>PRODUCT(E800:I800)</f>
        <v/>
      </c>
      <c r="K800" s="31" t="n">
        <v>-1</v>
      </c>
      <c r="L800" s="31" t="n">
        <v/>
      </c>
      <c r="M800" s="31" t="n">
        <v/>
      </c>
      <c r="N800" s="32" t="n">
        <v/>
      </c>
      <c r="O800" s="47" t="n">
        <v/>
      </c>
      <c r="P800" s="88" t="n"/>
    </row>
    <row r="801" customFormat="1" s="2">
      <c r="A801" s="6" t="n"/>
      <c r="B801" s="4" t="n"/>
      <c r="C801" s="25" t="inlineStr">
        <is>
          <t>Glass Area Less ( - )</t>
        </is>
      </c>
      <c r="D801" s="27" t="inlineStr">
        <is>
          <t>Sq.ft</t>
        </is>
      </c>
      <c r="E801" s="28" t="n"/>
      <c r="F801" s="31" t="n">
        <v>-1</v>
      </c>
      <c r="G801" s="31" t="n">
        <v>9.720000000000001</v>
      </c>
      <c r="H801" s="31" t="n"/>
      <c r="I801" s="32" t="n">
        <v>4.33</v>
      </c>
      <c r="J801" s="47">
        <f>PRODUCT(E801:I801)</f>
        <v/>
      </c>
      <c r="K801" s="31" t="n">
        <v>-1</v>
      </c>
      <c r="L801" s="31" t="n">
        <v/>
      </c>
      <c r="M801" s="31" t="n">
        <v/>
      </c>
      <c r="N801" s="32" t="n">
        <v/>
      </c>
      <c r="O801" s="47" t="n">
        <v/>
      </c>
      <c r="P801" s="88" t="n"/>
    </row>
    <row r="802" customFormat="1" s="2">
      <c r="A802" s="6" t="n"/>
      <c r="B802" s="4" t="n"/>
      <c r="C802" s="25" t="inlineStr">
        <is>
          <t>Above Glass</t>
        </is>
      </c>
      <c r="D802" s="27" t="inlineStr">
        <is>
          <t>Sq.ft</t>
        </is>
      </c>
      <c r="E802" s="28" t="n"/>
      <c r="F802" s="31" t="n">
        <v>1</v>
      </c>
      <c r="G802" s="31" t="n">
        <v>9.720000000000001</v>
      </c>
      <c r="H802" s="31" t="n"/>
      <c r="I802" s="32" t="n">
        <v>3</v>
      </c>
      <c r="J802" s="47">
        <f>PRODUCT(E802:I802)</f>
        <v/>
      </c>
      <c r="K802" s="31" t="n">
        <v>1</v>
      </c>
      <c r="L802" s="31" t="n">
        <v/>
      </c>
      <c r="M802" s="31" t="n">
        <v/>
      </c>
      <c r="N802" s="32" t="n">
        <v/>
      </c>
      <c r="O802" s="47" t="n">
        <v/>
      </c>
      <c r="P802" s="88" t="n"/>
    </row>
    <row r="803" customFormat="1" s="2">
      <c r="A803" s="6" t="n"/>
      <c r="B803" s="4" t="n"/>
      <c r="C803" s="24" t="inlineStr">
        <is>
          <t>Column Area</t>
        </is>
      </c>
      <c r="D803" s="27" t="n"/>
      <c r="E803" s="28" t="n"/>
      <c r="F803" s="31" t="n"/>
      <c r="G803" s="31" t="n"/>
      <c r="H803" s="31" t="n"/>
      <c r="I803" s="32" t="n"/>
      <c r="J803" s="47">
        <f>PRODUCT(E803:I803)</f>
        <v/>
      </c>
      <c r="K803" s="31" t="n">
        <v/>
      </c>
      <c r="L803" s="31" t="n">
        <v/>
      </c>
      <c r="M803" s="31" t="n">
        <v/>
      </c>
      <c r="N803" s="32" t="n">
        <v/>
      </c>
      <c r="O803" s="47" t="n">
        <v/>
      </c>
      <c r="P803" s="88" t="n"/>
    </row>
    <row r="804" customFormat="1" s="2">
      <c r="A804" s="6" t="n"/>
      <c r="B804" s="4" t="n"/>
      <c r="C804" s="25" t="inlineStr">
        <is>
          <t>Panelleing</t>
        </is>
      </c>
      <c r="D804" s="27" t="inlineStr">
        <is>
          <t>Sq.ft</t>
        </is>
      </c>
      <c r="E804" s="28" t="n"/>
      <c r="F804" s="31" t="n">
        <v>1</v>
      </c>
      <c r="G804" s="31" t="n">
        <v>3.25</v>
      </c>
      <c r="H804" s="31" t="n"/>
      <c r="I804" s="32" t="n">
        <v>10.25</v>
      </c>
      <c r="J804" s="47">
        <f>PRODUCT(E804:I804)</f>
        <v/>
      </c>
      <c r="K804" s="31" t="n">
        <v>1</v>
      </c>
      <c r="L804" s="31" t="n">
        <v/>
      </c>
      <c r="M804" s="31" t="n">
        <v/>
      </c>
      <c r="N804" s="32" t="n">
        <v/>
      </c>
      <c r="O804" s="47" t="n">
        <v/>
      </c>
      <c r="P804" s="88" t="n"/>
    </row>
    <row r="805" customFormat="1" s="2">
      <c r="A805" s="6" t="n"/>
      <c r="B805" s="4" t="n"/>
      <c r="C805" s="25" t="inlineStr">
        <is>
          <t>Panelleing</t>
        </is>
      </c>
      <c r="D805" s="27" t="inlineStr">
        <is>
          <t>Sq.ft</t>
        </is>
      </c>
      <c r="E805" s="28" t="n"/>
      <c r="F805" s="31" t="n">
        <v>1</v>
      </c>
      <c r="G805" s="31" t="n">
        <v>1.42</v>
      </c>
      <c r="H805" s="31" t="n"/>
      <c r="I805" s="32" t="n">
        <v>10.25</v>
      </c>
      <c r="J805" s="47">
        <f>PRODUCT(E805:I805)</f>
        <v/>
      </c>
      <c r="K805" s="31" t="n">
        <v>1</v>
      </c>
      <c r="L805" s="31" t="n">
        <v/>
      </c>
      <c r="M805" s="31" t="n">
        <v/>
      </c>
      <c r="N805" s="32" t="n">
        <v/>
      </c>
      <c r="O805" s="47" t="n">
        <v/>
      </c>
      <c r="P805" s="88" t="n"/>
    </row>
    <row r="806" customFormat="1" s="2">
      <c r="A806" s="6" t="n"/>
      <c r="B806" s="4" t="n"/>
      <c r="C806" s="25" t="inlineStr">
        <is>
          <t>Beam Area Less ( - )</t>
        </is>
      </c>
      <c r="D806" s="27" t="inlineStr">
        <is>
          <t>Sq.ft</t>
        </is>
      </c>
      <c r="E806" s="28" t="n"/>
      <c r="F806" s="31" t="n">
        <v>-1</v>
      </c>
      <c r="G806" s="31" t="n">
        <v>1.25</v>
      </c>
      <c r="H806" s="31" t="n"/>
      <c r="I806" s="32" t="n">
        <v>2.75</v>
      </c>
      <c r="J806" s="47">
        <f>PRODUCT(E806:I806)</f>
        <v/>
      </c>
      <c r="K806" s="31" t="n">
        <v>-1</v>
      </c>
      <c r="L806" s="31" t="n">
        <v/>
      </c>
      <c r="M806" s="31" t="n">
        <v/>
      </c>
      <c r="N806" s="32" t="n">
        <v/>
      </c>
      <c r="O806" s="47" t="n">
        <v/>
      </c>
      <c r="P806" s="88" t="n"/>
    </row>
    <row r="807" customFormat="1" s="2">
      <c r="A807" s="6" t="n"/>
      <c r="B807" s="4" t="n"/>
      <c r="C807" s="25" t="inlineStr">
        <is>
          <t>Panelleing</t>
        </is>
      </c>
      <c r="D807" s="27" t="inlineStr">
        <is>
          <t>Sq.ft</t>
        </is>
      </c>
      <c r="E807" s="28" t="n"/>
      <c r="F807" s="31" t="n">
        <v>1</v>
      </c>
      <c r="G807" s="31" t="n">
        <v>2.08</v>
      </c>
      <c r="H807" s="31" t="n"/>
      <c r="I807" s="32" t="n">
        <v>10.25</v>
      </c>
      <c r="J807" s="47">
        <f>PRODUCT(E807:I807)</f>
        <v/>
      </c>
      <c r="K807" s="31" t="n">
        <v>1</v>
      </c>
      <c r="L807" s="31" t="n">
        <v/>
      </c>
      <c r="M807" s="31" t="n">
        <v/>
      </c>
      <c r="N807" s="32" t="n">
        <v/>
      </c>
      <c r="O807" s="47" t="n">
        <v/>
      </c>
      <c r="P807" s="88" t="n"/>
    </row>
    <row r="808" customFormat="1" s="2">
      <c r="A808" s="6" t="n"/>
      <c r="B808" s="4" t="n"/>
      <c r="C808" s="24" t="inlineStr">
        <is>
          <t>Branch Entry</t>
        </is>
      </c>
      <c r="D808" s="27" t="n"/>
      <c r="E808" s="28" t="n"/>
      <c r="F808" s="31" t="n"/>
      <c r="G808" s="31" t="n"/>
      <c r="H808" s="31" t="n"/>
      <c r="I808" s="32" t="n"/>
      <c r="J808" s="47">
        <f>PRODUCT(E808:I808)</f>
        <v/>
      </c>
      <c r="K808" s="31" t="n">
        <v/>
      </c>
      <c r="L808" s="31" t="n">
        <v/>
      </c>
      <c r="M808" s="31" t="n">
        <v/>
      </c>
      <c r="N808" s="32" t="n">
        <v/>
      </c>
      <c r="O808" s="47" t="n">
        <v/>
      </c>
      <c r="P808" s="88" t="n"/>
    </row>
    <row r="809" customFormat="1" s="2">
      <c r="A809" s="6" t="n"/>
      <c r="B809" s="4" t="n"/>
      <c r="C809" s="25" t="inlineStr">
        <is>
          <t>Door Side Panelling</t>
        </is>
      </c>
      <c r="D809" s="27" t="inlineStr">
        <is>
          <t>Sq.ft</t>
        </is>
      </c>
      <c r="E809" s="28" t="n"/>
      <c r="F809" s="31" t="n">
        <v>1</v>
      </c>
      <c r="G809" s="31">
        <f>10.35+0.25</f>
        <v/>
      </c>
      <c r="H809" s="31" t="n"/>
      <c r="I809" s="32" t="n">
        <v>18.33</v>
      </c>
      <c r="J809" s="47">
        <f>PRODUCT(E809:I809)</f>
        <v/>
      </c>
      <c r="K809" s="31" t="n">
        <v>1</v>
      </c>
      <c r="L809" s="31" t="n">
        <v/>
      </c>
      <c r="M809" s="31" t="n">
        <v/>
      </c>
      <c r="N809" s="32" t="n">
        <v/>
      </c>
      <c r="O809" s="47" t="n">
        <v/>
      </c>
      <c r="P809" s="88" t="n"/>
    </row>
    <row r="810" customFormat="1" s="2">
      <c r="A810" s="6" t="n"/>
      <c r="B810" s="4" t="n"/>
      <c r="C810" s="25" t="inlineStr">
        <is>
          <t>Glass Area Less ( - )</t>
        </is>
      </c>
      <c r="D810" s="27" t="inlineStr">
        <is>
          <t>Sq.ft</t>
        </is>
      </c>
      <c r="E810" s="28" t="n"/>
      <c r="F810" s="31" t="n">
        <v>-1</v>
      </c>
      <c r="G810" s="31" t="n">
        <v>9.130000000000001</v>
      </c>
      <c r="H810" s="31" t="n"/>
      <c r="I810" s="32" t="n">
        <v>8</v>
      </c>
      <c r="J810" s="47">
        <f>PRODUCT(E810:I810)</f>
        <v/>
      </c>
      <c r="K810" s="31" t="n">
        <v>-1</v>
      </c>
      <c r="L810" s="31" t="n">
        <v/>
      </c>
      <c r="M810" s="31" t="n">
        <v/>
      </c>
      <c r="N810" s="32" t="n">
        <v/>
      </c>
      <c r="O810" s="47" t="n">
        <v/>
      </c>
      <c r="P810" s="88" t="n"/>
    </row>
    <row r="811" customFormat="1" s="2">
      <c r="A811" s="6" t="n"/>
      <c r="B811" s="4" t="n"/>
      <c r="C811" s="25" t="inlineStr">
        <is>
          <t>Glass Area Less ( - )</t>
        </is>
      </c>
      <c r="D811" s="27" t="inlineStr">
        <is>
          <t>Sq.ft</t>
        </is>
      </c>
      <c r="E811" s="28" t="n"/>
      <c r="F811" s="31" t="n">
        <v>-1</v>
      </c>
      <c r="G811" s="31" t="n">
        <v>9.130000000000001</v>
      </c>
      <c r="H811" s="31" t="n"/>
      <c r="I811" s="32" t="n">
        <v>4.33</v>
      </c>
      <c r="J811" s="47">
        <f>PRODUCT(E811:I811)</f>
        <v/>
      </c>
      <c r="K811" s="31" t="n">
        <v>-1</v>
      </c>
      <c r="L811" s="31" t="n">
        <v/>
      </c>
      <c r="M811" s="31" t="n">
        <v/>
      </c>
      <c r="N811" s="32" t="n">
        <v/>
      </c>
      <c r="O811" s="47" t="n">
        <v/>
      </c>
      <c r="P811" s="88" t="n"/>
    </row>
    <row r="812" customFormat="1" s="2">
      <c r="A812" s="6" t="n"/>
      <c r="B812" s="4" t="n"/>
      <c r="C812" s="25" t="inlineStr">
        <is>
          <t>Above Glass</t>
        </is>
      </c>
      <c r="D812" s="27" t="inlineStr">
        <is>
          <t>Sq.ft</t>
        </is>
      </c>
      <c r="E812" s="28" t="n"/>
      <c r="F812" s="31" t="n">
        <v>1</v>
      </c>
      <c r="G812" s="31" t="n">
        <v>9.130000000000001</v>
      </c>
      <c r="H812" s="31" t="n"/>
      <c r="I812" s="32" t="n">
        <v>3</v>
      </c>
      <c r="J812" s="47">
        <f>PRODUCT(E812:I812)</f>
        <v/>
      </c>
      <c r="K812" s="31" t="n">
        <v>1</v>
      </c>
      <c r="L812" s="31" t="n">
        <v/>
      </c>
      <c r="M812" s="31" t="n">
        <v/>
      </c>
      <c r="N812" s="32" t="n">
        <v/>
      </c>
      <c r="O812" s="47" t="n">
        <v/>
      </c>
      <c r="P812" s="88" t="n"/>
    </row>
    <row r="813" customFormat="1" s="2">
      <c r="A813" s="6" t="n"/>
      <c r="B813" s="4" t="n"/>
      <c r="C813" s="24" t="inlineStr">
        <is>
          <t>Logo Side</t>
        </is>
      </c>
      <c r="D813" s="27" t="n"/>
      <c r="E813" s="28" t="n"/>
      <c r="F813" s="31" t="n"/>
      <c r="G813" s="31" t="n"/>
      <c r="H813" s="31" t="n"/>
      <c r="I813" s="32" t="n"/>
      <c r="J813" s="47">
        <f>PRODUCT(E813:I813)</f>
        <v/>
      </c>
      <c r="K813" s="31" t="n">
        <v/>
      </c>
      <c r="L813" s="31" t="n">
        <v/>
      </c>
      <c r="M813" s="31" t="n">
        <v/>
      </c>
      <c r="N813" s="32" t="n">
        <v/>
      </c>
      <c r="O813" s="47" t="n">
        <v/>
      </c>
      <c r="P813" s="88" t="n"/>
    </row>
    <row r="814" customFormat="1" s="2">
      <c r="A814" s="6" t="n"/>
      <c r="B814" s="4" t="n"/>
      <c r="C814" s="25" t="inlineStr">
        <is>
          <t>Panelling</t>
        </is>
      </c>
      <c r="D814" s="27" t="inlineStr">
        <is>
          <t>Sq.ft</t>
        </is>
      </c>
      <c r="E814" s="28" t="n"/>
      <c r="F814" s="31" t="n">
        <v>1</v>
      </c>
      <c r="G814" s="31">
        <f>4.92-0.25</f>
        <v/>
      </c>
      <c r="H814" s="31" t="n"/>
      <c r="I814" s="32" t="n">
        <v>10.25</v>
      </c>
      <c r="J814" s="47">
        <f>PRODUCT(E814:I814)</f>
        <v/>
      </c>
      <c r="K814" s="31" t="n">
        <v>1</v>
      </c>
      <c r="L814" s="31" t="n">
        <v/>
      </c>
      <c r="M814" s="31" t="n">
        <v/>
      </c>
      <c r="N814" s="32" t="n">
        <v/>
      </c>
      <c r="O814" s="47" t="n">
        <v/>
      </c>
      <c r="P814" s="88" t="n"/>
    </row>
    <row r="815" customFormat="1" s="2">
      <c r="A815" s="6" t="n"/>
      <c r="B815" s="4" t="n"/>
      <c r="C815" s="25" t="inlineStr">
        <is>
          <t>Panelling</t>
        </is>
      </c>
      <c r="D815" s="27" t="inlineStr">
        <is>
          <t>Sq.ft</t>
        </is>
      </c>
      <c r="E815" s="29" t="n"/>
      <c r="F815" s="31" t="n">
        <v>1</v>
      </c>
      <c r="G815" s="32" t="n">
        <v>13.88</v>
      </c>
      <c r="H815" s="32" t="n"/>
      <c r="I815" s="32">
        <f>8.28+0.32</f>
        <v/>
      </c>
      <c r="J815" s="47">
        <f>PRODUCT(E815:I815)</f>
        <v/>
      </c>
      <c r="K815" s="31" t="n">
        <v>1</v>
      </c>
      <c r="L815" s="32" t="n">
        <v/>
      </c>
      <c r="M815" s="32" t="n">
        <v/>
      </c>
      <c r="N815" s="32" t="n">
        <v/>
      </c>
      <c r="O815" s="47" t="n">
        <v/>
      </c>
      <c r="P815" s="88" t="n"/>
    </row>
    <row r="816" customFormat="1" s="2">
      <c r="A816" s="6" t="n"/>
      <c r="B816" s="4" t="n"/>
      <c r="C816" s="25" t="inlineStr">
        <is>
          <t>Panelling</t>
        </is>
      </c>
      <c r="D816" s="27" t="inlineStr">
        <is>
          <t>Sq.ft</t>
        </is>
      </c>
      <c r="E816" s="29" t="n"/>
      <c r="F816" s="32" t="n">
        <v>-1</v>
      </c>
      <c r="G816" s="32" t="n">
        <v>4</v>
      </c>
      <c r="H816" s="32" t="n"/>
      <c r="I816" s="32" t="n">
        <v>7.21</v>
      </c>
      <c r="J816" s="47">
        <f>PRODUCT(E816:I816)</f>
        <v/>
      </c>
      <c r="K816" s="32" t="n">
        <v>-1</v>
      </c>
      <c r="L816" s="32" t="n">
        <v/>
      </c>
      <c r="M816" s="32" t="n">
        <v/>
      </c>
      <c r="N816" s="32" t="n">
        <v/>
      </c>
      <c r="O816" s="47" t="n">
        <v/>
      </c>
      <c r="P816" s="88" t="n"/>
    </row>
    <row r="817" customFormat="1" s="2">
      <c r="A817" s="6" t="n"/>
      <c r="B817" s="4" t="n"/>
      <c r="C817" s="25" t="inlineStr">
        <is>
          <t>Front Side Panelling</t>
        </is>
      </c>
      <c r="D817" s="27" t="inlineStr">
        <is>
          <t>Sq.ft</t>
        </is>
      </c>
      <c r="E817" s="28" t="n"/>
      <c r="F817" s="31" t="n">
        <v>1</v>
      </c>
      <c r="G817" s="31">
        <f>10.67+1.25+8.5</f>
        <v/>
      </c>
      <c r="H817" s="31" t="n"/>
      <c r="I817" s="32" t="n">
        <v>8.5</v>
      </c>
      <c r="J817" s="47">
        <f>PRODUCT(E817:I817)</f>
        <v/>
      </c>
      <c r="K817" s="31" t="n">
        <v>1</v>
      </c>
      <c r="L817" s="31" t="n">
        <v/>
      </c>
      <c r="M817" s="31" t="n">
        <v/>
      </c>
      <c r="N817" s="32" t="n">
        <v/>
      </c>
      <c r="O817" s="47" t="n">
        <v/>
      </c>
      <c r="P817" s="88" t="n"/>
    </row>
    <row r="818" customFormat="1" s="2">
      <c r="A818" s="6" t="n"/>
      <c r="B818" s="4" t="n"/>
      <c r="C818" s="25" t="inlineStr">
        <is>
          <t>Left Side Panelling</t>
        </is>
      </c>
      <c r="D818" s="27" t="inlineStr">
        <is>
          <t>Sq.ft</t>
        </is>
      </c>
      <c r="E818" s="28" t="n"/>
      <c r="F818" s="31" t="n">
        <v>1</v>
      </c>
      <c r="G818" s="31">
        <f>6.23+0.25+3.67+8.52</f>
        <v/>
      </c>
      <c r="H818" s="31" t="n"/>
      <c r="I818" s="32" t="n">
        <v>8.5</v>
      </c>
      <c r="J818" s="47">
        <f>PRODUCT(E818:I818)</f>
        <v/>
      </c>
      <c r="K818" s="31" t="n">
        <v>1</v>
      </c>
      <c r="L818" s="31" t="n">
        <v/>
      </c>
      <c r="M818" s="31" t="n">
        <v/>
      </c>
      <c r="N818" s="32" t="n">
        <v/>
      </c>
      <c r="O818" s="47" t="n">
        <v/>
      </c>
      <c r="P818" s="88" t="n"/>
    </row>
    <row r="819" customFormat="1" s="2">
      <c r="A819" s="6" t="n"/>
      <c r="B819" s="4" t="n"/>
      <c r="C819" s="24" t="inlineStr">
        <is>
          <t>Below Staircase</t>
        </is>
      </c>
      <c r="D819" s="27" t="n"/>
      <c r="E819" s="28" t="n"/>
      <c r="F819" s="31" t="n"/>
      <c r="G819" s="31" t="n"/>
      <c r="H819" s="31" t="n"/>
      <c r="I819" s="32" t="n"/>
      <c r="J819" s="47">
        <f>PRODUCT(E819:I819)</f>
        <v/>
      </c>
      <c r="K819" s="31" t="n">
        <v/>
      </c>
      <c r="L819" s="31" t="n">
        <v/>
      </c>
      <c r="M819" s="31" t="n">
        <v/>
      </c>
      <c r="N819" s="32" t="n">
        <v/>
      </c>
      <c r="O819" s="47" t="n">
        <v/>
      </c>
      <c r="P819" s="88" t="n"/>
    </row>
    <row r="820" customFormat="1" s="2">
      <c r="A820" s="6" t="n"/>
      <c r="B820" s="4" t="n"/>
      <c r="C820" s="25" t="inlineStr">
        <is>
          <t>Wall Panelling</t>
        </is>
      </c>
      <c r="D820" s="27" t="inlineStr">
        <is>
          <t xml:space="preserve">Sq.ft </t>
        </is>
      </c>
      <c r="E820" s="28" t="n"/>
      <c r="F820" s="31" t="n">
        <v>1</v>
      </c>
      <c r="G820" s="31" t="n">
        <v>3.17</v>
      </c>
      <c r="H820" s="31" t="n"/>
      <c r="I820" s="32" t="n">
        <v>3.25</v>
      </c>
      <c r="J820" s="47">
        <f>PRODUCT(E820:I820)</f>
        <v/>
      </c>
      <c r="K820" s="31" t="n">
        <v>1</v>
      </c>
      <c r="L820" s="31" t="n">
        <v/>
      </c>
      <c r="M820" s="31" t="n">
        <v/>
      </c>
      <c r="N820" s="32" t="n">
        <v/>
      </c>
      <c r="O820" s="47" t="n">
        <v/>
      </c>
      <c r="P820" s="88" t="n"/>
    </row>
    <row r="821" customFormat="1" s="2">
      <c r="A821" s="6" t="n"/>
      <c r="B821" s="4" t="n"/>
      <c r="C821" s="25" t="inlineStr">
        <is>
          <t xml:space="preserve">Side </t>
        </is>
      </c>
      <c r="D821" s="27" t="inlineStr">
        <is>
          <t xml:space="preserve">Sq.ft </t>
        </is>
      </c>
      <c r="E821" s="28" t="n"/>
      <c r="F821" s="31" t="n">
        <v>1</v>
      </c>
      <c r="G821" s="31" t="n">
        <v>0.5</v>
      </c>
      <c r="H821" s="31" t="n"/>
      <c r="I821" s="32" t="n">
        <v>1.92</v>
      </c>
      <c r="J821" s="47">
        <f>PRODUCT(E821:I821)</f>
        <v/>
      </c>
      <c r="K821" s="31" t="n">
        <v>1</v>
      </c>
      <c r="L821" s="31" t="n">
        <v/>
      </c>
      <c r="M821" s="31" t="n">
        <v/>
      </c>
      <c r="N821" s="32" t="n">
        <v/>
      </c>
      <c r="O821" s="47" t="n">
        <v/>
      </c>
      <c r="P821" s="88" t="n"/>
    </row>
    <row r="822" customFormat="1" s="2">
      <c r="A822" s="6" t="n"/>
      <c r="B822" s="4" t="n"/>
      <c r="C822" s="25" t="inlineStr">
        <is>
          <t xml:space="preserve">Side </t>
        </is>
      </c>
      <c r="D822" s="27" t="inlineStr">
        <is>
          <t xml:space="preserve">Sq.ft </t>
        </is>
      </c>
      <c r="E822" s="28" t="n"/>
      <c r="F822" s="31" t="n">
        <v>1</v>
      </c>
      <c r="G822" s="31" t="n">
        <v>0.75</v>
      </c>
      <c r="H822" s="31" t="n"/>
      <c r="I822" s="32" t="n">
        <v>1.75</v>
      </c>
      <c r="J822" s="47">
        <f>PRODUCT(E822:I822)</f>
        <v/>
      </c>
      <c r="K822" s="31" t="n">
        <v>1</v>
      </c>
      <c r="L822" s="31" t="n">
        <v/>
      </c>
      <c r="M822" s="31" t="n">
        <v/>
      </c>
      <c r="N822" s="32" t="n">
        <v/>
      </c>
      <c r="O822" s="47" t="n">
        <v/>
      </c>
      <c r="P822" s="88" t="n"/>
    </row>
    <row r="823" customFormat="1" s="2">
      <c r="A823" s="6" t="n"/>
      <c r="B823" s="4" t="n"/>
      <c r="C823" s="25" t="inlineStr">
        <is>
          <t xml:space="preserve">Side </t>
        </is>
      </c>
      <c r="D823" s="27" t="inlineStr">
        <is>
          <t xml:space="preserve">Sq.ft </t>
        </is>
      </c>
      <c r="E823" s="28" t="n"/>
      <c r="F823" s="31" t="n">
        <v>1</v>
      </c>
      <c r="G823" s="31" t="n">
        <v>0.75</v>
      </c>
      <c r="H823" s="31" t="n"/>
      <c r="I823" s="32" t="n">
        <v>1.67</v>
      </c>
      <c r="J823" s="47">
        <f>PRODUCT(E823:I823)</f>
        <v/>
      </c>
      <c r="K823" s="31" t="n">
        <v>1</v>
      </c>
      <c r="L823" s="31" t="n">
        <v/>
      </c>
      <c r="M823" s="31" t="n">
        <v/>
      </c>
      <c r="N823" s="32" t="n">
        <v/>
      </c>
      <c r="O823" s="47" t="n">
        <v/>
      </c>
      <c r="P823" s="88" t="n"/>
    </row>
    <row r="824" customFormat="1" s="2">
      <c r="A824" s="6" t="n"/>
      <c r="B824" s="4" t="n"/>
      <c r="C824" s="25" t="inlineStr">
        <is>
          <t xml:space="preserve">Side </t>
        </is>
      </c>
      <c r="D824" s="27" t="inlineStr">
        <is>
          <t xml:space="preserve">Sq.ft </t>
        </is>
      </c>
      <c r="E824" s="28" t="n"/>
      <c r="F824" s="31" t="n">
        <v>1</v>
      </c>
      <c r="G824" s="31" t="n">
        <v>0.75</v>
      </c>
      <c r="H824" s="31" t="n"/>
      <c r="I824" s="32" t="n">
        <v>1.57</v>
      </c>
      <c r="J824" s="47">
        <f>PRODUCT(E824:I824)</f>
        <v/>
      </c>
      <c r="K824" s="31" t="n">
        <v>1</v>
      </c>
      <c r="L824" s="31" t="n">
        <v/>
      </c>
      <c r="M824" s="31" t="n">
        <v/>
      </c>
      <c r="N824" s="32" t="n">
        <v/>
      </c>
      <c r="O824" s="47" t="n">
        <v/>
      </c>
      <c r="P824" s="88" t="n"/>
    </row>
    <row r="825" customFormat="1" s="2">
      <c r="A825" s="6" t="n"/>
      <c r="B825" s="4" t="n"/>
      <c r="C825" s="25" t="n"/>
      <c r="D825" s="27" t="n"/>
      <c r="E825" s="28" t="n"/>
      <c r="F825" s="31" t="n"/>
      <c r="G825" s="31" t="n"/>
      <c r="H825" s="31" t="n"/>
      <c r="I825" s="32" t="n"/>
      <c r="J825" s="47">
        <f>PRODUCT(E825:I825)</f>
        <v/>
      </c>
      <c r="K825" s="31" t="n">
        <v/>
      </c>
      <c r="L825" s="31" t="n">
        <v/>
      </c>
      <c r="M825" s="31" t="n">
        <v/>
      </c>
      <c r="N825" s="32" t="n">
        <v/>
      </c>
      <c r="O825" s="47" t="n">
        <v/>
      </c>
      <c r="P825" s="88" t="n"/>
    </row>
    <row r="826" customFormat="1" s="2">
      <c r="A826" s="6" t="n"/>
      <c r="B826" s="4" t="n"/>
      <c r="C826" s="25" t="inlineStr">
        <is>
          <t xml:space="preserve">Cash Counter Side </t>
        </is>
      </c>
      <c r="D826" s="27" t="inlineStr">
        <is>
          <t>Sq.ft</t>
        </is>
      </c>
      <c r="E826" s="28" t="n"/>
      <c r="F826" s="31" t="n">
        <v>1</v>
      </c>
      <c r="G826" s="31" t="n">
        <v>3.4</v>
      </c>
      <c r="H826" s="31" t="n"/>
      <c r="I826" s="32" t="n">
        <v>6.45</v>
      </c>
      <c r="J826" s="47">
        <f>PRODUCT(E826:I826)</f>
        <v/>
      </c>
      <c r="K826" s="31" t="n">
        <v>1</v>
      </c>
      <c r="L826" s="31" t="n">
        <v/>
      </c>
      <c r="M826" s="31" t="n">
        <v/>
      </c>
      <c r="N826" s="32" t="n">
        <v/>
      </c>
      <c r="O826" s="47" t="n">
        <v/>
      </c>
      <c r="P826" s="88" t="n"/>
    </row>
    <row r="827" customFormat="1" s="2">
      <c r="A827" s="6" t="n"/>
      <c r="B827" s="4" t="n"/>
      <c r="C827" s="25" t="inlineStr">
        <is>
          <t xml:space="preserve">Cash Counter Side </t>
        </is>
      </c>
      <c r="D827" s="27" t="inlineStr">
        <is>
          <t>Sq.ft</t>
        </is>
      </c>
      <c r="E827" s="28" t="n"/>
      <c r="F827" s="31" t="n">
        <v>1</v>
      </c>
      <c r="G827" s="31" t="n">
        <v>0.57</v>
      </c>
      <c r="H827" s="31" t="n"/>
      <c r="I827" s="32" t="n">
        <v>2.5</v>
      </c>
      <c r="J827" s="47">
        <f>PRODUCT(E827:I827)</f>
        <v/>
      </c>
      <c r="K827" s="31" t="n">
        <v>1</v>
      </c>
      <c r="L827" s="31" t="n">
        <v/>
      </c>
      <c r="M827" s="31" t="n">
        <v/>
      </c>
      <c r="N827" s="32" t="n">
        <v/>
      </c>
      <c r="O827" s="47" t="n">
        <v/>
      </c>
      <c r="P827" s="88" t="n"/>
    </row>
    <row r="828" customFormat="1" s="2">
      <c r="A828" s="6" t="n"/>
      <c r="B828" s="4" t="n"/>
      <c r="C828" s="25" t="inlineStr">
        <is>
          <t xml:space="preserve">Cash Counter Side </t>
        </is>
      </c>
      <c r="D828" s="27" t="inlineStr">
        <is>
          <t>Sq.ft</t>
        </is>
      </c>
      <c r="E828" s="28" t="n"/>
      <c r="F828" s="31" t="n">
        <v>1</v>
      </c>
      <c r="G828" s="31" t="n">
        <v>0.75</v>
      </c>
      <c r="H828" s="31" t="n"/>
      <c r="I828" s="32" t="n">
        <v>1.75</v>
      </c>
      <c r="J828" s="47">
        <f>PRODUCT(E828:I828)</f>
        <v/>
      </c>
      <c r="K828" s="31" t="n">
        <v>1</v>
      </c>
      <c r="L828" s="31" t="n">
        <v/>
      </c>
      <c r="M828" s="31" t="n">
        <v/>
      </c>
      <c r="N828" s="32" t="n">
        <v/>
      </c>
      <c r="O828" s="47" t="n">
        <v/>
      </c>
      <c r="P828" s="88" t="n"/>
    </row>
    <row r="829" customFormat="1" s="2">
      <c r="A829" s="6" t="n"/>
      <c r="B829" s="4" t="n"/>
      <c r="C829" s="25" t="inlineStr">
        <is>
          <t xml:space="preserve">Cash Counter Side </t>
        </is>
      </c>
      <c r="D829" s="27" t="inlineStr">
        <is>
          <t>Sq.ft</t>
        </is>
      </c>
      <c r="E829" s="28" t="n"/>
      <c r="F829" s="31" t="n">
        <v>1</v>
      </c>
      <c r="G829" s="31" t="n">
        <v>0.75</v>
      </c>
      <c r="H829" s="31" t="n"/>
      <c r="I829" s="32" t="n">
        <v>1.08</v>
      </c>
      <c r="J829" s="47">
        <f>PRODUCT(E829:I829)</f>
        <v/>
      </c>
      <c r="K829" s="31" t="n">
        <v>1</v>
      </c>
      <c r="L829" s="31" t="n">
        <v/>
      </c>
      <c r="M829" s="31" t="n">
        <v/>
      </c>
      <c r="N829" s="32" t="n">
        <v/>
      </c>
      <c r="O829" s="47" t="n">
        <v/>
      </c>
      <c r="P829" s="88" t="n"/>
    </row>
    <row r="830" customFormat="1" s="2">
      <c r="A830" s="6" t="n"/>
      <c r="B830" s="4" t="n"/>
      <c r="C830" s="25" t="inlineStr">
        <is>
          <t xml:space="preserve">Cash Counter Side </t>
        </is>
      </c>
      <c r="D830" s="27" t="inlineStr">
        <is>
          <t>Sq.ft</t>
        </is>
      </c>
      <c r="E830" s="28" t="n"/>
      <c r="F830" s="31" t="n">
        <v>1</v>
      </c>
      <c r="G830" s="31" t="n">
        <v>0.33</v>
      </c>
      <c r="H830" s="31" t="n"/>
      <c r="I830" s="32" t="n">
        <v>4.5</v>
      </c>
      <c r="J830" s="47">
        <f>PRODUCT(E830:I830)</f>
        <v/>
      </c>
      <c r="K830" s="31" t="n">
        <v>1</v>
      </c>
      <c r="L830" s="31" t="n">
        <v/>
      </c>
      <c r="M830" s="31" t="n">
        <v/>
      </c>
      <c r="N830" s="32" t="n">
        <v/>
      </c>
      <c r="O830" s="47" t="n">
        <v/>
      </c>
      <c r="P830" s="88" t="n"/>
    </row>
    <row r="831" customFormat="1" s="2">
      <c r="A831" s="6" t="n"/>
      <c r="B831" s="4" t="n"/>
      <c r="C831" s="25" t="inlineStr">
        <is>
          <t xml:space="preserve">Glass Side </t>
        </is>
      </c>
      <c r="D831" s="27" t="inlineStr">
        <is>
          <t>Sq.ft</t>
        </is>
      </c>
      <c r="E831" s="28" t="n"/>
      <c r="F831" s="31" t="n">
        <v>1</v>
      </c>
      <c r="G831" s="31" t="n">
        <v>2</v>
      </c>
      <c r="H831" s="31" t="n"/>
      <c r="I831" s="32" t="n">
        <v>7.66</v>
      </c>
      <c r="J831" s="47">
        <f>PRODUCT(E831:I831)</f>
        <v/>
      </c>
      <c r="K831" s="31" t="n">
        <v>1</v>
      </c>
      <c r="L831" s="31" t="n">
        <v/>
      </c>
      <c r="M831" s="31" t="n">
        <v/>
      </c>
      <c r="N831" s="32" t="n">
        <v/>
      </c>
      <c r="O831" s="47" t="n">
        <v/>
      </c>
      <c r="P831" s="88" t="n"/>
    </row>
    <row r="832" customFormat="1" s="2">
      <c r="A832" s="6" t="n"/>
      <c r="B832" s="4" t="n"/>
      <c r="C832" s="25" t="inlineStr">
        <is>
          <t xml:space="preserve">Glass Side </t>
        </is>
      </c>
      <c r="D832" s="27" t="inlineStr">
        <is>
          <t>Sq.ft</t>
        </is>
      </c>
      <c r="E832" s="28" t="n"/>
      <c r="F832" s="31" t="n">
        <v>1</v>
      </c>
      <c r="G832" s="31" t="n">
        <v>0.75</v>
      </c>
      <c r="H832" s="31" t="n"/>
      <c r="I832" s="32" t="n">
        <v>7.06</v>
      </c>
      <c r="J832" s="47">
        <f>PRODUCT(E832:I832)</f>
        <v/>
      </c>
      <c r="K832" s="31" t="n">
        <v>1</v>
      </c>
      <c r="L832" s="31" t="n">
        <v/>
      </c>
      <c r="M832" s="31" t="n">
        <v/>
      </c>
      <c r="N832" s="32" t="n">
        <v/>
      </c>
      <c r="O832" s="47" t="n">
        <v/>
      </c>
      <c r="P832" s="88" t="n"/>
    </row>
    <row r="833" customFormat="1" s="2">
      <c r="A833" s="6" t="n"/>
      <c r="B833" s="4" t="n"/>
      <c r="C833" s="25" t="inlineStr">
        <is>
          <t xml:space="preserve">Glass Side </t>
        </is>
      </c>
      <c r="D833" s="27" t="inlineStr">
        <is>
          <t>Sq.ft</t>
        </is>
      </c>
      <c r="E833" s="28" t="n"/>
      <c r="F833" s="31" t="n">
        <v>1</v>
      </c>
      <c r="G833" s="31" t="n">
        <v>0.75</v>
      </c>
      <c r="H833" s="31" t="n"/>
      <c r="I833" s="32" t="n">
        <v>6.28</v>
      </c>
      <c r="J833" s="47">
        <f>PRODUCT(E833:I833)</f>
        <v/>
      </c>
      <c r="K833" s="31" t="n">
        <v>1</v>
      </c>
      <c r="L833" s="31" t="n">
        <v/>
      </c>
      <c r="M833" s="31" t="n">
        <v/>
      </c>
      <c r="N833" s="32" t="n">
        <v/>
      </c>
      <c r="O833" s="47" t="n">
        <v/>
      </c>
      <c r="P833" s="88" t="n"/>
    </row>
    <row r="834" customFormat="1" s="2">
      <c r="A834" s="6" t="n"/>
      <c r="B834" s="4" t="n"/>
      <c r="C834" s="25" t="inlineStr">
        <is>
          <t xml:space="preserve">Glass Side </t>
        </is>
      </c>
      <c r="D834" s="27" t="inlineStr">
        <is>
          <t>Sq.ft</t>
        </is>
      </c>
      <c r="E834" s="28" t="n"/>
      <c r="F834" s="31" t="n">
        <v>1</v>
      </c>
      <c r="G834" s="31" t="n">
        <v>0.75</v>
      </c>
      <c r="H834" s="31" t="n"/>
      <c r="I834" s="32" t="n">
        <v>5.58</v>
      </c>
      <c r="J834" s="47">
        <f>PRODUCT(E834:I834)</f>
        <v/>
      </c>
      <c r="K834" s="31" t="n">
        <v>1</v>
      </c>
      <c r="L834" s="31" t="n">
        <v/>
      </c>
      <c r="M834" s="31" t="n">
        <v/>
      </c>
      <c r="N834" s="32" t="n">
        <v/>
      </c>
      <c r="O834" s="47" t="n">
        <v/>
      </c>
      <c r="P834" s="88" t="n"/>
    </row>
    <row r="835" customFormat="1" s="2">
      <c r="A835" s="6" t="n"/>
      <c r="B835" s="4" t="n"/>
      <c r="C835" s="25" t="inlineStr">
        <is>
          <t xml:space="preserve">Both Side </t>
        </is>
      </c>
      <c r="D835" s="27" t="inlineStr">
        <is>
          <t>Sq.ft</t>
        </is>
      </c>
      <c r="E835" s="28" t="n"/>
      <c r="F835" s="31" t="n">
        <v>2</v>
      </c>
      <c r="G835" s="31" t="n">
        <v>0.75</v>
      </c>
      <c r="H835" s="31" t="n"/>
      <c r="I835" s="32" t="n">
        <v>4.86</v>
      </c>
      <c r="J835" s="47">
        <f>PRODUCT(E835:I835)</f>
        <v/>
      </c>
      <c r="K835" s="31" t="n">
        <v>2</v>
      </c>
      <c r="L835" s="31" t="n">
        <v/>
      </c>
      <c r="M835" s="31" t="n">
        <v/>
      </c>
      <c r="N835" s="32" t="n">
        <v/>
      </c>
      <c r="O835" s="47" t="n">
        <v/>
      </c>
      <c r="P835" s="88" t="n"/>
    </row>
    <row r="836" customFormat="1" s="2">
      <c r="A836" s="6" t="n"/>
      <c r="B836" s="4" t="n"/>
      <c r="C836" s="25" t="inlineStr">
        <is>
          <t xml:space="preserve">Both Side </t>
        </is>
      </c>
      <c r="D836" s="27" t="inlineStr">
        <is>
          <t>Sq.ft</t>
        </is>
      </c>
      <c r="E836" s="28" t="n"/>
      <c r="F836" s="31" t="n">
        <v>2</v>
      </c>
      <c r="G836" s="31" t="n">
        <v>0.75</v>
      </c>
      <c r="H836" s="31" t="n"/>
      <c r="I836" s="32" t="n">
        <v>4.16</v>
      </c>
      <c r="J836" s="47">
        <f>PRODUCT(E836:I836)</f>
        <v/>
      </c>
      <c r="K836" s="31" t="n">
        <v>2</v>
      </c>
      <c r="L836" s="31" t="n">
        <v/>
      </c>
      <c r="M836" s="31" t="n">
        <v/>
      </c>
      <c r="N836" s="32" t="n">
        <v/>
      </c>
      <c r="O836" s="47" t="n">
        <v/>
      </c>
      <c r="P836" s="88" t="n"/>
    </row>
    <row r="837" customFormat="1" s="2">
      <c r="A837" s="6" t="n"/>
      <c r="B837" s="4" t="n"/>
      <c r="C837" s="25" t="inlineStr">
        <is>
          <t xml:space="preserve">Both Side </t>
        </is>
      </c>
      <c r="D837" s="27" t="inlineStr">
        <is>
          <t>Sq.ft</t>
        </is>
      </c>
      <c r="E837" s="28" t="n"/>
      <c r="F837" s="31" t="n">
        <v>2</v>
      </c>
      <c r="G837" s="31" t="n">
        <v>0.75</v>
      </c>
      <c r="H837" s="31" t="n"/>
      <c r="I837" s="32" t="n">
        <v>3.5</v>
      </c>
      <c r="J837" s="47">
        <f>PRODUCT(E837:I837)</f>
        <v/>
      </c>
      <c r="K837" s="31" t="n">
        <v>2</v>
      </c>
      <c r="L837" s="31" t="n">
        <v/>
      </c>
      <c r="M837" s="31" t="n">
        <v/>
      </c>
      <c r="N837" s="32" t="n">
        <v/>
      </c>
      <c r="O837" s="47" t="n">
        <v/>
      </c>
      <c r="P837" s="88" t="n"/>
    </row>
    <row r="838" customFormat="1" s="2">
      <c r="A838" s="6" t="n"/>
      <c r="B838" s="4" t="n"/>
      <c r="C838" s="25" t="inlineStr">
        <is>
          <t xml:space="preserve">Both Side </t>
        </is>
      </c>
      <c r="D838" s="27" t="inlineStr">
        <is>
          <t>Sq.ft</t>
        </is>
      </c>
      <c r="E838" s="28" t="n"/>
      <c r="F838" s="31" t="n">
        <v>2</v>
      </c>
      <c r="G838" s="31" t="n">
        <v>0.75</v>
      </c>
      <c r="H838" s="31" t="n"/>
      <c r="I838" s="32" t="n">
        <v>2.82</v>
      </c>
      <c r="J838" s="47">
        <f>PRODUCT(E838:I838)</f>
        <v/>
      </c>
      <c r="K838" s="31" t="n">
        <v>2</v>
      </c>
      <c r="L838" s="31" t="n">
        <v/>
      </c>
      <c r="M838" s="31" t="n">
        <v/>
      </c>
      <c r="N838" s="32" t="n">
        <v/>
      </c>
      <c r="O838" s="47" t="n">
        <v/>
      </c>
      <c r="P838" s="88" t="n"/>
    </row>
    <row r="839" customFormat="1" s="2">
      <c r="A839" s="6" t="n"/>
      <c r="B839" s="4" t="n"/>
      <c r="C839" s="25" t="inlineStr">
        <is>
          <t xml:space="preserve">Both Side </t>
        </is>
      </c>
      <c r="D839" s="27" t="inlineStr">
        <is>
          <t>Sq.ft</t>
        </is>
      </c>
      <c r="E839" s="28" t="n"/>
      <c r="F839" s="31" t="n">
        <v>2</v>
      </c>
      <c r="G839" s="31" t="n">
        <v>0.75</v>
      </c>
      <c r="H839" s="31" t="n"/>
      <c r="I839" s="32" t="n">
        <v>2.14</v>
      </c>
      <c r="J839" s="47">
        <f>PRODUCT(E839:I839)</f>
        <v/>
      </c>
      <c r="K839" s="31" t="n">
        <v>2</v>
      </c>
      <c r="L839" s="31" t="n">
        <v/>
      </c>
      <c r="M839" s="31" t="n">
        <v/>
      </c>
      <c r="N839" s="32" t="n">
        <v/>
      </c>
      <c r="O839" s="47" t="n">
        <v/>
      </c>
      <c r="P839" s="88" t="n"/>
    </row>
    <row r="840" customFormat="1" s="2">
      <c r="A840" s="6" t="n"/>
      <c r="B840" s="4" t="n"/>
      <c r="C840" s="25" t="inlineStr">
        <is>
          <t xml:space="preserve">Both Side </t>
        </is>
      </c>
      <c r="D840" s="27" t="inlineStr">
        <is>
          <t>Sq.ft</t>
        </is>
      </c>
      <c r="E840" s="28" t="n"/>
      <c r="F840" s="31" t="n">
        <v>2</v>
      </c>
      <c r="G840" s="31" t="n">
        <v>0.75</v>
      </c>
      <c r="H840" s="31" t="n"/>
      <c r="I840" s="32" t="n">
        <v>1.46</v>
      </c>
      <c r="J840" s="47">
        <f>PRODUCT(E840:I840)</f>
        <v/>
      </c>
      <c r="K840" s="31" t="n">
        <v>2</v>
      </c>
      <c r="L840" s="31" t="n">
        <v/>
      </c>
      <c r="M840" s="31" t="n">
        <v/>
      </c>
      <c r="N840" s="32" t="n">
        <v/>
      </c>
      <c r="O840" s="47" t="n">
        <v/>
      </c>
      <c r="P840" s="88" t="n"/>
    </row>
    <row r="841" customFormat="1" s="2">
      <c r="A841" s="6" t="n"/>
      <c r="B841" s="4" t="n"/>
      <c r="C841" s="25" t="inlineStr">
        <is>
          <t xml:space="preserve">Both Side </t>
        </is>
      </c>
      <c r="D841" s="27" t="inlineStr">
        <is>
          <t>Sq.ft</t>
        </is>
      </c>
      <c r="E841" s="28" t="n"/>
      <c r="F841" s="31" t="n">
        <v>2</v>
      </c>
      <c r="G841" s="31" t="n">
        <v>0.75</v>
      </c>
      <c r="H841" s="31" t="n"/>
      <c r="I841" s="32" t="n">
        <v>0.79</v>
      </c>
      <c r="J841" s="47">
        <f>PRODUCT(E841:I841)</f>
        <v/>
      </c>
      <c r="K841" s="31" t="n">
        <v>2</v>
      </c>
      <c r="L841" s="31" t="n">
        <v/>
      </c>
      <c r="M841" s="31" t="n">
        <v/>
      </c>
      <c r="N841" s="32" t="n">
        <v/>
      </c>
      <c r="O841" s="47" t="n">
        <v/>
      </c>
      <c r="P841" s="88" t="n"/>
    </row>
    <row r="842" customFormat="1" s="2">
      <c r="A842" s="6" t="n"/>
      <c r="B842" s="4" t="n"/>
      <c r="C842" s="24" t="inlineStr">
        <is>
          <t xml:space="preserve">Wall To Column </t>
        </is>
      </c>
      <c r="D842" s="27" t="n"/>
      <c r="E842" s="28" t="n"/>
      <c r="F842" s="31" t="n"/>
      <c r="G842" s="31" t="n"/>
      <c r="H842" s="31" t="n"/>
      <c r="I842" s="32" t="n"/>
      <c r="J842" s="47">
        <f>PRODUCT(E842:I842)</f>
        <v/>
      </c>
      <c r="K842" s="31" t="n">
        <v/>
      </c>
      <c r="L842" s="31" t="n">
        <v/>
      </c>
      <c r="M842" s="31" t="n">
        <v/>
      </c>
      <c r="N842" s="32" t="n">
        <v/>
      </c>
      <c r="O842" s="47" t="n">
        <v/>
      </c>
      <c r="P842" s="88" t="n"/>
    </row>
    <row r="843" customFormat="1" s="2">
      <c r="A843" s="6" t="n"/>
      <c r="B843" s="4" t="n"/>
      <c r="C843" s="25" t="inlineStr">
        <is>
          <t>Above Partition</t>
        </is>
      </c>
      <c r="D843" s="27" t="inlineStr">
        <is>
          <t xml:space="preserve">Sq.ft </t>
        </is>
      </c>
      <c r="E843" s="28" t="n"/>
      <c r="F843" s="31" t="n">
        <v>1</v>
      </c>
      <c r="G843" s="31" t="n">
        <v>11.73</v>
      </c>
      <c r="H843" s="31" t="n"/>
      <c r="I843" s="32" t="n">
        <v>1.77</v>
      </c>
      <c r="J843" s="47">
        <f>PRODUCT(E843:I843)</f>
        <v/>
      </c>
      <c r="K843" s="31" t="n">
        <v>1</v>
      </c>
      <c r="L843" s="31" t="n">
        <v/>
      </c>
      <c r="M843" s="31" t="n">
        <v/>
      </c>
      <c r="N843" s="32" t="n">
        <v/>
      </c>
      <c r="O843" s="47" t="n">
        <v/>
      </c>
      <c r="P843" s="88" t="n"/>
    </row>
    <row r="844" customFormat="1" s="2">
      <c r="A844" s="6" t="n"/>
      <c r="B844" s="4" t="n"/>
      <c r="C844" s="25" t="inlineStr">
        <is>
          <t>Above Partition</t>
        </is>
      </c>
      <c r="D844" s="27" t="inlineStr">
        <is>
          <t xml:space="preserve">Sq.ft </t>
        </is>
      </c>
      <c r="E844" s="28" t="n"/>
      <c r="F844" s="31" t="n">
        <v>1</v>
      </c>
      <c r="G844" s="31" t="n">
        <v>10.57</v>
      </c>
      <c r="H844" s="31" t="n"/>
      <c r="I844" s="32" t="n">
        <v>1.77</v>
      </c>
      <c r="J844" s="47">
        <f>PRODUCT(E844:I844)</f>
        <v/>
      </c>
      <c r="K844" s="31" t="n">
        <v>1</v>
      </c>
      <c r="L844" s="31" t="n">
        <v/>
      </c>
      <c r="M844" s="31" t="n">
        <v/>
      </c>
      <c r="N844" s="32" t="n">
        <v/>
      </c>
      <c r="O844" s="47" t="n">
        <v/>
      </c>
      <c r="P844" s="88" t="n"/>
    </row>
    <row r="845" customFormat="1" s="2">
      <c r="A845" s="6" t="n"/>
      <c r="B845" s="4" t="n"/>
      <c r="C845" s="24" t="inlineStr">
        <is>
          <t>Beam Panelling</t>
        </is>
      </c>
      <c r="D845" s="27" t="n"/>
      <c r="E845" s="28" t="n"/>
      <c r="F845" s="31" t="n"/>
      <c r="G845" s="31" t="n"/>
      <c r="H845" s="31" t="n"/>
      <c r="I845" s="32" t="n"/>
      <c r="J845" s="47">
        <f>PRODUCT(E845:I845)</f>
        <v/>
      </c>
      <c r="K845" s="31" t="n">
        <v/>
      </c>
      <c r="L845" s="31" t="n">
        <v/>
      </c>
      <c r="M845" s="31" t="n">
        <v/>
      </c>
      <c r="N845" s="32" t="n">
        <v/>
      </c>
      <c r="O845" s="47" t="n">
        <v/>
      </c>
      <c r="P845" s="88" t="n"/>
    </row>
    <row r="846" customFormat="1" s="2">
      <c r="A846" s="6" t="n"/>
      <c r="B846" s="4" t="n"/>
      <c r="C846" s="25" t="inlineStr">
        <is>
          <t>Bottom</t>
        </is>
      </c>
      <c r="D846" s="27" t="inlineStr">
        <is>
          <t>Sq.ft</t>
        </is>
      </c>
      <c r="E846" s="28" t="n"/>
      <c r="F846" s="31" t="n">
        <v>1</v>
      </c>
      <c r="G846" s="31" t="n">
        <v>5.56</v>
      </c>
      <c r="H846" s="31" t="n">
        <v>1.25</v>
      </c>
      <c r="I846" s="32" t="n"/>
      <c r="J846" s="47">
        <f>PRODUCT(E846:I846)</f>
        <v/>
      </c>
      <c r="K846" s="31" t="n">
        <v>1</v>
      </c>
      <c r="L846" s="31" t="n">
        <v/>
      </c>
      <c r="M846" s="31" t="n">
        <v/>
      </c>
      <c r="N846" s="32" t="n">
        <v/>
      </c>
      <c r="O846" s="47" t="n">
        <v/>
      </c>
      <c r="P846" s="88" t="n"/>
    </row>
    <row r="847" customFormat="1" s="2">
      <c r="A847" s="6" t="n"/>
      <c r="B847" s="4" t="n"/>
      <c r="C847" s="25" t="inlineStr">
        <is>
          <t>Top</t>
        </is>
      </c>
      <c r="D847" s="27" t="inlineStr">
        <is>
          <t>Sq.ft</t>
        </is>
      </c>
      <c r="E847" s="28" t="n"/>
      <c r="F847" s="31" t="n">
        <v>1</v>
      </c>
      <c r="G847" s="31" t="n">
        <v>2.5</v>
      </c>
      <c r="H847" s="31" t="n">
        <v>1.25</v>
      </c>
      <c r="I847" s="32" t="n"/>
      <c r="J847" s="47">
        <f>PRODUCT(E847:I847)</f>
        <v/>
      </c>
      <c r="K847" s="31" t="n">
        <v>1</v>
      </c>
      <c r="L847" s="31" t="n">
        <v/>
      </c>
      <c r="M847" s="31" t="n">
        <v/>
      </c>
      <c r="N847" s="32" t="n">
        <v/>
      </c>
      <c r="O847" s="47" t="n">
        <v/>
      </c>
      <c r="P847" s="88" t="n"/>
    </row>
    <row r="848" customFormat="1" s="2">
      <c r="A848" s="6" t="n"/>
      <c r="B848" s="4" t="n"/>
      <c r="C848" s="25" t="inlineStr">
        <is>
          <t>Side</t>
        </is>
      </c>
      <c r="D848" s="27" t="inlineStr">
        <is>
          <t>Sq.ft</t>
        </is>
      </c>
      <c r="E848" s="28" t="n"/>
      <c r="F848" s="31" t="n">
        <v>2</v>
      </c>
      <c r="G848" s="31" t="n">
        <v>2.6</v>
      </c>
      <c r="H848" s="31" t="n"/>
      <c r="I848" s="32" t="n">
        <v>2.75</v>
      </c>
      <c r="J848" s="47">
        <f>PRODUCT(E848:I848)</f>
        <v/>
      </c>
      <c r="K848" s="31" t="n">
        <v>2</v>
      </c>
      <c r="L848" s="31" t="n">
        <v/>
      </c>
      <c r="M848" s="31" t="n">
        <v/>
      </c>
      <c r="N848" s="32" t="n">
        <v/>
      </c>
      <c r="O848" s="47" t="n">
        <v/>
      </c>
      <c r="P848" s="88" t="n"/>
    </row>
    <row r="849" customFormat="1" s="2">
      <c r="A849" s="6" t="n"/>
      <c r="B849" s="4" t="n"/>
      <c r="C849" s="25" t="inlineStr">
        <is>
          <t>Side</t>
        </is>
      </c>
      <c r="D849" s="27" t="inlineStr">
        <is>
          <t>Sq.ft</t>
        </is>
      </c>
      <c r="E849" s="28" t="n"/>
      <c r="F849" s="31" t="n">
        <v>2</v>
      </c>
      <c r="G849" s="31" t="n">
        <v>3</v>
      </c>
      <c r="H849" s="31" t="n"/>
      <c r="I849" s="32" t="n">
        <v>1.67</v>
      </c>
      <c r="J849" s="47">
        <f>PRODUCT(E849:I849)</f>
        <v/>
      </c>
      <c r="K849" s="31" t="n">
        <v>2</v>
      </c>
      <c r="L849" s="31" t="n">
        <v/>
      </c>
      <c r="M849" s="31" t="n">
        <v/>
      </c>
      <c r="N849" s="32" t="n">
        <v/>
      </c>
      <c r="O849" s="47" t="n">
        <v/>
      </c>
      <c r="P849" s="88" t="n"/>
    </row>
    <row r="850" customFormat="1" s="2">
      <c r="A850" s="6" t="n"/>
      <c r="B850" s="4" t="n"/>
      <c r="C850" s="24" t="inlineStr">
        <is>
          <t>Column Area</t>
        </is>
      </c>
      <c r="D850" s="27" t="n"/>
      <c r="E850" s="28" t="n"/>
      <c r="F850" s="31" t="n"/>
      <c r="G850" s="31" t="n"/>
      <c r="H850" s="31" t="n"/>
      <c r="I850" s="32" t="n"/>
      <c r="J850" s="47">
        <f>PRODUCT(E850:I850)</f>
        <v/>
      </c>
      <c r="K850" s="31" t="n">
        <v/>
      </c>
      <c r="L850" s="31" t="n">
        <v/>
      </c>
      <c r="M850" s="31" t="n">
        <v/>
      </c>
      <c r="N850" s="32" t="n">
        <v/>
      </c>
      <c r="O850" s="47" t="n">
        <v/>
      </c>
      <c r="P850" s="88" t="n"/>
    </row>
    <row r="851" customFormat="1" s="2">
      <c r="A851" s="6" t="n"/>
      <c r="B851" s="4" t="n"/>
      <c r="C851" s="25" t="n"/>
      <c r="D851" s="27" t="inlineStr">
        <is>
          <t>Sq.ft</t>
        </is>
      </c>
      <c r="E851" s="28" t="n"/>
      <c r="F851" s="31" t="n">
        <v>1</v>
      </c>
      <c r="G851" s="31" t="n">
        <v>1.25</v>
      </c>
      <c r="H851" s="31" t="n"/>
      <c r="I851" s="32" t="n">
        <v>8</v>
      </c>
      <c r="J851" s="47">
        <f>PRODUCT(E851:I851)</f>
        <v/>
      </c>
      <c r="K851" s="31" t="n">
        <v>1</v>
      </c>
      <c r="L851" s="31" t="n">
        <v/>
      </c>
      <c r="M851" s="31" t="n">
        <v/>
      </c>
      <c r="N851" s="32" t="n">
        <v/>
      </c>
      <c r="O851" s="47" t="n">
        <v/>
      </c>
      <c r="P851" s="88" t="n"/>
    </row>
    <row r="852" customFormat="1" s="2">
      <c r="A852" s="6" t="n"/>
      <c r="B852" s="4" t="n"/>
      <c r="C852" s="25" t="n"/>
      <c r="D852" s="27" t="inlineStr">
        <is>
          <t>Sq.ft</t>
        </is>
      </c>
      <c r="E852" s="28" t="n"/>
      <c r="F852" s="31" t="n">
        <v>1</v>
      </c>
      <c r="G852" s="31" t="n">
        <v>1.25</v>
      </c>
      <c r="H852" s="31" t="n"/>
      <c r="I852" s="32" t="n">
        <v>7</v>
      </c>
      <c r="J852" s="47">
        <f>PRODUCT(E852:I852)</f>
        <v/>
      </c>
      <c r="K852" s="31" t="n">
        <v>1</v>
      </c>
      <c r="L852" s="31" t="n">
        <v/>
      </c>
      <c r="M852" s="31" t="n">
        <v/>
      </c>
      <c r="N852" s="32" t="n">
        <v/>
      </c>
      <c r="O852" s="47" t="n">
        <v/>
      </c>
      <c r="P852" s="88" t="n"/>
    </row>
    <row r="853" customFormat="1" s="2">
      <c r="A853" s="6" t="n"/>
      <c r="B853" s="4" t="n"/>
      <c r="C853" s="25" t="n"/>
      <c r="D853" s="27" t="inlineStr">
        <is>
          <t>Sq.ft</t>
        </is>
      </c>
      <c r="E853" s="28" t="n"/>
      <c r="F853" s="31" t="n">
        <v>2</v>
      </c>
      <c r="G853" s="31" t="n">
        <v>3.67</v>
      </c>
      <c r="H853" s="31" t="n"/>
      <c r="I853" s="32" t="n">
        <v>8.5</v>
      </c>
      <c r="J853" s="47">
        <f>PRODUCT(E853:I853)</f>
        <v/>
      </c>
      <c r="K853" s="31" t="n">
        <v>2</v>
      </c>
      <c r="L853" s="31" t="n">
        <v/>
      </c>
      <c r="M853" s="31" t="n">
        <v/>
      </c>
      <c r="N853" s="32" t="n">
        <v/>
      </c>
      <c r="O853" s="47" t="n">
        <v/>
      </c>
      <c r="P853" s="88" t="n"/>
    </row>
    <row r="854" customFormat="1" s="2">
      <c r="A854" s="6" t="n"/>
      <c r="B854" s="4" t="n"/>
      <c r="C854" s="24" t="inlineStr">
        <is>
          <t>Beam Panelling</t>
        </is>
      </c>
      <c r="D854" s="27" t="n"/>
      <c r="E854" s="28" t="n"/>
      <c r="F854" s="31" t="n"/>
      <c r="G854" s="31" t="n"/>
      <c r="H854" s="31" t="n"/>
      <c r="I854" s="32" t="n"/>
      <c r="J854" s="47">
        <f>PRODUCT(E854:I854)</f>
        <v/>
      </c>
      <c r="K854" s="31" t="n">
        <v/>
      </c>
      <c r="L854" s="31" t="n">
        <v/>
      </c>
      <c r="M854" s="31" t="n">
        <v/>
      </c>
      <c r="N854" s="32" t="n">
        <v/>
      </c>
      <c r="O854" s="47" t="n">
        <v/>
      </c>
      <c r="P854" s="88" t="n"/>
    </row>
    <row r="855" customFormat="1" s="2">
      <c r="A855" s="6" t="n"/>
      <c r="B855" s="4" t="n"/>
      <c r="C855" s="25" t="n"/>
      <c r="D855" s="27" t="inlineStr">
        <is>
          <t>Sq.ft</t>
        </is>
      </c>
      <c r="E855" s="28" t="n"/>
      <c r="F855" s="31" t="n">
        <v>2</v>
      </c>
      <c r="G855" s="31" t="n">
        <v>7.5</v>
      </c>
      <c r="H855" s="31" t="n">
        <v>2</v>
      </c>
      <c r="I855" s="32" t="n"/>
      <c r="J855" s="47">
        <f>PRODUCT(E855:I855)</f>
        <v/>
      </c>
      <c r="K855" s="31" t="n">
        <v>2</v>
      </c>
      <c r="L855" s="31" t="n">
        <v/>
      </c>
      <c r="M855" s="31" t="n">
        <v/>
      </c>
      <c r="N855" s="32" t="n">
        <v/>
      </c>
      <c r="O855" s="47" t="n">
        <v/>
      </c>
      <c r="P855" s="88" t="n"/>
    </row>
    <row r="856" customFormat="1" s="2">
      <c r="A856" s="6" t="n"/>
      <c r="B856" s="4" t="n"/>
      <c r="C856" s="25" t="n"/>
      <c r="D856" s="27" t="inlineStr">
        <is>
          <t>Sq.ft</t>
        </is>
      </c>
      <c r="E856" s="28" t="n"/>
      <c r="F856" s="31" t="n">
        <v>1</v>
      </c>
      <c r="G856" s="31" t="n">
        <v>7.5</v>
      </c>
      <c r="H856" s="31" t="n">
        <v>1.25</v>
      </c>
      <c r="I856" s="32" t="n"/>
      <c r="J856" s="47">
        <f>PRODUCT(E856:I856)</f>
        <v/>
      </c>
      <c r="K856" s="31" t="n">
        <v>1</v>
      </c>
      <c r="L856" s="31" t="n">
        <v/>
      </c>
      <c r="M856" s="31" t="n">
        <v/>
      </c>
      <c r="N856" s="32" t="n">
        <v/>
      </c>
      <c r="O856" s="47" t="n">
        <v/>
      </c>
      <c r="P856" s="88" t="n"/>
    </row>
    <row r="857" customFormat="1" s="2">
      <c r="A857" s="6" t="n"/>
      <c r="B857" s="4" t="n"/>
      <c r="C857" s="4" t="n"/>
      <c r="D857" s="7" t="n"/>
      <c r="E857" s="17" t="n"/>
      <c r="F857" s="20" t="n"/>
      <c r="G857" s="47" t="n"/>
      <c r="H857" s="47" t="n"/>
      <c r="I857" s="47" t="n"/>
      <c r="J857" s="47">
        <f>PRODUCT(E857:I857)</f>
        <v/>
      </c>
      <c r="K857" s="20" t="n">
        <v/>
      </c>
      <c r="L857" s="47" t="n">
        <v/>
      </c>
      <c r="M857" s="47" t="n">
        <v/>
      </c>
      <c r="N857" s="47" t="n">
        <v/>
      </c>
      <c r="O857" s="47" t="n">
        <v/>
      </c>
      <c r="P857" s="88" t="n"/>
    </row>
    <row r="858" customFormat="1" s="2">
      <c r="A858" s="112" t="n"/>
      <c r="B858" s="112" t="n"/>
      <c r="C858" s="112" t="inlineStr">
        <is>
          <t>Total Qty</t>
        </is>
      </c>
      <c r="D858" s="120" t="n"/>
      <c r="E858" s="121" t="n"/>
      <c r="F858" s="123" t="n"/>
      <c r="G858" s="123" t="n"/>
      <c r="H858" s="123" t="n"/>
      <c r="I858" s="123" t="n"/>
      <c r="J858" s="123">
        <f>ROUND(SUM(J781:J857),)</f>
        <v/>
      </c>
      <c r="K858" s="123" t="n">
        <v/>
      </c>
      <c r="L858" s="123" t="n">
        <v/>
      </c>
      <c r="M858" s="123" t="n">
        <v/>
      </c>
      <c r="N858" s="123" t="n">
        <v/>
      </c>
      <c r="O858" s="123" t="n">
        <v/>
      </c>
      <c r="P858" s="88" t="n"/>
    </row>
    <row r="859" customFormat="1" s="2">
      <c r="A859" s="6" t="n"/>
      <c r="B859" s="4" t="n"/>
      <c r="C859" s="4" t="n"/>
      <c r="D859" s="7" t="n"/>
      <c r="E859" s="17" t="n"/>
      <c r="F859" s="20" t="n"/>
      <c r="G859" s="47" t="n"/>
      <c r="H859" s="47" t="n"/>
      <c r="I859" s="47" t="n"/>
      <c r="J859" s="47" t="n"/>
      <c r="K859" s="20" t="n">
        <v/>
      </c>
      <c r="L859" s="47" t="n">
        <v/>
      </c>
      <c r="M859" s="47" t="n">
        <v/>
      </c>
      <c r="N859" s="47" t="n">
        <v/>
      </c>
      <c r="O859" s="47" t="n">
        <v/>
      </c>
      <c r="P859" s="88" t="n"/>
    </row>
    <row r="860" ht="69" customFormat="1" customHeight="1" s="2">
      <c r="A860" s="6">
        <f>A780+1</f>
        <v/>
      </c>
      <c r="B860" s="4" t="inlineStr">
        <is>
          <t>ACP Panellings at Entrance</t>
        </is>
      </c>
      <c r="C860" s="4" t="inlineStr">
        <is>
          <t>Providing &amp;fixing of Exterior grade 3mm Thick Aluminum Composite Panel [ACP] in silver grey as per approved shade with Aluminium framing of 2 x 1
, Weather sealant including all necessary hardware etc. complete as directed</t>
        </is>
      </c>
      <c r="D860" s="5" t="inlineStr">
        <is>
          <t>sft</t>
        </is>
      </c>
      <c r="E860" s="16" t="n">
        <v>740</v>
      </c>
      <c r="F860" s="20" t="n"/>
      <c r="G860" s="47" t="n"/>
      <c r="H860" s="47" t="n"/>
      <c r="I860" s="47" t="n"/>
      <c r="J860" s="47" t="n"/>
      <c r="K860" s="20" t="n">
        <v/>
      </c>
      <c r="L860" s="47" t="n">
        <v/>
      </c>
      <c r="M860" s="47" t="n">
        <v/>
      </c>
      <c r="N860" s="47" t="n">
        <v/>
      </c>
      <c r="O860" s="47" t="n">
        <v/>
      </c>
      <c r="P860" s="88" t="n"/>
    </row>
    <row r="861" customFormat="1" s="2">
      <c r="A861" s="6" t="n"/>
      <c r="B861" s="4" t="n"/>
      <c r="C861" s="14" t="inlineStr">
        <is>
          <t>Main Enterance Area</t>
        </is>
      </c>
      <c r="D861" s="5" t="n"/>
      <c r="E861" s="16" t="n"/>
      <c r="F861" s="20" t="n"/>
      <c r="G861" s="47" t="n"/>
      <c r="H861" s="47" t="n"/>
      <c r="I861" s="47" t="n"/>
      <c r="J861" s="47">
        <f>PRODUCT(E861:I861)</f>
        <v/>
      </c>
      <c r="K861" s="20" t="n">
        <v/>
      </c>
      <c r="L861" s="47" t="n">
        <v/>
      </c>
      <c r="M861" s="47" t="n">
        <v/>
      </c>
      <c r="N861" s="47" t="n">
        <v/>
      </c>
      <c r="O861" s="47" t="n">
        <v/>
      </c>
      <c r="P861" s="88" t="n"/>
    </row>
    <row r="862" customFormat="1" s="2">
      <c r="A862" s="6" t="n"/>
      <c r="B862" s="4" t="n"/>
      <c r="C862" s="4" t="inlineStr">
        <is>
          <t>Above Glass</t>
        </is>
      </c>
      <c r="D862" s="5" t="inlineStr">
        <is>
          <t>Sq.ft</t>
        </is>
      </c>
      <c r="E862" s="16" t="n"/>
      <c r="F862" s="20" t="n">
        <v>3</v>
      </c>
      <c r="G862" s="47" t="n">
        <v>10</v>
      </c>
      <c r="H862" s="47" t="n"/>
      <c r="I862" s="47" t="n">
        <v>1</v>
      </c>
      <c r="J862" s="47">
        <f>PRODUCT(E862:I862)</f>
        <v/>
      </c>
      <c r="K862" s="20" t="n">
        <v>3</v>
      </c>
      <c r="L862" s="47" t="n">
        <v/>
      </c>
      <c r="M862" s="47" t="n">
        <v/>
      </c>
      <c r="N862" s="47" t="n">
        <v/>
      </c>
      <c r="O862" s="47" t="n">
        <v/>
      </c>
      <c r="P862" s="88" t="n"/>
    </row>
    <row r="863" customFormat="1" s="2">
      <c r="A863" s="6" t="n"/>
      <c r="B863" s="4" t="n"/>
      <c r="C863" s="4" t="inlineStr">
        <is>
          <t>Bottom</t>
        </is>
      </c>
      <c r="D863" s="5" t="inlineStr">
        <is>
          <t>Sq.ft</t>
        </is>
      </c>
      <c r="E863" s="16" t="n"/>
      <c r="F863" s="20" t="n">
        <v>3</v>
      </c>
      <c r="G863" s="47" t="n">
        <v>10</v>
      </c>
      <c r="H863" s="47" t="n">
        <v>0.42</v>
      </c>
      <c r="I863" s="47" t="n"/>
      <c r="J863" s="47">
        <f>PRODUCT(E863:I863)</f>
        <v/>
      </c>
      <c r="K863" s="20" t="n">
        <v>3</v>
      </c>
      <c r="L863" s="47" t="n">
        <v/>
      </c>
      <c r="M863" s="47" t="n">
        <v/>
      </c>
      <c r="N863" s="47" t="n">
        <v/>
      </c>
      <c r="O863" s="47" t="n">
        <v/>
      </c>
      <c r="P863" s="88" t="n"/>
    </row>
    <row r="864" customFormat="1" s="2">
      <c r="A864" s="6" t="n"/>
      <c r="B864" s="4" t="n"/>
      <c r="C864" s="4" t="inlineStr">
        <is>
          <t>Side's</t>
        </is>
      </c>
      <c r="D864" s="5" t="inlineStr">
        <is>
          <t>Sq.ft</t>
        </is>
      </c>
      <c r="E864" s="16" t="n"/>
      <c r="F864" s="20">
        <f>2*3</f>
        <v/>
      </c>
      <c r="G864" s="47">
        <f>51/12</f>
        <v/>
      </c>
      <c r="H864" s="47" t="n"/>
      <c r="I864" s="47">
        <f>6.5/12</f>
        <v/>
      </c>
      <c r="J864" s="47">
        <f>PRODUCT(E864:I864)</f>
        <v/>
      </c>
      <c r="K864" s="20" t="n">
        <v>6</v>
      </c>
      <c r="L864" s="47" t="n">
        <v/>
      </c>
      <c r="M864" s="47" t="n">
        <v/>
      </c>
      <c r="N864" s="47" t="n">
        <v/>
      </c>
      <c r="O864" s="47" t="n">
        <v/>
      </c>
      <c r="P864" s="88" t="n"/>
    </row>
    <row r="865" customFormat="1" s="2">
      <c r="A865" s="6" t="n"/>
      <c r="B865" s="4" t="n"/>
      <c r="C865" s="4" t="n"/>
      <c r="D865" s="5" t="n"/>
      <c r="E865" s="16" t="n"/>
      <c r="F865" s="20" t="n"/>
      <c r="G865" s="47" t="n"/>
      <c r="H865" s="47" t="n"/>
      <c r="I865" s="47" t="n"/>
      <c r="J865" s="47">
        <f>PRODUCT(E865:I865)</f>
        <v/>
      </c>
      <c r="K865" s="20" t="n">
        <v/>
      </c>
      <c r="L865" s="47" t="n">
        <v/>
      </c>
      <c r="M865" s="47" t="n">
        <v/>
      </c>
      <c r="N865" s="47" t="n">
        <v/>
      </c>
      <c r="O865" s="47" t="n">
        <v/>
      </c>
      <c r="P865" s="88" t="n"/>
    </row>
    <row r="866" customFormat="1" s="2">
      <c r="A866" s="6" t="n"/>
      <c r="B866" s="4" t="n"/>
      <c r="C866" s="4" t="inlineStr">
        <is>
          <t>Above Glass</t>
        </is>
      </c>
      <c r="D866" s="5" t="inlineStr">
        <is>
          <t>Sq.ft</t>
        </is>
      </c>
      <c r="E866" s="16" t="n"/>
      <c r="F866" s="20">
        <f>2*3</f>
        <v/>
      </c>
      <c r="G866" s="47" t="n">
        <v>10</v>
      </c>
      <c r="H866" s="47" t="n">
        <v>0.42</v>
      </c>
      <c r="I866" s="47" t="n"/>
      <c r="J866" s="47">
        <f>PRODUCT(E866:I866)</f>
        <v/>
      </c>
      <c r="K866" s="20" t="n">
        <v>6</v>
      </c>
      <c r="L866" s="47" t="n">
        <v/>
      </c>
      <c r="M866" s="47" t="n">
        <v/>
      </c>
      <c r="N866" s="47" t="n">
        <v/>
      </c>
      <c r="O866" s="47" t="n">
        <v/>
      </c>
      <c r="P866" s="88" t="n"/>
    </row>
    <row r="867" customFormat="1" s="2">
      <c r="A867" s="6" t="n"/>
      <c r="B867" s="4" t="n"/>
      <c r="C867" s="4" t="inlineStr">
        <is>
          <t>Vertical</t>
        </is>
      </c>
      <c r="D867" s="5" t="inlineStr">
        <is>
          <t>Sq.ft</t>
        </is>
      </c>
      <c r="E867" s="16" t="n"/>
      <c r="F867" s="20" t="n">
        <v>3</v>
      </c>
      <c r="G867" s="47" t="n">
        <v>10.25</v>
      </c>
      <c r="H867" s="47" t="n"/>
      <c r="I867" s="47" t="n">
        <v>2.5</v>
      </c>
      <c r="J867" s="47">
        <f>PRODUCT(E867:I867)</f>
        <v/>
      </c>
      <c r="K867" s="20" t="n">
        <v>3</v>
      </c>
      <c r="L867" s="47" t="n">
        <v/>
      </c>
      <c r="M867" s="47" t="n">
        <v/>
      </c>
      <c r="N867" s="47" t="n">
        <v/>
      </c>
      <c r="O867" s="47" t="n">
        <v/>
      </c>
      <c r="P867" s="88" t="n"/>
    </row>
    <row r="868" customFormat="1" s="2">
      <c r="A868" s="6" t="n"/>
      <c r="B868" s="4" t="n"/>
      <c r="C868" s="4" t="inlineStr">
        <is>
          <t>Side's</t>
        </is>
      </c>
      <c r="D868" s="5" t="inlineStr">
        <is>
          <t>Sq.ft</t>
        </is>
      </c>
      <c r="E868" s="16" t="n"/>
      <c r="F868" s="20">
        <f>2*3</f>
        <v/>
      </c>
      <c r="G868" s="47" t="n">
        <v>8</v>
      </c>
      <c r="H868" s="47" t="n"/>
      <c r="I868" s="47">
        <f>6.5/12</f>
        <v/>
      </c>
      <c r="J868" s="47">
        <f>PRODUCT(E868:I868)</f>
        <v/>
      </c>
      <c r="K868" s="20" t="n">
        <v>6</v>
      </c>
      <c r="L868" s="47" t="n">
        <v/>
      </c>
      <c r="M868" s="47" t="n">
        <v/>
      </c>
      <c r="N868" s="47" t="n">
        <v/>
      </c>
      <c r="O868" s="47" t="n">
        <v/>
      </c>
      <c r="P868" s="88" t="n"/>
    </row>
    <row r="869" customFormat="1" s="2">
      <c r="A869" s="6" t="n"/>
      <c r="B869" s="4" t="n"/>
      <c r="C869" s="4" t="n"/>
      <c r="D869" s="5" t="n"/>
      <c r="E869" s="16" t="n"/>
      <c r="F869" s="20" t="n"/>
      <c r="G869" s="47" t="n"/>
      <c r="H869" s="47" t="n"/>
      <c r="I869" s="47" t="n"/>
      <c r="J869" s="47">
        <f>PRODUCT(E869:I869)</f>
        <v/>
      </c>
      <c r="K869" s="20" t="n">
        <v/>
      </c>
      <c r="L869" s="47" t="n">
        <v/>
      </c>
      <c r="M869" s="47" t="n">
        <v/>
      </c>
      <c r="N869" s="47" t="n">
        <v/>
      </c>
      <c r="O869" s="47" t="n">
        <v/>
      </c>
      <c r="P869" s="88" t="n"/>
    </row>
    <row r="870" customFormat="1" s="2">
      <c r="A870" s="6" t="n"/>
      <c r="B870" s="4" t="n"/>
      <c r="C870" s="4" t="inlineStr">
        <is>
          <t>Ceiling Area</t>
        </is>
      </c>
      <c r="D870" s="5" t="inlineStr">
        <is>
          <t>Sq.ft</t>
        </is>
      </c>
      <c r="E870" s="16" t="n"/>
      <c r="F870" s="20" t="n">
        <v>1</v>
      </c>
      <c r="G870" s="47" t="n">
        <v>13.08</v>
      </c>
      <c r="H870" s="47">
        <f>27/12</f>
        <v/>
      </c>
      <c r="I870" s="47" t="n"/>
      <c r="J870" s="47">
        <f>PRODUCT(E870:I870)</f>
        <v/>
      </c>
      <c r="K870" s="20" t="n">
        <v>1</v>
      </c>
      <c r="L870" s="47" t="n">
        <v/>
      </c>
      <c r="M870" s="47" t="n">
        <v/>
      </c>
      <c r="N870" s="47" t="n">
        <v/>
      </c>
      <c r="O870" s="47" t="n">
        <v/>
      </c>
      <c r="P870" s="88" t="n"/>
    </row>
    <row r="871" customFormat="1" s="2">
      <c r="A871" s="6" t="n"/>
      <c r="B871" s="4" t="n"/>
      <c r="C871" s="4" t="n"/>
      <c r="D871" s="5" t="inlineStr">
        <is>
          <t>Sq.ft</t>
        </is>
      </c>
      <c r="E871" s="16" t="n"/>
      <c r="F871" s="20" t="n">
        <v>1</v>
      </c>
      <c r="G871" s="47" t="n">
        <v>10.25</v>
      </c>
      <c r="H871" s="47">
        <f>14.5/12</f>
        <v/>
      </c>
      <c r="I871" s="47" t="n"/>
      <c r="J871" s="47">
        <f>PRODUCT(E871:I871)</f>
        <v/>
      </c>
      <c r="K871" s="20" t="n">
        <v>1</v>
      </c>
      <c r="L871" s="47" t="n">
        <v/>
      </c>
      <c r="M871" s="47" t="n">
        <v/>
      </c>
      <c r="N871" s="47" t="n">
        <v/>
      </c>
      <c r="O871" s="47" t="n">
        <v/>
      </c>
      <c r="P871" s="88" t="n"/>
    </row>
    <row r="872" customFormat="1" s="2">
      <c r="A872" s="6" t="n"/>
      <c r="B872" s="4" t="n"/>
      <c r="C872" s="4" t="n"/>
      <c r="D872" s="5" t="inlineStr">
        <is>
          <t>Sq.ft</t>
        </is>
      </c>
      <c r="E872" s="16" t="n"/>
      <c r="F872" s="20" t="n">
        <v>1</v>
      </c>
      <c r="G872" s="47" t="n">
        <v>4.25</v>
      </c>
      <c r="H872" s="47">
        <f>37/12</f>
        <v/>
      </c>
      <c r="I872" s="47" t="n"/>
      <c r="J872" s="47">
        <f>PRODUCT(E872:I872)</f>
        <v/>
      </c>
      <c r="K872" s="20" t="n">
        <v>1</v>
      </c>
      <c r="L872" s="47" t="n">
        <v/>
      </c>
      <c r="M872" s="47" t="n">
        <v/>
      </c>
      <c r="N872" s="47" t="n">
        <v/>
      </c>
      <c r="O872" s="47" t="n">
        <v/>
      </c>
      <c r="P872" s="88" t="n"/>
    </row>
    <row r="873" customFormat="1" s="2">
      <c r="A873" s="6" t="n"/>
      <c r="B873" s="4" t="n"/>
      <c r="C873" s="4" t="n"/>
      <c r="D873" s="5" t="inlineStr">
        <is>
          <t>Sq.ft</t>
        </is>
      </c>
      <c r="E873" s="16" t="n"/>
      <c r="F873" s="20" t="n">
        <v>1</v>
      </c>
      <c r="G873" s="47" t="n">
        <v>12</v>
      </c>
      <c r="H873" s="47">
        <f>(27+18)/12</f>
        <v/>
      </c>
      <c r="I873" s="47" t="n"/>
      <c r="J873" s="47">
        <f>PRODUCT(E873:I873)</f>
        <v/>
      </c>
      <c r="K873" s="20" t="n">
        <v>1</v>
      </c>
      <c r="L873" s="47" t="n">
        <v/>
      </c>
      <c r="M873" s="47" t="n">
        <v/>
      </c>
      <c r="N873" s="47" t="n">
        <v/>
      </c>
      <c r="O873" s="47" t="n">
        <v/>
      </c>
      <c r="P873" s="88" t="n"/>
    </row>
    <row r="874" customFormat="1" s="2">
      <c r="A874" s="6" t="n"/>
      <c r="B874" s="4" t="n"/>
      <c r="C874" s="4" t="n"/>
      <c r="D874" s="5" t="inlineStr">
        <is>
          <t>Sq.ft</t>
        </is>
      </c>
      <c r="E874" s="16" t="n"/>
      <c r="F874" s="20" t="n">
        <v>1</v>
      </c>
      <c r="G874" s="47" t="n">
        <v>11.19</v>
      </c>
      <c r="H874" s="47">
        <f>(27+10+18+13)/12</f>
        <v/>
      </c>
      <c r="I874" s="47" t="n"/>
      <c r="J874" s="47">
        <f>PRODUCT(E874:I874)</f>
        <v/>
      </c>
      <c r="K874" s="20" t="n">
        <v>1</v>
      </c>
      <c r="L874" s="47" t="n">
        <v/>
      </c>
      <c r="M874" s="47" t="n">
        <v/>
      </c>
      <c r="N874" s="47" t="n">
        <v/>
      </c>
      <c r="O874" s="47" t="n">
        <v/>
      </c>
      <c r="P874" s="88" t="n"/>
    </row>
    <row r="875" customFormat="1" s="2">
      <c r="A875" s="6" t="n"/>
      <c r="B875" s="4" t="n"/>
      <c r="C875" s="14" t="inlineStr">
        <is>
          <t>Shuter Side</t>
        </is>
      </c>
      <c r="D875" s="5" t="n"/>
      <c r="E875" s="16" t="n"/>
      <c r="F875" s="20" t="n"/>
      <c r="G875" s="47" t="n"/>
      <c r="H875" s="47" t="n"/>
      <c r="I875" s="47" t="n"/>
      <c r="J875" s="47">
        <f>PRODUCT(E875:I875)</f>
        <v/>
      </c>
      <c r="K875" s="20" t="n">
        <v/>
      </c>
      <c r="L875" s="47" t="n">
        <v/>
      </c>
      <c r="M875" s="47" t="n">
        <v/>
      </c>
      <c r="N875" s="47" t="n">
        <v/>
      </c>
      <c r="O875" s="47" t="n">
        <v/>
      </c>
      <c r="P875" s="88" t="n"/>
    </row>
    <row r="876" customFormat="1" s="2">
      <c r="A876" s="6" t="n"/>
      <c r="B876" s="4" t="n"/>
      <c r="C876" s="4" t="inlineStr">
        <is>
          <t>Vertical</t>
        </is>
      </c>
      <c r="D876" s="5" t="inlineStr">
        <is>
          <t>Sq.ft</t>
        </is>
      </c>
      <c r="E876" s="16" t="n"/>
      <c r="F876" s="20" t="n">
        <v>1</v>
      </c>
      <c r="G876" s="47" t="n">
        <v>10.25</v>
      </c>
      <c r="H876" s="47" t="n"/>
      <c r="I876" s="47" t="n">
        <v>0.25</v>
      </c>
      <c r="J876" s="47">
        <f>PRODUCT(E876:I876)</f>
        <v/>
      </c>
      <c r="K876" s="20" t="n">
        <v>1</v>
      </c>
      <c r="L876" s="47" t="n">
        <v/>
      </c>
      <c r="M876" s="47" t="n">
        <v/>
      </c>
      <c r="N876" s="47" t="n">
        <v/>
      </c>
      <c r="O876" s="47" t="n">
        <v/>
      </c>
      <c r="P876" s="88" t="n"/>
    </row>
    <row r="877" customFormat="1" s="2">
      <c r="A877" s="6" t="n"/>
      <c r="B877" s="4" t="n"/>
      <c r="C877" s="4" t="inlineStr">
        <is>
          <t>Vertical</t>
        </is>
      </c>
      <c r="D877" s="5" t="inlineStr">
        <is>
          <t>Sq.ft</t>
        </is>
      </c>
      <c r="E877" s="16" t="n"/>
      <c r="F877" s="20" t="n">
        <v>1</v>
      </c>
      <c r="G877" s="47">
        <f>10/12</f>
        <v/>
      </c>
      <c r="H877" s="47" t="n"/>
      <c r="I877" s="47" t="n">
        <v>0.25</v>
      </c>
      <c r="J877" s="47">
        <f>PRODUCT(E877:I877)</f>
        <v/>
      </c>
      <c r="K877" s="20" t="n">
        <v>1</v>
      </c>
      <c r="L877" s="47" t="n">
        <v/>
      </c>
      <c r="M877" s="47" t="n">
        <v/>
      </c>
      <c r="N877" s="47" t="n">
        <v/>
      </c>
      <c r="O877" s="47" t="n">
        <v/>
      </c>
      <c r="P877" s="88" t="n"/>
    </row>
    <row r="878" customFormat="1" s="2">
      <c r="A878" s="6" t="n"/>
      <c r="B878" s="4" t="n"/>
      <c r="C878" s="4" t="n"/>
      <c r="D878" s="5" t="n"/>
      <c r="E878" s="16" t="n"/>
      <c r="F878" s="20" t="n"/>
      <c r="G878" s="47" t="n"/>
      <c r="H878" s="47" t="n"/>
      <c r="I878" s="47" t="n"/>
      <c r="J878" s="47">
        <f>PRODUCT(E878:I878)</f>
        <v/>
      </c>
      <c r="K878" s="20" t="n">
        <v/>
      </c>
      <c r="L878" s="47" t="n">
        <v/>
      </c>
      <c r="M878" s="47" t="n">
        <v/>
      </c>
      <c r="N878" s="47" t="n">
        <v/>
      </c>
      <c r="O878" s="47" t="n">
        <v/>
      </c>
      <c r="P878" s="88" t="n"/>
    </row>
    <row r="879" customFormat="1" s="2">
      <c r="A879" s="6" t="n"/>
      <c r="B879" s="4" t="n"/>
      <c r="C879" s="4" t="inlineStr">
        <is>
          <t>Vertical</t>
        </is>
      </c>
      <c r="D879" s="5" t="inlineStr">
        <is>
          <t>Sq.ft</t>
        </is>
      </c>
      <c r="E879" s="16" t="n"/>
      <c r="F879" s="20" t="n">
        <v>1</v>
      </c>
      <c r="G879" s="47" t="n">
        <v>10.25</v>
      </c>
      <c r="H879" s="47" t="n"/>
      <c r="I879" s="47" t="n">
        <v>0.25</v>
      </c>
      <c r="J879" s="47">
        <f>PRODUCT(E879:I879)</f>
        <v/>
      </c>
      <c r="K879" s="20" t="n">
        <v>1</v>
      </c>
      <c r="L879" s="47" t="n">
        <v/>
      </c>
      <c r="M879" s="47" t="n">
        <v/>
      </c>
      <c r="N879" s="47" t="n">
        <v/>
      </c>
      <c r="O879" s="47" t="n">
        <v/>
      </c>
      <c r="P879" s="88" t="n"/>
    </row>
    <row r="880" customFormat="1" s="2">
      <c r="A880" s="6" t="n"/>
      <c r="B880" s="4" t="n"/>
      <c r="C880" s="4" t="inlineStr">
        <is>
          <t>Vertical</t>
        </is>
      </c>
      <c r="D880" s="5" t="inlineStr">
        <is>
          <t>Sq.ft</t>
        </is>
      </c>
      <c r="E880" s="16" t="n"/>
      <c r="F880" s="20" t="n">
        <v>1</v>
      </c>
      <c r="G880" s="47">
        <f>18/12</f>
        <v/>
      </c>
      <c r="H880" s="47" t="n"/>
      <c r="I880" s="47" t="n">
        <v>0.25</v>
      </c>
      <c r="J880" s="47">
        <f>PRODUCT(E880:I880)</f>
        <v/>
      </c>
      <c r="K880" s="20" t="n">
        <v>1</v>
      </c>
      <c r="L880" s="47" t="n">
        <v/>
      </c>
      <c r="M880" s="47" t="n">
        <v/>
      </c>
      <c r="N880" s="47" t="n">
        <v/>
      </c>
      <c r="O880" s="47" t="n">
        <v/>
      </c>
      <c r="P880" s="88" t="n"/>
    </row>
    <row r="881" customFormat="1" s="2">
      <c r="A881" s="6" t="n"/>
      <c r="B881" s="4" t="n"/>
      <c r="C881" s="4" t="n"/>
      <c r="D881" s="5" t="n"/>
      <c r="E881" s="16" t="n"/>
      <c r="F881" s="20" t="n"/>
      <c r="G881" s="47" t="n"/>
      <c r="H881" s="47" t="n"/>
      <c r="I881" s="47" t="n"/>
      <c r="J881" s="47">
        <f>PRODUCT(E881:I881)</f>
        <v/>
      </c>
      <c r="K881" s="20" t="n">
        <v/>
      </c>
      <c r="L881" s="47" t="n">
        <v/>
      </c>
      <c r="M881" s="47" t="n">
        <v/>
      </c>
      <c r="N881" s="47" t="n">
        <v/>
      </c>
      <c r="O881" s="47" t="n">
        <v/>
      </c>
      <c r="P881" s="88" t="n"/>
    </row>
    <row r="882" customFormat="1" s="2">
      <c r="A882" s="6" t="n"/>
      <c r="B882" s="4" t="n"/>
      <c r="C882" s="4" t="inlineStr">
        <is>
          <t>Vertical</t>
        </is>
      </c>
      <c r="D882" s="5" t="inlineStr">
        <is>
          <t>Sq.ft</t>
        </is>
      </c>
      <c r="E882" s="16" t="n"/>
      <c r="F882" s="20" t="n">
        <v>1</v>
      </c>
      <c r="G882" s="47" t="n">
        <v>10</v>
      </c>
      <c r="H882" s="47" t="n"/>
      <c r="I882" s="47" t="n">
        <v>0.25</v>
      </c>
      <c r="J882" s="47">
        <f>PRODUCT(E882:I882)</f>
        <v/>
      </c>
      <c r="K882" s="20" t="n">
        <v>1</v>
      </c>
      <c r="L882" s="47" t="n">
        <v/>
      </c>
      <c r="M882" s="47" t="n">
        <v/>
      </c>
      <c r="N882" s="47" t="n">
        <v/>
      </c>
      <c r="O882" s="47" t="n">
        <v/>
      </c>
      <c r="P882" s="88" t="n"/>
    </row>
    <row r="883" customFormat="1" s="2">
      <c r="A883" s="6" t="n"/>
      <c r="B883" s="4" t="n"/>
      <c r="C883" s="4" t="inlineStr">
        <is>
          <t>Vertical</t>
        </is>
      </c>
      <c r="D883" s="5" t="inlineStr">
        <is>
          <t>Sq.ft</t>
        </is>
      </c>
      <c r="E883" s="16" t="n"/>
      <c r="F883" s="20" t="n">
        <v>1</v>
      </c>
      <c r="G883" s="47">
        <f>13/12</f>
        <v/>
      </c>
      <c r="H883" s="47" t="n"/>
      <c r="I883" s="47" t="n">
        <v>0.25</v>
      </c>
      <c r="J883" s="47">
        <f>PRODUCT(E883:I883)</f>
        <v/>
      </c>
      <c r="K883" s="20" t="n">
        <v>1</v>
      </c>
      <c r="L883" s="47" t="n">
        <v/>
      </c>
      <c r="M883" s="47" t="n">
        <v/>
      </c>
      <c r="N883" s="47" t="n">
        <v/>
      </c>
      <c r="O883" s="47" t="n">
        <v/>
      </c>
      <c r="P883" s="88" t="n"/>
    </row>
    <row r="884" customFormat="1" s="2">
      <c r="A884" s="6" t="n"/>
      <c r="B884" s="4" t="n"/>
      <c r="C884" s="4" t="n"/>
      <c r="D884" s="5" t="n"/>
      <c r="E884" s="16" t="n"/>
      <c r="F884" s="20" t="n"/>
      <c r="G884" s="47" t="n"/>
      <c r="H884" s="47" t="n"/>
      <c r="I884" s="47" t="n"/>
      <c r="J884" s="47">
        <f>PRODUCT(E884:I884)</f>
        <v/>
      </c>
      <c r="K884" s="20" t="n">
        <v/>
      </c>
      <c r="L884" s="47" t="n">
        <v/>
      </c>
      <c r="M884" s="47" t="n">
        <v/>
      </c>
      <c r="N884" s="47" t="n">
        <v/>
      </c>
      <c r="O884" s="47" t="n">
        <v/>
      </c>
      <c r="P884" s="88" t="n"/>
    </row>
    <row r="885" customFormat="1" s="2">
      <c r="A885" s="6" t="n"/>
      <c r="B885" s="4" t="n"/>
      <c r="C885" s="4" t="inlineStr">
        <is>
          <t>Facia Vertical</t>
        </is>
      </c>
      <c r="D885" s="5" t="inlineStr">
        <is>
          <t>Sq.ft</t>
        </is>
      </c>
      <c r="E885" s="16" t="n"/>
      <c r="F885" s="20" t="n">
        <v>1</v>
      </c>
      <c r="G885" s="47">
        <f>13.08+4.25+12+11.19</f>
        <v/>
      </c>
      <c r="H885" s="47" t="n"/>
      <c r="I885" s="47" t="n">
        <v>3</v>
      </c>
      <c r="J885" s="47">
        <f>PRODUCT(E885:I885)</f>
        <v/>
      </c>
      <c r="K885" s="20" t="n">
        <v>1</v>
      </c>
      <c r="L885" s="47" t="n">
        <v/>
      </c>
      <c r="M885" s="47" t="n">
        <v/>
      </c>
      <c r="N885" s="47" t="n">
        <v/>
      </c>
      <c r="O885" s="47" t="n">
        <v/>
      </c>
      <c r="P885" s="88" t="n"/>
    </row>
    <row r="886" customFormat="1" s="2">
      <c r="A886" s="6" t="n"/>
      <c r="B886" s="4" t="n"/>
      <c r="C886" s="4" t="inlineStr">
        <is>
          <t>Side's</t>
        </is>
      </c>
      <c r="D886" s="5" t="inlineStr">
        <is>
          <t>Sq.ft</t>
        </is>
      </c>
      <c r="E886" s="16" t="n"/>
      <c r="F886" s="20" t="n">
        <v>1</v>
      </c>
      <c r="G886" s="47">
        <f>27/12+9/12+18/12+13/12</f>
        <v/>
      </c>
      <c r="H886" s="47" t="n"/>
      <c r="I886" s="47" t="n">
        <v>3</v>
      </c>
      <c r="J886" s="47">
        <f>PRODUCT(E886:I886)</f>
        <v/>
      </c>
      <c r="K886" s="20" t="n">
        <v>1</v>
      </c>
      <c r="L886" s="47" t="n">
        <v/>
      </c>
      <c r="M886" s="47" t="n">
        <v/>
      </c>
      <c r="N886" s="47" t="n">
        <v/>
      </c>
      <c r="O886" s="47" t="n">
        <v/>
      </c>
      <c r="P886" s="88" t="n"/>
    </row>
    <row r="887" customFormat="1" s="2">
      <c r="A887" s="6" t="n"/>
      <c r="B887" s="4" t="n"/>
      <c r="C887" s="4" t="inlineStr">
        <is>
          <t>Side's</t>
        </is>
      </c>
      <c r="D887" s="5" t="inlineStr">
        <is>
          <t>Sq.ft</t>
        </is>
      </c>
      <c r="E887" s="16" t="n"/>
      <c r="F887" s="20" t="n">
        <v>1</v>
      </c>
      <c r="G887" s="47">
        <f>27/12</f>
        <v/>
      </c>
      <c r="H887" s="47" t="n"/>
      <c r="I887" s="47" t="n">
        <v>3</v>
      </c>
      <c r="J887" s="47">
        <f>PRODUCT(E887:I887)</f>
        <v/>
      </c>
      <c r="K887" s="20" t="n">
        <v>1</v>
      </c>
      <c r="L887" s="47" t="n">
        <v/>
      </c>
      <c r="M887" s="47" t="n">
        <v/>
      </c>
      <c r="N887" s="47" t="n">
        <v/>
      </c>
      <c r="O887" s="47" t="n">
        <v/>
      </c>
      <c r="P887" s="88" t="n"/>
    </row>
    <row r="888" customFormat="1" s="2">
      <c r="A888" s="6" t="n"/>
      <c r="B888" s="4" t="n"/>
      <c r="C888" s="4" t="inlineStr">
        <is>
          <t>Full Height Vertical</t>
        </is>
      </c>
      <c r="D888" s="5" t="n"/>
      <c r="E888" s="16" t="n"/>
      <c r="F888" s="20" t="n"/>
      <c r="G888" s="47" t="n"/>
      <c r="H888" s="47" t="n"/>
      <c r="I888" s="47" t="n"/>
      <c r="J888" s="47">
        <f>PRODUCT(E888:I888)</f>
        <v/>
      </c>
      <c r="K888" s="20" t="n">
        <v/>
      </c>
      <c r="L888" s="47" t="n">
        <v/>
      </c>
      <c r="M888" s="47" t="n">
        <v/>
      </c>
      <c r="N888" s="47" t="n">
        <v/>
      </c>
      <c r="O888" s="47" t="n">
        <v/>
      </c>
      <c r="P888" s="88" t="n"/>
    </row>
    <row r="889" customFormat="1" s="2">
      <c r="A889" s="6" t="n"/>
      <c r="B889" s="4" t="n"/>
      <c r="C889" s="4" t="n"/>
      <c r="D889" s="5" t="inlineStr">
        <is>
          <t>Sq.ft</t>
        </is>
      </c>
      <c r="E889" s="16" t="n"/>
      <c r="F889" s="20" t="n">
        <v>1</v>
      </c>
      <c r="G889" s="47" t="n">
        <v>1.83</v>
      </c>
      <c r="H889" s="47" t="n"/>
      <c r="I889" s="47" t="n">
        <v>17</v>
      </c>
      <c r="J889" s="47">
        <f>PRODUCT(E889:I889)</f>
        <v/>
      </c>
      <c r="K889" s="20" t="n">
        <v>1</v>
      </c>
      <c r="L889" s="47" t="n">
        <v/>
      </c>
      <c r="M889" s="47" t="n">
        <v/>
      </c>
      <c r="N889" s="47" t="n">
        <v/>
      </c>
      <c r="O889" s="47" t="n">
        <v/>
      </c>
      <c r="P889" s="88" t="n"/>
    </row>
    <row r="890" customFormat="1" s="2">
      <c r="A890" s="6" t="n"/>
      <c r="B890" s="4" t="n"/>
      <c r="C890" s="4" t="n"/>
      <c r="D890" s="5" t="inlineStr">
        <is>
          <t>Sq.ft</t>
        </is>
      </c>
      <c r="E890" s="16" t="n"/>
      <c r="F890" s="20" t="n">
        <v>1</v>
      </c>
      <c r="G890" s="47" t="n">
        <v>4.33</v>
      </c>
      <c r="H890" s="47" t="n"/>
      <c r="I890" s="47" t="n">
        <v>17</v>
      </c>
      <c r="J890" s="47">
        <f>PRODUCT(E890:I890)</f>
        <v/>
      </c>
      <c r="K890" s="20" t="n">
        <v>1</v>
      </c>
      <c r="L890" s="47" t="n">
        <v/>
      </c>
      <c r="M890" s="47" t="n">
        <v/>
      </c>
      <c r="N890" s="47" t="n">
        <v/>
      </c>
      <c r="O890" s="47" t="n">
        <v/>
      </c>
      <c r="P890" s="88" t="n"/>
    </row>
    <row r="891" customFormat="1" s="2">
      <c r="A891" s="6" t="n"/>
      <c r="B891" s="4" t="n"/>
      <c r="C891" s="4" t="n"/>
      <c r="D891" s="5" t="inlineStr">
        <is>
          <t>Sq.ft</t>
        </is>
      </c>
      <c r="E891" s="16" t="n"/>
      <c r="F891" s="20" t="n">
        <v>1</v>
      </c>
      <c r="G891" s="47" t="n">
        <v>6.08</v>
      </c>
      <c r="H891" s="47" t="n"/>
      <c r="I891" s="47" t="n">
        <v>17</v>
      </c>
      <c r="J891" s="47">
        <f>PRODUCT(E891:I891)</f>
        <v/>
      </c>
      <c r="K891" s="20" t="n">
        <v>1</v>
      </c>
      <c r="L891" s="47" t="n">
        <v/>
      </c>
      <c r="M891" s="47" t="n">
        <v/>
      </c>
      <c r="N891" s="47" t="n">
        <v/>
      </c>
      <c r="O891" s="47" t="n">
        <v/>
      </c>
      <c r="P891" s="88" t="n"/>
    </row>
    <row r="892" customFormat="1" s="2">
      <c r="A892" s="6" t="n"/>
      <c r="B892" s="4" t="n"/>
      <c r="C892" s="4" t="n"/>
      <c r="D892" s="5" t="inlineStr">
        <is>
          <t>Sq.ft</t>
        </is>
      </c>
      <c r="E892" s="16" t="n"/>
      <c r="F892" s="20" t="n">
        <v>1</v>
      </c>
      <c r="G892" s="47" t="n">
        <v>4.83</v>
      </c>
      <c r="H892" s="47" t="n"/>
      <c r="I892" s="47" t="n">
        <v>17</v>
      </c>
      <c r="J892" s="47">
        <f>PRODUCT(E892:I892)</f>
        <v/>
      </c>
      <c r="K892" s="20" t="n">
        <v>1</v>
      </c>
      <c r="L892" s="47" t="n">
        <v/>
      </c>
      <c r="M892" s="47" t="n">
        <v/>
      </c>
      <c r="N892" s="47" t="n">
        <v/>
      </c>
      <c r="O892" s="47" t="n">
        <v/>
      </c>
      <c r="P892" s="88" t="n"/>
    </row>
    <row r="893" customFormat="1" s="2">
      <c r="A893" s="6" t="n"/>
      <c r="B893" s="4" t="n"/>
      <c r="C893" s="4" t="n"/>
      <c r="D893" s="5" t="n"/>
      <c r="E893" s="16" t="n"/>
      <c r="F893" s="20" t="n"/>
      <c r="G893" s="47" t="n"/>
      <c r="H893" s="47" t="n"/>
      <c r="I893" s="47" t="n"/>
      <c r="J893" s="47">
        <f>PRODUCT(E893:I893)</f>
        <v/>
      </c>
      <c r="K893" s="20" t="n">
        <v/>
      </c>
      <c r="L893" s="47" t="n">
        <v/>
      </c>
      <c r="M893" s="47" t="n">
        <v/>
      </c>
      <c r="N893" s="47" t="n">
        <v/>
      </c>
      <c r="O893" s="47" t="n">
        <v/>
      </c>
      <c r="P893" s="88" t="n"/>
    </row>
    <row r="894" customFormat="1" s="2">
      <c r="A894" s="112" t="n"/>
      <c r="B894" s="112" t="n"/>
      <c r="C894" s="112" t="inlineStr">
        <is>
          <t>Total Qty</t>
        </is>
      </c>
      <c r="D894" s="120" t="n"/>
      <c r="E894" s="121" t="n"/>
      <c r="F894" s="123" t="n"/>
      <c r="G894" s="123" t="n"/>
      <c r="H894" s="123" t="n"/>
      <c r="I894" s="123" t="n"/>
      <c r="J894" s="123">
        <f>ROUND(SUM(J861:J893),)</f>
        <v/>
      </c>
      <c r="K894" s="123" t="n">
        <v/>
      </c>
      <c r="L894" s="123" t="n">
        <v/>
      </c>
      <c r="M894" s="123" t="n">
        <v/>
      </c>
      <c r="N894" s="123" t="n">
        <v/>
      </c>
      <c r="O894" s="123" t="n">
        <v/>
      </c>
      <c r="P894" s="88" t="n"/>
    </row>
    <row r="895" customFormat="1" s="2">
      <c r="A895" s="6" t="n"/>
      <c r="B895" s="4" t="n"/>
      <c r="C895" s="4" t="n"/>
      <c r="D895" s="5" t="n"/>
      <c r="E895" s="16" t="n"/>
      <c r="F895" s="20" t="n"/>
      <c r="G895" s="47" t="n"/>
      <c r="H895" s="47" t="n"/>
      <c r="I895" s="47" t="n"/>
      <c r="J895" s="47" t="n"/>
      <c r="K895" s="20" t="n">
        <v/>
      </c>
      <c r="L895" s="47" t="n">
        <v/>
      </c>
      <c r="M895" s="47" t="n">
        <v/>
      </c>
      <c r="N895" s="47" t="n">
        <v/>
      </c>
      <c r="O895" s="47" t="n">
        <v/>
      </c>
      <c r="P895" s="88" t="n"/>
    </row>
    <row r="896" ht="165.6" customFormat="1" customHeight="1" s="2">
      <c r="A896" s="6">
        <f>A860+1</f>
        <v/>
      </c>
      <c r="B896" s="4" t="inlineStr">
        <is>
          <t>U Type beam boxing</t>
        </is>
      </c>
      <c r="C896" s="4"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D896" s="7" t="inlineStr">
        <is>
          <t>sft</t>
        </is>
      </c>
      <c r="E896" s="17" t="n">
        <v>460</v>
      </c>
      <c r="F896" s="20" t="n"/>
      <c r="G896" s="47" t="n"/>
      <c r="H896" s="47" t="n"/>
      <c r="I896" s="47" t="n"/>
      <c r="J896" s="47" t="n"/>
      <c r="K896" s="20" t="n">
        <v/>
      </c>
      <c r="L896" s="47" t="n">
        <v/>
      </c>
      <c r="M896" s="47" t="n">
        <v/>
      </c>
      <c r="N896" s="47" t="n">
        <v/>
      </c>
      <c r="O896" s="47" t="n">
        <v/>
      </c>
      <c r="P896" s="88" t="n"/>
    </row>
    <row r="897" customFormat="1" s="2">
      <c r="A897" s="6" t="n"/>
      <c r="B897" s="4" t="n"/>
      <c r="C897" s="14" t="inlineStr">
        <is>
          <t>Electrical Room</t>
        </is>
      </c>
      <c r="D897" s="7" t="n"/>
      <c r="E897" s="17" t="n"/>
      <c r="F897" s="20" t="n"/>
      <c r="G897" s="47" t="n"/>
      <c r="H897" s="47" t="n"/>
      <c r="I897" s="47" t="n"/>
      <c r="J897" s="47">
        <f>PRODUCT(E897:I897)</f>
        <v/>
      </c>
      <c r="K897" s="20" t="n">
        <v/>
      </c>
      <c r="L897" s="47" t="n">
        <v/>
      </c>
      <c r="M897" s="47" t="n">
        <v/>
      </c>
      <c r="N897" s="47" t="n">
        <v/>
      </c>
      <c r="O897" s="47" t="n">
        <v/>
      </c>
      <c r="P897" s="88" t="n"/>
    </row>
    <row r="898" customFormat="1" s="2">
      <c r="A898" s="6" t="n"/>
      <c r="B898" s="4" t="n"/>
      <c r="C898" s="4" t="inlineStr">
        <is>
          <t>Right Side</t>
        </is>
      </c>
      <c r="D898" s="7" t="inlineStr">
        <is>
          <t>Sq.ft</t>
        </is>
      </c>
      <c r="E898" s="17" t="n"/>
      <c r="F898" s="20" t="n">
        <v>1</v>
      </c>
      <c r="G898" s="47" t="n">
        <v>1.7</v>
      </c>
      <c r="H898" s="47" t="n"/>
      <c r="I898" s="47">
        <f>0.33+0.92</f>
        <v/>
      </c>
      <c r="J898" s="47">
        <f>PRODUCT(E898:I898)</f>
        <v/>
      </c>
      <c r="K898" s="20" t="n">
        <v>1</v>
      </c>
      <c r="L898" s="47" t="n">
        <v/>
      </c>
      <c r="M898" s="47" t="n">
        <v/>
      </c>
      <c r="N898" s="47" t="n">
        <v/>
      </c>
      <c r="O898" s="47" t="n">
        <v/>
      </c>
      <c r="P898" s="88" t="n"/>
    </row>
    <row r="899" customFormat="1" s="2">
      <c r="A899" s="6" t="n"/>
      <c r="B899" s="4" t="n"/>
      <c r="C899" s="4" t="inlineStr">
        <is>
          <t>Right Side</t>
        </is>
      </c>
      <c r="D899" s="7" t="inlineStr">
        <is>
          <t>Sq.ft</t>
        </is>
      </c>
      <c r="E899" s="17" t="n"/>
      <c r="F899" s="20" t="n">
        <v>1</v>
      </c>
      <c r="G899" s="47" t="n">
        <v>4.5</v>
      </c>
      <c r="H899" s="47" t="n"/>
      <c r="I899" s="47">
        <f>0.33+2.63+0.5</f>
        <v/>
      </c>
      <c r="J899" s="47">
        <f>PRODUCT(E899:I899)</f>
        <v/>
      </c>
      <c r="K899" s="20" t="n">
        <v>1</v>
      </c>
      <c r="L899" s="47" t="n">
        <v/>
      </c>
      <c r="M899" s="47" t="n">
        <v/>
      </c>
      <c r="N899" s="47" t="n">
        <v/>
      </c>
      <c r="O899" s="47" t="n">
        <v/>
      </c>
      <c r="P899" s="88" t="n"/>
    </row>
    <row r="900" customFormat="1" s="2">
      <c r="A900" s="6" t="n"/>
      <c r="B900" s="4" t="n"/>
      <c r="C900" s="4" t="inlineStr">
        <is>
          <t>Left Side</t>
        </is>
      </c>
      <c r="D900" s="7" t="inlineStr">
        <is>
          <t>Sq.ft</t>
        </is>
      </c>
      <c r="E900" s="17" t="n"/>
      <c r="F900" s="20" t="n">
        <v>1</v>
      </c>
      <c r="G900" s="47" t="n">
        <v>6</v>
      </c>
      <c r="H900" s="47" t="n"/>
      <c r="I900" s="47">
        <f>0.33+2.63+0.5</f>
        <v/>
      </c>
      <c r="J900" s="47">
        <f>PRODUCT(E900:I900)</f>
        <v/>
      </c>
      <c r="K900" s="20" t="n">
        <v>1</v>
      </c>
      <c r="L900" s="47" t="n">
        <v/>
      </c>
      <c r="M900" s="47" t="n">
        <v/>
      </c>
      <c r="N900" s="47" t="n">
        <v/>
      </c>
      <c r="O900" s="47" t="n">
        <v/>
      </c>
      <c r="P900" s="88" t="n"/>
    </row>
    <row r="901" customFormat="1" s="2">
      <c r="A901" s="6" t="n"/>
      <c r="B901" s="4" t="n"/>
      <c r="C901" s="4" t="inlineStr">
        <is>
          <t>Right Side</t>
        </is>
      </c>
      <c r="D901" s="7" t="inlineStr">
        <is>
          <t>Sq.ft</t>
        </is>
      </c>
      <c r="E901" s="17" t="n"/>
      <c r="F901" s="20" t="n">
        <v>1</v>
      </c>
      <c r="G901" s="47" t="n">
        <v>11.5</v>
      </c>
      <c r="H901" s="47" t="n"/>
      <c r="I901" s="47" t="n">
        <v>3.5</v>
      </c>
      <c r="J901" s="47">
        <f>PRODUCT(E901:I901)</f>
        <v/>
      </c>
      <c r="K901" s="20" t="n">
        <v>1</v>
      </c>
      <c r="L901" s="47" t="n">
        <v/>
      </c>
      <c r="M901" s="47" t="n">
        <v/>
      </c>
      <c r="N901" s="47" t="n">
        <v/>
      </c>
      <c r="O901" s="47" t="n">
        <v/>
      </c>
      <c r="P901" s="88" t="n"/>
    </row>
    <row r="902" customFormat="1" s="2">
      <c r="A902" s="6" t="n"/>
      <c r="B902" s="4" t="n"/>
      <c r="C902" s="14" t="inlineStr">
        <is>
          <t>ATM Loft Area</t>
        </is>
      </c>
      <c r="D902" s="7" t="n"/>
      <c r="E902" s="17" t="n"/>
      <c r="F902" s="20" t="n"/>
      <c r="G902" s="47" t="n"/>
      <c r="H902" s="47" t="n"/>
      <c r="I902" s="47" t="n"/>
      <c r="J902" s="47">
        <f>PRODUCT(E902:I902)</f>
        <v/>
      </c>
      <c r="K902" s="20" t="n">
        <v/>
      </c>
      <c r="L902" s="47" t="n">
        <v/>
      </c>
      <c r="M902" s="47" t="n">
        <v/>
      </c>
      <c r="N902" s="47" t="n">
        <v/>
      </c>
      <c r="O902" s="47" t="n">
        <v/>
      </c>
      <c r="P902" s="88" t="n"/>
    </row>
    <row r="903" customFormat="1" s="2">
      <c r="A903" s="6" t="n"/>
      <c r="B903" s="4" t="n"/>
      <c r="C903" s="4" t="inlineStr">
        <is>
          <t>Glass Jamb</t>
        </is>
      </c>
      <c r="D903" s="7" t="inlineStr">
        <is>
          <t>Sq.ft</t>
        </is>
      </c>
      <c r="E903" s="17" t="n"/>
      <c r="F903" s="20" t="n">
        <v>2</v>
      </c>
      <c r="G903" s="47" t="n">
        <v>11.62</v>
      </c>
      <c r="H903" s="47" t="n">
        <v>1</v>
      </c>
      <c r="I903" s="47" t="n"/>
      <c r="J903" s="47">
        <f>PRODUCT(E903:I903)</f>
        <v/>
      </c>
      <c r="K903" s="20" t="n">
        <v>2</v>
      </c>
      <c r="L903" s="47" t="n">
        <v/>
      </c>
      <c r="M903" s="47" t="n">
        <v/>
      </c>
      <c r="N903" s="47" t="n">
        <v/>
      </c>
      <c r="O903" s="47" t="n">
        <v/>
      </c>
      <c r="P903" s="88" t="n"/>
    </row>
    <row r="904" customFormat="1" s="2">
      <c r="A904" s="6" t="n"/>
      <c r="B904" s="4" t="n"/>
      <c r="C904" s="4" t="inlineStr">
        <is>
          <t>Glass Jamb</t>
        </is>
      </c>
      <c r="D904" s="7" t="inlineStr">
        <is>
          <t>Sq.ft</t>
        </is>
      </c>
      <c r="E904" s="17" t="n"/>
      <c r="F904" s="20" t="n">
        <v>2</v>
      </c>
      <c r="G904" s="47" t="n">
        <v>9.81</v>
      </c>
      <c r="H904" s="47" t="n">
        <v>1</v>
      </c>
      <c r="I904" s="47" t="n"/>
      <c r="J904" s="47">
        <f>PRODUCT(E904:I904)</f>
        <v/>
      </c>
      <c r="K904" s="20" t="n">
        <v>2</v>
      </c>
      <c r="L904" s="47" t="n">
        <v/>
      </c>
      <c r="M904" s="47" t="n">
        <v/>
      </c>
      <c r="N904" s="47" t="n">
        <v/>
      </c>
      <c r="O904" s="47" t="n">
        <v/>
      </c>
      <c r="P904" s="88" t="n"/>
    </row>
    <row r="905" customFormat="1" s="2">
      <c r="A905" s="6" t="n"/>
      <c r="B905" s="4" t="n"/>
      <c r="C905" s="14" t="inlineStr">
        <is>
          <t>Fixed Glass Side</t>
        </is>
      </c>
      <c r="D905" s="7" t="n"/>
      <c r="E905" s="17" t="n"/>
      <c r="F905" s="20" t="n"/>
      <c r="G905" s="47" t="n"/>
      <c r="H905" s="47" t="n"/>
      <c r="I905" s="47" t="n"/>
      <c r="J905" s="47">
        <f>PRODUCT(E905:I905)</f>
        <v/>
      </c>
      <c r="K905" s="20" t="n">
        <v/>
      </c>
      <c r="L905" s="47" t="n">
        <v/>
      </c>
      <c r="M905" s="47" t="n">
        <v/>
      </c>
      <c r="N905" s="47" t="n">
        <v/>
      </c>
      <c r="O905" s="47" t="n">
        <v/>
      </c>
      <c r="P905" s="88" t="n"/>
    </row>
    <row r="906" customFormat="1" s="2">
      <c r="A906" s="6" t="n"/>
      <c r="B906" s="4" t="n"/>
      <c r="C906" s="4" t="inlineStr">
        <is>
          <t>Around Side</t>
        </is>
      </c>
      <c r="D906" s="7" t="inlineStr">
        <is>
          <t>Sq.ft</t>
        </is>
      </c>
      <c r="E906" s="17" t="n"/>
      <c r="F906" s="20" t="n">
        <v>3</v>
      </c>
      <c r="G906" s="47" t="n">
        <v>9.720000000000001</v>
      </c>
      <c r="H906" s="47" t="n">
        <v>1</v>
      </c>
      <c r="I906" s="47" t="n"/>
      <c r="J906" s="47">
        <f>PRODUCT(E906:I906)</f>
        <v/>
      </c>
      <c r="K906" s="20" t="n">
        <v>3</v>
      </c>
      <c r="L906" s="47" t="n">
        <v/>
      </c>
      <c r="M906" s="47" t="n">
        <v/>
      </c>
      <c r="N906" s="47" t="n">
        <v/>
      </c>
      <c r="O906" s="47" t="n">
        <v/>
      </c>
      <c r="P906" s="88" t="n"/>
    </row>
    <row r="907" customFormat="1" s="2">
      <c r="A907" s="6" t="n"/>
      <c r="B907" s="4" t="n"/>
      <c r="C907" s="4" t="inlineStr">
        <is>
          <t>Around Side</t>
        </is>
      </c>
      <c r="D907" s="7" t="inlineStr">
        <is>
          <t>Sq.ft</t>
        </is>
      </c>
      <c r="E907" s="17" t="n"/>
      <c r="F907" s="20" t="n">
        <v>2</v>
      </c>
      <c r="G907" s="47" t="n">
        <v>8</v>
      </c>
      <c r="H907" s="47" t="n">
        <v>1</v>
      </c>
      <c r="I907" s="47" t="n"/>
      <c r="J907" s="47">
        <f>PRODUCT(E907:I907)</f>
        <v/>
      </c>
      <c r="K907" s="20" t="n">
        <v>2</v>
      </c>
      <c r="L907" s="47" t="n">
        <v/>
      </c>
      <c r="M907" s="47" t="n">
        <v/>
      </c>
      <c r="N907" s="47" t="n">
        <v/>
      </c>
      <c r="O907" s="47" t="n">
        <v/>
      </c>
      <c r="P907" s="88" t="n"/>
    </row>
    <row r="908" customFormat="1" s="2">
      <c r="A908" s="6" t="n"/>
      <c r="B908" s="4" t="n"/>
      <c r="C908" s="4" t="inlineStr">
        <is>
          <t>Around Side</t>
        </is>
      </c>
      <c r="D908" s="7" t="inlineStr">
        <is>
          <t>Sq.ft</t>
        </is>
      </c>
      <c r="E908" s="17" t="n"/>
      <c r="F908" s="20" t="n">
        <v>2</v>
      </c>
      <c r="G908" s="47" t="n">
        <v>4.33</v>
      </c>
      <c r="H908" s="47" t="n">
        <v>1</v>
      </c>
      <c r="I908" s="47" t="n"/>
      <c r="J908" s="47">
        <f>PRODUCT(E908:I908)</f>
        <v/>
      </c>
      <c r="K908" s="20" t="n">
        <v>2</v>
      </c>
      <c r="L908" s="47" t="n">
        <v/>
      </c>
      <c r="M908" s="47" t="n">
        <v/>
      </c>
      <c r="N908" s="47" t="n">
        <v/>
      </c>
      <c r="O908" s="47" t="n">
        <v/>
      </c>
      <c r="P908" s="88" t="n"/>
    </row>
    <row r="909" customFormat="1" s="2">
      <c r="A909" s="6" t="n"/>
      <c r="B909" s="4" t="n"/>
      <c r="C909" s="14" t="inlineStr">
        <is>
          <t>Branch Entry Area</t>
        </is>
      </c>
      <c r="D909" s="7" t="n"/>
      <c r="E909" s="17" t="n"/>
      <c r="F909" s="20" t="n"/>
      <c r="G909" s="47" t="n"/>
      <c r="H909" s="47" t="n"/>
      <c r="I909" s="47" t="n"/>
      <c r="J909" s="47" t="n"/>
      <c r="K909" s="20" t="n">
        <v/>
      </c>
      <c r="L909" s="47" t="n">
        <v/>
      </c>
      <c r="M909" s="47" t="n">
        <v/>
      </c>
      <c r="N909" s="47" t="n">
        <v/>
      </c>
      <c r="O909" s="47" t="n">
        <v/>
      </c>
      <c r="P909" s="88" t="n"/>
    </row>
    <row r="910" customFormat="1" s="2">
      <c r="A910" s="6" t="n"/>
      <c r="B910" s="4" t="n"/>
      <c r="C910" s="4" t="inlineStr">
        <is>
          <t>Around Side</t>
        </is>
      </c>
      <c r="D910" s="7" t="inlineStr">
        <is>
          <t>Sq.ft</t>
        </is>
      </c>
      <c r="E910" s="17" t="n"/>
      <c r="F910" s="20" t="n">
        <v>3</v>
      </c>
      <c r="G910" s="47" t="n">
        <v>9.720000000000001</v>
      </c>
      <c r="H910" s="47" t="n">
        <v>1</v>
      </c>
      <c r="I910" s="47" t="n"/>
      <c r="J910" s="47">
        <f>PRODUCT(E910:I910)</f>
        <v/>
      </c>
      <c r="K910" s="20" t="n">
        <v>3</v>
      </c>
      <c r="L910" s="47" t="n">
        <v/>
      </c>
      <c r="M910" s="47" t="n">
        <v/>
      </c>
      <c r="N910" s="47" t="n">
        <v/>
      </c>
      <c r="O910" s="47" t="n">
        <v/>
      </c>
      <c r="P910" s="88" t="n"/>
    </row>
    <row r="911" customFormat="1" s="2">
      <c r="A911" s="6" t="n"/>
      <c r="B911" s="4" t="n"/>
      <c r="C911" s="4" t="inlineStr">
        <is>
          <t>Around Side</t>
        </is>
      </c>
      <c r="D911" s="7" t="inlineStr">
        <is>
          <t>Sq.ft</t>
        </is>
      </c>
      <c r="E911" s="17" t="n"/>
      <c r="F911" s="20" t="n">
        <v>2</v>
      </c>
      <c r="G911" s="47" t="n">
        <v>8</v>
      </c>
      <c r="H911" s="47" t="n">
        <v>1</v>
      </c>
      <c r="I911" s="47" t="n"/>
      <c r="J911" s="47">
        <f>PRODUCT(E911:I911)</f>
        <v/>
      </c>
      <c r="K911" s="20" t="n">
        <v>2</v>
      </c>
      <c r="L911" s="47" t="n">
        <v/>
      </c>
      <c r="M911" s="47" t="n">
        <v/>
      </c>
      <c r="N911" s="47" t="n">
        <v/>
      </c>
      <c r="O911" s="47" t="n">
        <v/>
      </c>
      <c r="P911" s="88" t="n"/>
    </row>
    <row r="912" customFormat="1" s="2">
      <c r="A912" s="6" t="n"/>
      <c r="B912" s="4" t="n"/>
      <c r="C912" s="4" t="inlineStr">
        <is>
          <t>Around Side</t>
        </is>
      </c>
      <c r="D912" s="7" t="inlineStr">
        <is>
          <t>Sq.ft</t>
        </is>
      </c>
      <c r="E912" s="17" t="n"/>
      <c r="F912" s="20" t="n">
        <v>2</v>
      </c>
      <c r="G912" s="47" t="n">
        <v>4.33</v>
      </c>
      <c r="H912" s="47" t="n">
        <v>1</v>
      </c>
      <c r="I912" s="47" t="n"/>
      <c r="J912" s="47">
        <f>PRODUCT(E912:I912)</f>
        <v/>
      </c>
      <c r="K912" s="20" t="n">
        <v>2</v>
      </c>
      <c r="L912" s="47" t="n">
        <v/>
      </c>
      <c r="M912" s="47" t="n">
        <v/>
      </c>
      <c r="N912" s="47" t="n">
        <v/>
      </c>
      <c r="O912" s="47" t="n">
        <v/>
      </c>
      <c r="P912" s="88" t="n"/>
    </row>
    <row r="913">
      <c r="A913" s="117" t="n"/>
      <c r="B913" s="117" t="n"/>
      <c r="C913" s="117" t="n"/>
      <c r="D913" s="117" t="n"/>
      <c r="E913" s="118" t="n"/>
      <c r="F913" s="119" t="n"/>
      <c r="G913" s="119" t="n"/>
      <c r="H913" s="119" t="n"/>
      <c r="I913" s="119" t="n"/>
      <c r="J913" s="119" t="n"/>
      <c r="K913" s="119" t="n">
        <v/>
      </c>
      <c r="L913" s="119" t="n">
        <v/>
      </c>
      <c r="M913" s="119" t="n">
        <v/>
      </c>
      <c r="N913" s="119" t="n">
        <v/>
      </c>
      <c r="O913" s="119" t="n">
        <v/>
      </c>
      <c r="P913" s="117" t="n"/>
    </row>
    <row r="914" customFormat="1" s="2">
      <c r="A914" s="112" t="n"/>
      <c r="B914" s="112" t="n"/>
      <c r="C914" s="112" t="inlineStr">
        <is>
          <t>Total Qty</t>
        </is>
      </c>
      <c r="D914" s="120" t="n"/>
      <c r="E914" s="121" t="n"/>
      <c r="F914" s="123" t="n"/>
      <c r="G914" s="123" t="n"/>
      <c r="H914" s="123" t="n"/>
      <c r="I914" s="123" t="n"/>
      <c r="J914" s="123">
        <f>ROUND(SUM(J897:J913),)</f>
        <v/>
      </c>
      <c r="K914" s="123" t="n">
        <v/>
      </c>
      <c r="L914" s="123" t="n">
        <v/>
      </c>
      <c r="M914" s="123" t="n">
        <v/>
      </c>
      <c r="N914" s="123" t="n">
        <v/>
      </c>
      <c r="O914" s="123" t="n">
        <v/>
      </c>
      <c r="P914" s="88" t="n"/>
    </row>
    <row r="915" customFormat="1" s="2">
      <c r="A915" s="6" t="n"/>
      <c r="B915" s="4" t="n"/>
      <c r="C915" s="4" t="n"/>
      <c r="D915" s="7" t="n"/>
      <c r="E915" s="17" t="n"/>
      <c r="F915" s="20" t="n"/>
      <c r="G915" s="47" t="n"/>
      <c r="H915" s="47" t="n"/>
      <c r="I915" s="47" t="n"/>
      <c r="J915" s="47" t="n"/>
      <c r="K915" s="20" t="n">
        <v/>
      </c>
      <c r="L915" s="47" t="n">
        <v/>
      </c>
      <c r="M915" s="47" t="n">
        <v/>
      </c>
      <c r="N915" s="47" t="n">
        <v/>
      </c>
      <c r="O915" s="47" t="n">
        <v/>
      </c>
      <c r="P915" s="88" t="n"/>
    </row>
    <row r="916" ht="96.59999999999999" customFormat="1" customHeight="1" s="2">
      <c r="A916" s="6">
        <f>A896+1</f>
        <v/>
      </c>
      <c r="B916" s="4" t="inlineStr">
        <is>
          <t>Full height Partitions</t>
        </is>
      </c>
      <c r="C916" s="4"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D916" s="7" t="inlineStr">
        <is>
          <t>sft</t>
        </is>
      </c>
      <c r="E916" s="17" t="n">
        <v>230</v>
      </c>
      <c r="F916" s="20" t="n"/>
      <c r="G916" s="47" t="n"/>
      <c r="H916" s="47" t="n"/>
      <c r="I916" s="47" t="n"/>
      <c r="J916" s="47" t="n"/>
      <c r="K916" s="20" t="n">
        <v/>
      </c>
      <c r="L916" s="47" t="n">
        <v/>
      </c>
      <c r="M916" s="47" t="n">
        <v/>
      </c>
      <c r="N916" s="47" t="n">
        <v/>
      </c>
      <c r="O916" s="47" t="n">
        <v/>
      </c>
      <c r="P916" s="88" t="n"/>
    </row>
    <row r="917" customFormat="1" s="2">
      <c r="A917" s="6" t="n"/>
      <c r="B917" s="4" t="n"/>
      <c r="C917" s="14" t="inlineStr">
        <is>
          <t>Safe Room</t>
        </is>
      </c>
      <c r="D917" s="7" t="n"/>
      <c r="E917" s="17" t="n"/>
      <c r="F917" s="20" t="n"/>
      <c r="G917" s="47" t="n"/>
      <c r="H917" s="47" t="n"/>
      <c r="I917" s="47" t="n"/>
      <c r="J917" s="47">
        <f>PRODUCT(F917:I917)</f>
        <v/>
      </c>
      <c r="K917" s="20" t="n">
        <v/>
      </c>
      <c r="L917" s="47" t="n">
        <v/>
      </c>
      <c r="M917" s="47" t="n">
        <v/>
      </c>
      <c r="N917" s="47" t="n">
        <v/>
      </c>
      <c r="O917" s="47" t="n">
        <v/>
      </c>
      <c r="P917" s="88" t="n"/>
    </row>
    <row r="918" customFormat="1" s="2">
      <c r="A918" s="6" t="n"/>
      <c r="B918" s="4" t="n"/>
      <c r="C918" s="4" t="inlineStr">
        <is>
          <t>Door Side Partition</t>
        </is>
      </c>
      <c r="D918" s="7" t="inlineStr">
        <is>
          <t>Sq.ft</t>
        </is>
      </c>
      <c r="E918" s="17" t="n"/>
      <c r="F918" s="20" t="n">
        <v>1</v>
      </c>
      <c r="G918" s="47" t="n">
        <v>11.5</v>
      </c>
      <c r="H918" s="47" t="n"/>
      <c r="I918" s="47" t="n">
        <v>8.5</v>
      </c>
      <c r="J918" s="47">
        <f>PRODUCT(F918:I918)</f>
        <v/>
      </c>
      <c r="K918" s="20" t="n">
        <v>1</v>
      </c>
      <c r="L918" s="47" t="n">
        <v/>
      </c>
      <c r="M918" s="47" t="n">
        <v/>
      </c>
      <c r="N918" s="47" t="n">
        <v/>
      </c>
      <c r="O918" s="47" t="n">
        <v/>
      </c>
      <c r="P918" s="88" t="n"/>
    </row>
    <row r="919" customFormat="1" s="2">
      <c r="A919" s="6" t="n"/>
      <c r="B919" s="4" t="n"/>
      <c r="C919" s="4" t="inlineStr">
        <is>
          <t>Door Area Less ( - )</t>
        </is>
      </c>
      <c r="D919" s="7" t="inlineStr">
        <is>
          <t>Sq.ft</t>
        </is>
      </c>
      <c r="E919" s="17" t="n"/>
      <c r="F919" s="20" t="n">
        <v>-1</v>
      </c>
      <c r="G919" s="47" t="n">
        <v>2.92</v>
      </c>
      <c r="H919" s="47" t="n"/>
      <c r="I919" s="47" t="n">
        <v>6.87</v>
      </c>
      <c r="J919" s="47">
        <f>PRODUCT(F919:I919)</f>
        <v/>
      </c>
      <c r="K919" s="20" t="n">
        <v>-1</v>
      </c>
      <c r="L919" s="47" t="n">
        <v/>
      </c>
      <c r="M919" s="47" t="n">
        <v/>
      </c>
      <c r="N919" s="47" t="n">
        <v/>
      </c>
      <c r="O919" s="47" t="n">
        <v/>
      </c>
      <c r="P919" s="88" t="n"/>
    </row>
    <row r="920" customFormat="1" s="2">
      <c r="A920" s="6" t="n"/>
      <c r="B920" s="4" t="n"/>
      <c r="C920" s="14" t="inlineStr">
        <is>
          <t>Pantry Area</t>
        </is>
      </c>
      <c r="D920" s="7" t="n"/>
      <c r="E920" s="17" t="n"/>
      <c r="F920" s="20" t="n"/>
      <c r="G920" s="47" t="n"/>
      <c r="H920" s="47" t="n"/>
      <c r="I920" s="47" t="n"/>
      <c r="J920" s="47">
        <f>PRODUCT(F920:I920)</f>
        <v/>
      </c>
      <c r="K920" s="20" t="n">
        <v/>
      </c>
      <c r="L920" s="47" t="n">
        <v/>
      </c>
      <c r="M920" s="47" t="n">
        <v/>
      </c>
      <c r="N920" s="47" t="n">
        <v/>
      </c>
      <c r="O920" s="47" t="n">
        <v/>
      </c>
      <c r="P920" s="88" t="n"/>
    </row>
    <row r="921" customFormat="1" s="2">
      <c r="A921" s="6" t="n"/>
      <c r="B921" s="4" t="n"/>
      <c r="C921" s="4" t="inlineStr">
        <is>
          <t>Right Side Partition</t>
        </is>
      </c>
      <c r="D921" s="7" t="inlineStr">
        <is>
          <t>Sq.ft</t>
        </is>
      </c>
      <c r="E921" s="17" t="n"/>
      <c r="F921" s="20" t="n">
        <v>1</v>
      </c>
      <c r="G921" s="47" t="n">
        <v>10.08</v>
      </c>
      <c r="H921" s="47" t="n"/>
      <c r="I921" s="47" t="n">
        <v>8</v>
      </c>
      <c r="J921" s="47">
        <f>PRODUCT(F921:I921)</f>
        <v/>
      </c>
      <c r="K921" s="20" t="n">
        <v>1</v>
      </c>
      <c r="L921" s="47" t="n">
        <v/>
      </c>
      <c r="M921" s="47" t="n">
        <v/>
      </c>
      <c r="N921" s="47" t="n">
        <v/>
      </c>
      <c r="O921" s="47" t="n">
        <v/>
      </c>
      <c r="P921" s="88" t="n"/>
    </row>
    <row r="922" customFormat="1" s="2">
      <c r="A922" s="6" t="n"/>
      <c r="B922" s="4" t="n"/>
      <c r="C922" s="14" t="inlineStr">
        <is>
          <t>Store Room</t>
        </is>
      </c>
      <c r="D922" s="7" t="n"/>
      <c r="E922" s="17" t="n"/>
      <c r="F922" s="20" t="n"/>
      <c r="G922" s="47" t="n"/>
      <c r="H922" s="47" t="n"/>
      <c r="I922" s="47" t="n"/>
      <c r="J922" s="47" t="n"/>
      <c r="K922" s="20" t="n">
        <v/>
      </c>
      <c r="L922" s="47" t="n">
        <v/>
      </c>
      <c r="M922" s="47" t="n">
        <v/>
      </c>
      <c r="N922" s="47" t="n">
        <v/>
      </c>
      <c r="O922" s="47" t="n">
        <v/>
      </c>
      <c r="P922" s="88" t="n"/>
    </row>
    <row r="923" customFormat="1" s="2">
      <c r="A923" s="6" t="n"/>
      <c r="B923" s="4" t="n"/>
      <c r="C923" s="4" t="inlineStr">
        <is>
          <t>Door Side Partition</t>
        </is>
      </c>
      <c r="D923" s="7" t="inlineStr">
        <is>
          <t>Sq.ft</t>
        </is>
      </c>
      <c r="E923" s="17" t="n"/>
      <c r="F923" s="20" t="n">
        <v>1</v>
      </c>
      <c r="G923" s="47" t="n">
        <v>5.5</v>
      </c>
      <c r="H923" s="47" t="n"/>
      <c r="I923" s="47" t="n">
        <v>8</v>
      </c>
      <c r="J923" s="47">
        <f>PRODUCT(F923:I923)</f>
        <v/>
      </c>
      <c r="K923" s="20" t="n">
        <v>1</v>
      </c>
      <c r="L923" s="47" t="n">
        <v/>
      </c>
      <c r="M923" s="47" t="n">
        <v/>
      </c>
      <c r="N923" s="47" t="n">
        <v/>
      </c>
      <c r="O923" s="47" t="n">
        <v/>
      </c>
      <c r="P923" s="88" t="n"/>
    </row>
    <row r="924" customFormat="1" s="2">
      <c r="A924" s="6" t="n"/>
      <c r="B924" s="4" t="n"/>
      <c r="C924" s="4" t="inlineStr">
        <is>
          <t>Door Area Less ( - )</t>
        </is>
      </c>
      <c r="D924" s="7" t="inlineStr">
        <is>
          <t>Sq.ft</t>
        </is>
      </c>
      <c r="E924" s="17" t="n"/>
      <c r="F924" s="20" t="n">
        <v>-1</v>
      </c>
      <c r="G924" s="47" t="n">
        <v>2.5</v>
      </c>
      <c r="H924" s="47" t="n"/>
      <c r="I924" s="47" t="n">
        <v>6.92</v>
      </c>
      <c r="J924" s="47">
        <f>PRODUCT(F924:I924)</f>
        <v/>
      </c>
      <c r="K924" s="20" t="n">
        <v>-1</v>
      </c>
      <c r="L924" s="47" t="n">
        <v/>
      </c>
      <c r="M924" s="47" t="n">
        <v/>
      </c>
      <c r="N924" s="47" t="n">
        <v/>
      </c>
      <c r="O924" s="47" t="n">
        <v/>
      </c>
      <c r="P924" s="88" t="n"/>
    </row>
    <row r="925" customFormat="1" s="2">
      <c r="A925" s="6" t="n"/>
      <c r="B925" s="4" t="n"/>
      <c r="C925" s="4" t="inlineStr">
        <is>
          <t>Right Side Partition</t>
        </is>
      </c>
      <c r="D925" s="7" t="inlineStr">
        <is>
          <t>Sq.ft</t>
        </is>
      </c>
      <c r="E925" s="17" t="n"/>
      <c r="F925" s="20" t="n">
        <v>1</v>
      </c>
      <c r="G925" s="47" t="n">
        <v>5.04</v>
      </c>
      <c r="H925" s="47" t="n"/>
      <c r="I925" s="47" t="n">
        <v>8</v>
      </c>
      <c r="J925" s="47">
        <f>PRODUCT(F925:I925)</f>
        <v/>
      </c>
      <c r="K925" s="20" t="n">
        <v>1</v>
      </c>
      <c r="L925" s="47" t="n">
        <v/>
      </c>
      <c r="M925" s="47" t="n">
        <v/>
      </c>
      <c r="N925" s="47" t="n">
        <v/>
      </c>
      <c r="O925" s="47" t="n">
        <v/>
      </c>
      <c r="P925" s="88" t="n"/>
    </row>
    <row r="926" customFormat="1" s="2">
      <c r="A926" s="6" t="n"/>
      <c r="B926" s="4" t="n"/>
      <c r="C926" s="4" t="n"/>
      <c r="D926" s="7" t="n"/>
      <c r="E926" s="17" t="n"/>
      <c r="F926" s="20" t="n"/>
      <c r="G926" s="47" t="n"/>
      <c r="H926" s="47" t="n"/>
      <c r="I926" s="47" t="n"/>
      <c r="J926" s="47" t="n"/>
      <c r="K926" s="20" t="n">
        <v/>
      </c>
      <c r="L926" s="47" t="n">
        <v/>
      </c>
      <c r="M926" s="47" t="n">
        <v/>
      </c>
      <c r="N926" s="47" t="n">
        <v/>
      </c>
      <c r="O926" s="47" t="n">
        <v/>
      </c>
      <c r="P926" s="88" t="n"/>
    </row>
    <row r="927" customFormat="1" s="2">
      <c r="A927" s="112" t="n"/>
      <c r="B927" s="112" t="n"/>
      <c r="C927" s="112" t="inlineStr">
        <is>
          <t>Total Qty</t>
        </is>
      </c>
      <c r="D927" s="120" t="n"/>
      <c r="E927" s="121" t="n"/>
      <c r="F927" s="123" t="n"/>
      <c r="G927" s="123" t="n"/>
      <c r="H927" s="123" t="n"/>
      <c r="I927" s="123" t="n"/>
      <c r="J927" s="123">
        <f>ROUND(SUM(J917:J926),)</f>
        <v/>
      </c>
      <c r="K927" s="123" t="n">
        <v/>
      </c>
      <c r="L927" s="123" t="n">
        <v/>
      </c>
      <c r="M927" s="123" t="n">
        <v/>
      </c>
      <c r="N927" s="123" t="n">
        <v/>
      </c>
      <c r="O927" s="123" t="n">
        <v/>
      </c>
      <c r="P927" s="88" t="n"/>
    </row>
    <row r="928" customFormat="1" s="2">
      <c r="A928" s="6" t="n"/>
      <c r="B928" s="4" t="n"/>
      <c r="C928" s="4" t="n"/>
      <c r="D928" s="7" t="n"/>
      <c r="E928" s="17" t="n"/>
      <c r="F928" s="20" t="n"/>
      <c r="G928" s="47" t="n"/>
      <c r="H928" s="47" t="n"/>
      <c r="I928" s="47" t="n"/>
      <c r="J928" s="47" t="n"/>
      <c r="K928" s="20" t="n">
        <v/>
      </c>
      <c r="L928" s="47" t="n">
        <v/>
      </c>
      <c r="M928" s="47" t="n">
        <v/>
      </c>
      <c r="N928" s="47" t="n">
        <v/>
      </c>
      <c r="O928" s="47" t="n">
        <v/>
      </c>
      <c r="P928" s="88" t="n"/>
    </row>
    <row r="929" ht="55.2" customFormat="1" customHeight="1" s="2">
      <c r="A929" s="6">
        <f>A916+1</f>
        <v/>
      </c>
      <c r="B929" s="4" t="inlineStr">
        <is>
          <t>Urinal Partition</t>
        </is>
      </c>
      <c r="C929" s="4" t="inlineStr">
        <is>
          <t>Providing &amp;Fixing 18mm Thick Granite Urinal partition embedded in wall. All Exposed edges to be polished. Size: 450 x 900mm. Granite - Ruby Red or Bruno Red or RBI Red - Basic Rate Rs 150 per Sft</t>
        </is>
      </c>
      <c r="D929" s="5" t="inlineStr">
        <is>
          <t>Nos</t>
        </is>
      </c>
      <c r="E929" s="16" t="n">
        <v>1</v>
      </c>
      <c r="F929" s="20" t="n"/>
      <c r="G929" s="47" t="n"/>
      <c r="H929" s="47" t="n"/>
      <c r="I929" s="47" t="n"/>
      <c r="J929" s="47" t="n"/>
      <c r="K929" s="20" t="n">
        <v/>
      </c>
      <c r="L929" s="47" t="n">
        <v/>
      </c>
      <c r="M929" s="47" t="n">
        <v/>
      </c>
      <c r="N929" s="47" t="n">
        <v/>
      </c>
      <c r="O929" s="47" t="n">
        <v/>
      </c>
      <c r="P929" s="88" t="n"/>
    </row>
    <row r="930" customFormat="1" s="2">
      <c r="A930" s="6" t="n"/>
      <c r="B930" s="4" t="n"/>
      <c r="C930" s="14" t="inlineStr">
        <is>
          <t>Gents Toilet</t>
        </is>
      </c>
      <c r="D930" s="7" t="n"/>
      <c r="E930" s="17" t="n"/>
      <c r="F930" s="20" t="n"/>
      <c r="G930" s="47" t="n"/>
      <c r="H930" s="47" t="n"/>
      <c r="I930" s="47" t="n"/>
      <c r="J930" s="47">
        <f>PRODUCT(E930:I930)</f>
        <v/>
      </c>
      <c r="K930" s="20" t="n">
        <v/>
      </c>
      <c r="L930" s="47" t="n">
        <v/>
      </c>
      <c r="M930" s="47" t="n">
        <v/>
      </c>
      <c r="N930" s="47" t="n">
        <v/>
      </c>
      <c r="O930" s="47" t="n">
        <v/>
      </c>
      <c r="P930" s="88" t="n"/>
    </row>
    <row r="931" customFormat="1" s="2">
      <c r="A931" s="6" t="n"/>
      <c r="B931" s="4" t="n"/>
      <c r="C931" s="4" t="inlineStr">
        <is>
          <t>Urinal Partition</t>
        </is>
      </c>
      <c r="D931" s="7" t="inlineStr">
        <is>
          <t>Nos</t>
        </is>
      </c>
      <c r="E931" s="17" t="n"/>
      <c r="F931" s="20" t="n">
        <v>1</v>
      </c>
      <c r="G931" s="47" t="n"/>
      <c r="H931" s="47" t="n"/>
      <c r="I931" s="47" t="n"/>
      <c r="J931" s="47">
        <f>PRODUCT(E931:I931)</f>
        <v/>
      </c>
      <c r="K931" s="20" t="n">
        <v>1</v>
      </c>
      <c r="L931" s="47" t="n">
        <v/>
      </c>
      <c r="M931" s="47" t="n">
        <v/>
      </c>
      <c r="N931" s="47" t="n">
        <v/>
      </c>
      <c r="O931" s="47" t="n">
        <v/>
      </c>
      <c r="P931" s="88" t="n"/>
    </row>
    <row r="932" customFormat="1" s="2">
      <c r="A932" s="6" t="n"/>
      <c r="B932" s="4" t="n"/>
      <c r="C932" s="4" t="n"/>
      <c r="D932" s="7" t="n"/>
      <c r="E932" s="17" t="n"/>
      <c r="F932" s="20" t="n"/>
      <c r="G932" s="47" t="n"/>
      <c r="H932" s="47" t="n"/>
      <c r="I932" s="47" t="n"/>
      <c r="J932" s="47">
        <f>PRODUCT(E932:I932)</f>
        <v/>
      </c>
      <c r="K932" s="20" t="n">
        <v/>
      </c>
      <c r="L932" s="47" t="n">
        <v/>
      </c>
      <c r="M932" s="47" t="n">
        <v/>
      </c>
      <c r="N932" s="47" t="n">
        <v/>
      </c>
      <c r="O932" s="47" t="n">
        <v/>
      </c>
      <c r="P932" s="88" t="n"/>
    </row>
    <row r="933" customFormat="1" s="2">
      <c r="A933" s="112" t="n"/>
      <c r="B933" s="112" t="n"/>
      <c r="C933" s="112" t="inlineStr">
        <is>
          <t>Total Qty</t>
        </is>
      </c>
      <c r="D933" s="120" t="n"/>
      <c r="E933" s="121" t="n"/>
      <c r="F933" s="123" t="n"/>
      <c r="G933" s="123" t="n"/>
      <c r="H933" s="123" t="n"/>
      <c r="I933" s="123" t="n"/>
      <c r="J933" s="123">
        <f>SUM(J930:J932)</f>
        <v/>
      </c>
      <c r="K933" s="123" t="n">
        <v/>
      </c>
      <c r="L933" s="123" t="n">
        <v/>
      </c>
      <c r="M933" s="123" t="n">
        <v/>
      </c>
      <c r="N933" s="123" t="n">
        <v/>
      </c>
      <c r="O933" s="123" t="n">
        <v/>
      </c>
      <c r="P933" s="88" t="n"/>
    </row>
    <row r="934" customFormat="1" s="2">
      <c r="A934" s="6" t="n"/>
      <c r="B934" s="4" t="n"/>
      <c r="C934" s="4" t="n"/>
      <c r="D934" s="7" t="n"/>
      <c r="E934" s="17" t="n"/>
      <c r="F934" s="20" t="n"/>
      <c r="G934" s="47" t="n"/>
      <c r="H934" s="47" t="n"/>
      <c r="I934" s="47" t="n"/>
      <c r="J934" s="47" t="n"/>
      <c r="K934" s="20" t="n">
        <v/>
      </c>
      <c r="L934" s="47" t="n">
        <v/>
      </c>
      <c r="M934" s="47" t="n">
        <v/>
      </c>
      <c r="N934" s="47" t="n">
        <v/>
      </c>
      <c r="O934" s="47" t="n">
        <v/>
      </c>
      <c r="P934" s="88" t="n"/>
    </row>
    <row r="935" ht="96.59999999999999" customFormat="1" customHeight="1" s="2">
      <c r="A935" s="6">
        <f>A929+1</f>
        <v/>
      </c>
      <c r="B935" s="4" t="inlineStr">
        <is>
          <t>Pantry Sink Counters</t>
        </is>
      </c>
      <c r="C935" s="4"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D935" s="7" t="inlineStr">
        <is>
          <t>Rft</t>
        </is>
      </c>
      <c r="E935" s="17" t="n">
        <v>5</v>
      </c>
      <c r="F935" s="20" t="n"/>
      <c r="G935" s="47" t="n"/>
      <c r="H935" s="47" t="n"/>
      <c r="I935" s="47" t="n"/>
      <c r="J935" s="47" t="n"/>
      <c r="K935" s="20" t="n">
        <v/>
      </c>
      <c r="L935" s="47" t="n">
        <v/>
      </c>
      <c r="M935" s="47" t="n">
        <v/>
      </c>
      <c r="N935" s="47" t="n">
        <v/>
      </c>
      <c r="O935" s="47" t="n">
        <v/>
      </c>
      <c r="P935" s="88" t="n"/>
    </row>
    <row r="936" customFormat="1" s="2">
      <c r="A936" s="6" t="n"/>
      <c r="B936" s="4" t="n"/>
      <c r="C936" s="14" t="inlineStr">
        <is>
          <t>Pantry Area</t>
        </is>
      </c>
      <c r="D936" s="7" t="n"/>
      <c r="E936" s="17" t="n"/>
      <c r="F936" s="20" t="n"/>
      <c r="G936" s="47" t="n"/>
      <c r="H936" s="47" t="n"/>
      <c r="I936" s="47" t="n"/>
      <c r="J936" s="47">
        <f>PRODUCT(E936:I936)</f>
        <v/>
      </c>
      <c r="K936" s="20" t="n">
        <v/>
      </c>
      <c r="L936" s="47" t="n">
        <v/>
      </c>
      <c r="M936" s="47" t="n">
        <v/>
      </c>
      <c r="N936" s="47" t="n">
        <v/>
      </c>
      <c r="O936" s="47" t="n">
        <v/>
      </c>
      <c r="P936" s="88" t="n"/>
    </row>
    <row r="937" customFormat="1" s="2">
      <c r="A937" s="6" t="n"/>
      <c r="B937" s="4" t="n"/>
      <c r="C937" s="4" t="inlineStr">
        <is>
          <t>Counter Area</t>
        </is>
      </c>
      <c r="D937" s="7" t="inlineStr">
        <is>
          <t>Rft</t>
        </is>
      </c>
      <c r="E937" s="17" t="n"/>
      <c r="F937" s="20" t="n">
        <v>1</v>
      </c>
      <c r="G937" s="47" t="n">
        <v>5</v>
      </c>
      <c r="H937" s="47" t="n"/>
      <c r="I937" s="47" t="n"/>
      <c r="J937" s="47">
        <f>PRODUCT(E937:I937)</f>
        <v/>
      </c>
      <c r="K937" s="20" t="n">
        <v>1</v>
      </c>
      <c r="L937" s="47" t="n">
        <v/>
      </c>
      <c r="M937" s="47" t="n">
        <v/>
      </c>
      <c r="N937" s="47" t="n">
        <v/>
      </c>
      <c r="O937" s="47" t="n">
        <v/>
      </c>
      <c r="P937" s="88" t="n"/>
    </row>
    <row r="938" customFormat="1" s="2">
      <c r="A938" s="6" t="n"/>
      <c r="B938" s="4" t="n"/>
      <c r="C938" s="4" t="n"/>
      <c r="D938" s="7" t="n"/>
      <c r="E938" s="17" t="n"/>
      <c r="F938" s="20" t="n"/>
      <c r="G938" s="47" t="n"/>
      <c r="H938" s="47" t="n"/>
      <c r="I938" s="47" t="n"/>
      <c r="J938" s="47">
        <f>PRODUCT(E938:I938)</f>
        <v/>
      </c>
      <c r="K938" s="20" t="n">
        <v/>
      </c>
      <c r="L938" s="47" t="n">
        <v/>
      </c>
      <c r="M938" s="47" t="n">
        <v/>
      </c>
      <c r="N938" s="47" t="n">
        <v/>
      </c>
      <c r="O938" s="47" t="n">
        <v/>
      </c>
      <c r="P938" s="88" t="n"/>
    </row>
    <row r="939" customFormat="1" s="2">
      <c r="A939" s="112" t="n"/>
      <c r="B939" s="112" t="n"/>
      <c r="C939" s="112" t="inlineStr">
        <is>
          <t>Total Qty</t>
        </is>
      </c>
      <c r="D939" s="120" t="n"/>
      <c r="E939" s="121" t="n"/>
      <c r="F939" s="123" t="n"/>
      <c r="G939" s="123" t="n"/>
      <c r="H939" s="123" t="n"/>
      <c r="I939" s="123" t="n"/>
      <c r="J939" s="123">
        <f>SUM(J936:J938)</f>
        <v/>
      </c>
      <c r="K939" s="123" t="n">
        <v/>
      </c>
      <c r="L939" s="123" t="n">
        <v/>
      </c>
      <c r="M939" s="123" t="n">
        <v/>
      </c>
      <c r="N939" s="123" t="n">
        <v/>
      </c>
      <c r="O939" s="123" t="n">
        <v/>
      </c>
      <c r="P939" s="88" t="n"/>
    </row>
    <row r="940" customFormat="1" s="2">
      <c r="A940" s="6" t="n"/>
      <c r="B940" s="4" t="n"/>
      <c r="C940" s="4" t="n"/>
      <c r="D940" s="7" t="n"/>
      <c r="E940" s="17" t="n"/>
      <c r="F940" s="20" t="n"/>
      <c r="G940" s="47" t="n"/>
      <c r="H940" s="47" t="n"/>
      <c r="I940" s="47" t="n"/>
      <c r="J940" s="47" t="n"/>
      <c r="K940" s="20" t="n">
        <v/>
      </c>
      <c r="L940" s="47" t="n">
        <v/>
      </c>
      <c r="M940" s="47" t="n">
        <v/>
      </c>
      <c r="N940" s="47" t="n">
        <v/>
      </c>
      <c r="O940" s="47" t="n">
        <v/>
      </c>
      <c r="P940" s="88" t="n"/>
    </row>
    <row r="941" ht="124.2" customFormat="1" customHeight="1" s="2">
      <c r="A941" s="6">
        <f>A935+1</f>
        <v/>
      </c>
      <c r="B941" s="4" t="inlineStr">
        <is>
          <t>Full height Partition between ATM &amp;UPS room</t>
        </is>
      </c>
      <c r="C94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D941" s="7" t="inlineStr">
        <is>
          <t>sft</t>
        </is>
      </c>
      <c r="E941" s="17" t="n">
        <v>83</v>
      </c>
      <c r="F941" s="20" t="n"/>
      <c r="G941" s="47" t="n"/>
      <c r="H941" s="47" t="n"/>
      <c r="I941" s="47" t="n"/>
      <c r="J941" s="47" t="n"/>
      <c r="K941" s="20" t="n">
        <v/>
      </c>
      <c r="L941" s="47" t="n">
        <v/>
      </c>
      <c r="M941" s="47" t="n">
        <v/>
      </c>
      <c r="N941" s="47" t="n">
        <v/>
      </c>
      <c r="O941" s="47" t="n">
        <v/>
      </c>
      <c r="P941" s="88" t="n"/>
    </row>
    <row r="942" customFormat="1" s="2">
      <c r="A942" s="6" t="n"/>
      <c r="B942" s="4" t="n"/>
      <c r="C942" s="14" t="inlineStr">
        <is>
          <t xml:space="preserve">Full height Partition between ATM &amp;UPS room </t>
        </is>
      </c>
      <c r="D942" s="7" t="n"/>
      <c r="E942" s="17" t="n"/>
      <c r="F942" s="20" t="n"/>
      <c r="G942" s="47" t="n"/>
      <c r="H942" s="47" t="n"/>
      <c r="I942" s="47" t="n"/>
      <c r="J942" s="47">
        <f>PRODUCT(E942:I942)</f>
        <v/>
      </c>
      <c r="K942" s="20" t="n">
        <v/>
      </c>
      <c r="L942" s="47" t="n">
        <v/>
      </c>
      <c r="M942" s="47" t="n">
        <v/>
      </c>
      <c r="N942" s="47" t="n">
        <v/>
      </c>
      <c r="O942" s="47" t="n">
        <v/>
      </c>
      <c r="P942" s="88" t="n"/>
    </row>
    <row r="943" customFormat="1" s="2">
      <c r="A943" s="6" t="n"/>
      <c r="B943" s="4" t="n"/>
      <c r="C943" s="4" t="inlineStr">
        <is>
          <t xml:space="preserve">Full height Partition </t>
        </is>
      </c>
      <c r="D943" s="7" t="inlineStr">
        <is>
          <t>Sq.ft</t>
        </is>
      </c>
      <c r="E943" s="17" t="n"/>
      <c r="F943" s="20" t="n">
        <v>1</v>
      </c>
      <c r="G943" s="47" t="n">
        <v>7.01</v>
      </c>
      <c r="H943" s="47" t="n"/>
      <c r="I943" s="47" t="n">
        <v>11</v>
      </c>
      <c r="J943" s="47">
        <f>PRODUCT(E943:I943)</f>
        <v/>
      </c>
      <c r="K943" s="20" t="n">
        <v>1</v>
      </c>
      <c r="L943" s="47" t="n">
        <v/>
      </c>
      <c r="M943" s="47" t="n">
        <v/>
      </c>
      <c r="N943" s="47" t="n">
        <v/>
      </c>
      <c r="O943" s="47" t="n">
        <v/>
      </c>
      <c r="P943" s="88" t="n"/>
    </row>
    <row r="944" customFormat="1" s="2">
      <c r="A944" s="6" t="n"/>
      <c r="B944" s="4" t="n"/>
      <c r="C944" s="4" t="inlineStr">
        <is>
          <t>Door Area Less ( - )</t>
        </is>
      </c>
      <c r="D944" s="7" t="inlineStr">
        <is>
          <t>Sq.ft</t>
        </is>
      </c>
      <c r="E944" s="17" t="n"/>
      <c r="F944" s="20" t="n">
        <v>-1</v>
      </c>
      <c r="G944" s="47" t="n">
        <v>1.5</v>
      </c>
      <c r="H944" s="47" t="n"/>
      <c r="I944" s="47" t="n">
        <v>6.84</v>
      </c>
      <c r="J944" s="47">
        <f>PRODUCT(E944:I944)</f>
        <v/>
      </c>
      <c r="K944" s="20" t="n">
        <v>-1</v>
      </c>
      <c r="L944" s="47" t="n">
        <v/>
      </c>
      <c r="M944" s="47" t="n">
        <v/>
      </c>
      <c r="N944" s="47" t="n">
        <v/>
      </c>
      <c r="O944" s="47" t="n">
        <v/>
      </c>
      <c r="P944" s="88" t="n"/>
    </row>
    <row r="945" customFormat="1" s="2">
      <c r="A945" s="6" t="n"/>
      <c r="B945" s="4" t="n"/>
      <c r="C945" s="4" t="inlineStr">
        <is>
          <t>Right Side Partition</t>
        </is>
      </c>
      <c r="D945" s="7" t="inlineStr">
        <is>
          <t>Sq.ft</t>
        </is>
      </c>
      <c r="E945" s="17" t="n"/>
      <c r="F945" s="20" t="n">
        <v>1</v>
      </c>
      <c r="G945" s="47" t="n">
        <v>6.52</v>
      </c>
      <c r="H945" s="47" t="n"/>
      <c r="I945" s="47" t="n">
        <v>8</v>
      </c>
      <c r="J945" s="47">
        <f>PRODUCT(E945:I945)</f>
        <v/>
      </c>
      <c r="K945" s="20" t="n">
        <v>1</v>
      </c>
      <c r="L945" s="47" t="n">
        <v/>
      </c>
      <c r="M945" s="47" t="n">
        <v/>
      </c>
      <c r="N945" s="47" t="n">
        <v/>
      </c>
      <c r="O945" s="47" t="n">
        <v/>
      </c>
      <c r="P945" s="88" t="n"/>
    </row>
    <row r="946" customFormat="1" s="2">
      <c r="A946" s="6" t="n"/>
      <c r="B946" s="4" t="n"/>
      <c r="C946" s="4" t="n"/>
      <c r="D946" s="7" t="n"/>
      <c r="E946" s="17" t="n"/>
      <c r="F946" s="20" t="n"/>
      <c r="G946" s="47" t="n"/>
      <c r="H946" s="47" t="n"/>
      <c r="I946" s="47" t="n"/>
      <c r="J946" s="47">
        <f>PRODUCT(E946:I946)</f>
        <v/>
      </c>
      <c r="K946" s="20" t="n">
        <v/>
      </c>
      <c r="L946" s="47" t="n">
        <v/>
      </c>
      <c r="M946" s="47" t="n">
        <v/>
      </c>
      <c r="N946" s="47" t="n">
        <v/>
      </c>
      <c r="O946" s="47" t="n">
        <v/>
      </c>
      <c r="P946" s="88" t="n"/>
    </row>
    <row r="947" customFormat="1" s="2">
      <c r="A947" s="112" t="n"/>
      <c r="B947" s="112" t="n"/>
      <c r="C947" s="112" t="inlineStr">
        <is>
          <t>Total Qty</t>
        </is>
      </c>
      <c r="D947" s="120" t="n"/>
      <c r="E947" s="121" t="n"/>
      <c r="F947" s="123" t="n"/>
      <c r="G947" s="123" t="n"/>
      <c r="H947" s="123" t="n"/>
      <c r="I947" s="123" t="n"/>
      <c r="J947" s="123">
        <f>ROUND(SUM(J942:J946),)</f>
        <v/>
      </c>
      <c r="K947" s="123" t="n">
        <v/>
      </c>
      <c r="L947" s="123" t="n">
        <v/>
      </c>
      <c r="M947" s="123" t="n">
        <v/>
      </c>
      <c r="N947" s="123" t="n">
        <v/>
      </c>
      <c r="O947" s="123" t="n">
        <v/>
      </c>
      <c r="P947" s="88" t="n"/>
    </row>
    <row r="948" customFormat="1" s="2">
      <c r="A948" s="6" t="n"/>
      <c r="B948" s="4" t="n"/>
      <c r="C948" s="4" t="n"/>
      <c r="D948" s="7" t="n"/>
      <c r="E948" s="17" t="n"/>
      <c r="F948" s="20" t="n"/>
      <c r="G948" s="47" t="n"/>
      <c r="H948" s="47" t="n"/>
      <c r="I948" s="47" t="n"/>
      <c r="J948" s="47" t="n"/>
      <c r="K948" s="20" t="n">
        <v/>
      </c>
      <c r="L948" s="47" t="n">
        <v/>
      </c>
      <c r="M948" s="47" t="n">
        <v/>
      </c>
      <c r="N948" s="47" t="n">
        <v/>
      </c>
      <c r="O948" s="47" t="n">
        <v/>
      </c>
      <c r="P948" s="88" t="n"/>
    </row>
    <row r="949" ht="151.8" customFormat="1" customHeight="1" s="2">
      <c r="A949" s="6">
        <f>A941+1</f>
        <v/>
      </c>
      <c r="B949" s="4" t="inlineStr">
        <is>
          <t>Managers table E3 ALLEN TYPE</t>
        </is>
      </c>
      <c r="C949" s="4"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D949" s="7" t="inlineStr">
        <is>
          <t>nos</t>
        </is>
      </c>
      <c r="E949" s="17" t="n">
        <v>1</v>
      </c>
      <c r="F949" s="20" t="n"/>
      <c r="G949" s="47" t="n"/>
      <c r="H949" s="47" t="n"/>
      <c r="I949" s="47" t="n"/>
      <c r="J949" s="47" t="n"/>
      <c r="K949" s="20" t="n">
        <v/>
      </c>
      <c r="L949" s="47" t="n">
        <v/>
      </c>
      <c r="M949" s="47" t="n">
        <v/>
      </c>
      <c r="N949" s="47" t="n">
        <v/>
      </c>
      <c r="O949" s="47" t="n">
        <v/>
      </c>
      <c r="P949" s="88" t="n"/>
    </row>
    <row r="950" customFormat="1" s="2">
      <c r="A950" s="6" t="n"/>
      <c r="B950" s="4" t="n"/>
      <c r="C950" s="14" t="inlineStr">
        <is>
          <t>BM Cabin</t>
        </is>
      </c>
      <c r="D950" s="7" t="n"/>
      <c r="E950" s="17" t="n"/>
      <c r="F950" s="20" t="n"/>
      <c r="G950" s="47" t="n"/>
      <c r="H950" s="47" t="n"/>
      <c r="I950" s="47" t="n"/>
      <c r="J950" s="47">
        <f>PRODUCT(E950:I950)</f>
        <v/>
      </c>
      <c r="K950" s="20" t="n">
        <v/>
      </c>
      <c r="L950" s="47" t="n">
        <v/>
      </c>
      <c r="M950" s="47" t="n">
        <v/>
      </c>
      <c r="N950" s="47" t="n">
        <v/>
      </c>
      <c r="O950" s="47" t="n">
        <v/>
      </c>
      <c r="P950" s="88" t="n"/>
    </row>
    <row r="951" customFormat="1" s="2">
      <c r="A951" s="6" t="n"/>
      <c r="B951" s="4" t="n"/>
      <c r="C951" s="4" t="inlineStr">
        <is>
          <t>Table</t>
        </is>
      </c>
      <c r="D951" s="7" t="inlineStr">
        <is>
          <t>Nos</t>
        </is>
      </c>
      <c r="E951" s="17" t="n"/>
      <c r="F951" s="20" t="n">
        <v>1</v>
      </c>
      <c r="G951" s="47" t="n"/>
      <c r="H951" s="47" t="n"/>
      <c r="I951" s="47" t="n"/>
      <c r="J951" s="47">
        <f>PRODUCT(E951:I951)</f>
        <v/>
      </c>
      <c r="K951" s="20" t="n">
        <v>1</v>
      </c>
      <c r="L951" s="47" t="n">
        <v/>
      </c>
      <c r="M951" s="47" t="n">
        <v/>
      </c>
      <c r="N951" s="47" t="n">
        <v/>
      </c>
      <c r="O951" s="47" t="n">
        <v/>
      </c>
      <c r="P951" s="88" t="n"/>
    </row>
    <row r="952" customFormat="1" s="2">
      <c r="A952" s="6" t="n"/>
      <c r="B952" s="4" t="n"/>
      <c r="C952" s="4" t="n"/>
      <c r="D952" s="7" t="n"/>
      <c r="E952" s="17" t="n"/>
      <c r="F952" s="20" t="n"/>
      <c r="G952" s="47" t="n"/>
      <c r="H952" s="47" t="n"/>
      <c r="I952" s="47" t="n"/>
      <c r="J952" s="47">
        <f>PRODUCT(E952:I952)</f>
        <v/>
      </c>
      <c r="K952" s="20" t="n">
        <v/>
      </c>
      <c r="L952" s="47" t="n">
        <v/>
      </c>
      <c r="M952" s="47" t="n">
        <v/>
      </c>
      <c r="N952" s="47" t="n">
        <v/>
      </c>
      <c r="O952" s="47" t="n">
        <v/>
      </c>
      <c r="P952" s="88" t="n"/>
    </row>
    <row r="953" customFormat="1" s="2">
      <c r="A953" s="112" t="n"/>
      <c r="B953" s="112" t="n"/>
      <c r="C953" s="112" t="inlineStr">
        <is>
          <t>Total Qty</t>
        </is>
      </c>
      <c r="D953" s="120" t="n"/>
      <c r="E953" s="121" t="n"/>
      <c r="F953" s="123" t="n"/>
      <c r="G953" s="123" t="n"/>
      <c r="H953" s="123" t="n"/>
      <c r="I953" s="123" t="n"/>
      <c r="J953" s="123">
        <f>SUM(J950:J952)</f>
        <v/>
      </c>
      <c r="K953" s="123" t="n">
        <v/>
      </c>
      <c r="L953" s="123" t="n">
        <v/>
      </c>
      <c r="M953" s="123" t="n">
        <v/>
      </c>
      <c r="N953" s="123" t="n">
        <v/>
      </c>
      <c r="O953" s="123" t="n">
        <v/>
      </c>
      <c r="P953" s="88" t="n"/>
    </row>
    <row r="954" customFormat="1" s="2">
      <c r="A954" s="6" t="n"/>
      <c r="B954" s="4" t="n"/>
      <c r="C954" s="4" t="n"/>
      <c r="D954" s="7" t="n"/>
      <c r="E954" s="17" t="n"/>
      <c r="F954" s="20" t="n"/>
      <c r="G954" s="47" t="n"/>
      <c r="H954" s="47" t="n"/>
      <c r="I954" s="47" t="n"/>
      <c r="J954" s="47" t="n"/>
      <c r="K954" s="20" t="n">
        <v/>
      </c>
      <c r="L954" s="47" t="n">
        <v/>
      </c>
      <c r="M954" s="47" t="n">
        <v/>
      </c>
      <c r="N954" s="47" t="n">
        <v/>
      </c>
      <c r="O954" s="47" t="n">
        <v/>
      </c>
      <c r="P954" s="88" t="n"/>
    </row>
    <row r="955" ht="151.8" customFormat="1" customHeight="1" s="2">
      <c r="A955" s="6">
        <f>A949+1</f>
        <v/>
      </c>
      <c r="B955" s="4" t="inlineStr">
        <is>
          <t>Managers storage unit E4</t>
        </is>
      </c>
      <c r="C955" s="4"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D955" s="7" t="inlineStr">
        <is>
          <t>nos</t>
        </is>
      </c>
      <c r="E955" s="17" t="n">
        <v>1</v>
      </c>
      <c r="F955" s="20" t="n"/>
      <c r="G955" s="47" t="n"/>
      <c r="H955" s="47" t="n"/>
      <c r="I955" s="47" t="n"/>
      <c r="J955" s="47" t="n"/>
      <c r="K955" s="20" t="n">
        <v/>
      </c>
      <c r="L955" s="47" t="n">
        <v/>
      </c>
      <c r="M955" s="47" t="n">
        <v/>
      </c>
      <c r="N955" s="47" t="n">
        <v/>
      </c>
      <c r="O955" s="47" t="n">
        <v/>
      </c>
      <c r="P955" s="88" t="n"/>
    </row>
    <row r="956" customFormat="1" s="2">
      <c r="A956" s="6" t="n"/>
      <c r="B956" s="4" t="n"/>
      <c r="C956" s="14" t="inlineStr">
        <is>
          <t>BM Cabin</t>
        </is>
      </c>
      <c r="D956" s="7" t="n"/>
      <c r="E956" s="17" t="n"/>
      <c r="F956" s="20" t="n"/>
      <c r="G956" s="47" t="n"/>
      <c r="H956" s="47" t="n"/>
      <c r="I956" s="47" t="n"/>
      <c r="J956" s="47">
        <f>PRODUCT(E956:I956)</f>
        <v/>
      </c>
      <c r="K956" s="20" t="n">
        <v/>
      </c>
      <c r="L956" s="47" t="n">
        <v/>
      </c>
      <c r="M956" s="47" t="n">
        <v/>
      </c>
      <c r="N956" s="47" t="n">
        <v/>
      </c>
      <c r="O956" s="47" t="n">
        <v/>
      </c>
      <c r="P956" s="88" t="n"/>
    </row>
    <row r="957" customFormat="1" s="2">
      <c r="A957" s="6" t="n"/>
      <c r="B957" s="4" t="n"/>
      <c r="C957" s="4" t="inlineStr">
        <is>
          <t>Side Storage</t>
        </is>
      </c>
      <c r="D957" s="7" t="inlineStr">
        <is>
          <t>Nos</t>
        </is>
      </c>
      <c r="E957" s="17" t="n"/>
      <c r="F957" s="20" t="n">
        <v>1</v>
      </c>
      <c r="G957" s="47" t="n"/>
      <c r="H957" s="47" t="n"/>
      <c r="I957" s="47" t="n"/>
      <c r="J957" s="47">
        <f>PRODUCT(E957:I957)</f>
        <v/>
      </c>
      <c r="K957" s="20" t="n">
        <v>1</v>
      </c>
      <c r="L957" s="47" t="n">
        <v/>
      </c>
      <c r="M957" s="47" t="n">
        <v/>
      </c>
      <c r="N957" s="47" t="n">
        <v/>
      </c>
      <c r="O957" s="47" t="n">
        <v/>
      </c>
      <c r="P957" s="88" t="n"/>
    </row>
    <row r="958" customFormat="1" s="2">
      <c r="A958" s="6" t="n"/>
      <c r="B958" s="4" t="n"/>
      <c r="C958" s="4" t="n"/>
      <c r="D958" s="7" t="n"/>
      <c r="E958" s="17" t="n"/>
      <c r="F958" s="20" t="n"/>
      <c r="G958" s="47" t="n"/>
      <c r="H958" s="47" t="n"/>
      <c r="I958" s="47" t="n"/>
      <c r="J958" s="47">
        <f>PRODUCT(E958:I958)</f>
        <v/>
      </c>
      <c r="K958" s="20" t="n">
        <v/>
      </c>
      <c r="L958" s="47" t="n">
        <v/>
      </c>
      <c r="M958" s="47" t="n">
        <v/>
      </c>
      <c r="N958" s="47" t="n">
        <v/>
      </c>
      <c r="O958" s="47" t="n">
        <v/>
      </c>
      <c r="P958" s="88" t="n"/>
    </row>
    <row r="959" customFormat="1" s="2">
      <c r="A959" s="112" t="n"/>
      <c r="B959" s="112" t="n"/>
      <c r="C959" s="112" t="inlineStr">
        <is>
          <t>Total Qty</t>
        </is>
      </c>
      <c r="D959" s="120" t="n"/>
      <c r="E959" s="121" t="n"/>
      <c r="F959" s="123" t="n"/>
      <c r="G959" s="123" t="n"/>
      <c r="H959" s="123" t="n"/>
      <c r="I959" s="123" t="n"/>
      <c r="J959" s="123">
        <f>SUM(J956:J958)</f>
        <v/>
      </c>
      <c r="K959" s="123" t="n">
        <v/>
      </c>
      <c r="L959" s="123" t="n">
        <v/>
      </c>
      <c r="M959" s="123" t="n">
        <v/>
      </c>
      <c r="N959" s="123" t="n">
        <v/>
      </c>
      <c r="O959" s="123" t="n">
        <v/>
      </c>
      <c r="P959" s="88" t="n"/>
    </row>
    <row r="960" customFormat="1" s="2">
      <c r="A960" s="6" t="n"/>
      <c r="B960" s="4" t="n"/>
      <c r="C960" s="4" t="n"/>
      <c r="D960" s="7" t="n"/>
      <c r="E960" s="17" t="n"/>
      <c r="F960" s="20" t="n"/>
      <c r="G960" s="47" t="n"/>
      <c r="H960" s="47" t="n"/>
      <c r="I960" s="47" t="n"/>
      <c r="J960" s="47" t="n"/>
      <c r="K960" s="20" t="n">
        <v/>
      </c>
      <c r="L960" s="47" t="n">
        <v/>
      </c>
      <c r="M960" s="47" t="n">
        <v/>
      </c>
      <c r="N960" s="47" t="n">
        <v/>
      </c>
      <c r="O960" s="47" t="n">
        <v/>
      </c>
      <c r="P960" s="88" t="n"/>
    </row>
    <row r="961" ht="138" customFormat="1" customHeight="1" s="2">
      <c r="A961" s="6">
        <f>A955+1</f>
        <v/>
      </c>
      <c r="B961" s="4" t="inlineStr">
        <is>
          <t>Back Office Table E5</t>
        </is>
      </c>
      <c r="C961"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D961" s="7" t="inlineStr">
        <is>
          <t>nos</t>
        </is>
      </c>
      <c r="E961" s="17" t="n">
        <v>3</v>
      </c>
      <c r="F961" s="20" t="n"/>
      <c r="G961" s="47" t="n"/>
      <c r="H961" s="47" t="n"/>
      <c r="I961" s="47" t="n"/>
      <c r="J961" s="47" t="n"/>
      <c r="K961" s="20" t="n">
        <v/>
      </c>
      <c r="L961" s="47" t="n">
        <v/>
      </c>
      <c r="M961" s="47" t="n">
        <v/>
      </c>
      <c r="N961" s="47" t="n">
        <v/>
      </c>
      <c r="O961" s="47" t="n">
        <v/>
      </c>
      <c r="P961" s="88" t="n"/>
    </row>
    <row r="962" customFormat="1" s="2">
      <c r="A962" s="6" t="n"/>
      <c r="B962" s="4" t="n"/>
      <c r="C962" s="14" t="inlineStr">
        <is>
          <t>Back Office Table</t>
        </is>
      </c>
      <c r="D962" s="7" t="n"/>
      <c r="E962" s="17" t="n"/>
      <c r="F962" s="20" t="n"/>
      <c r="G962" s="47" t="n"/>
      <c r="H962" s="47" t="n"/>
      <c r="I962" s="47" t="n"/>
      <c r="J962" s="47">
        <f>PRODUCT(F962:I962)</f>
        <v/>
      </c>
      <c r="K962" s="20" t="n">
        <v/>
      </c>
      <c r="L962" s="47" t="n">
        <v/>
      </c>
      <c r="M962" s="47" t="n">
        <v/>
      </c>
      <c r="N962" s="47" t="n">
        <v/>
      </c>
      <c r="O962" s="47" t="n">
        <v/>
      </c>
      <c r="P962" s="88" t="n"/>
    </row>
    <row r="963" customFormat="1" s="2">
      <c r="A963" s="6" t="n"/>
      <c r="B963" s="4" t="n"/>
      <c r="C963" s="4" t="inlineStr">
        <is>
          <t>Meeting Room</t>
        </is>
      </c>
      <c r="D963" s="7" t="inlineStr">
        <is>
          <t>Nos</t>
        </is>
      </c>
      <c r="E963" s="17" t="n"/>
      <c r="F963" s="20" t="n">
        <v>6</v>
      </c>
      <c r="G963" s="47" t="n"/>
      <c r="H963" s="47" t="n"/>
      <c r="I963" s="47" t="n"/>
      <c r="J963" s="47">
        <f>PRODUCT(F963:I963)</f>
        <v/>
      </c>
      <c r="K963" s="20" t="n">
        <v>6</v>
      </c>
      <c r="L963" s="47" t="n">
        <v/>
      </c>
      <c r="M963" s="47" t="n">
        <v/>
      </c>
      <c r="N963" s="47" t="n">
        <v/>
      </c>
      <c r="O963" s="47" t="n">
        <v/>
      </c>
      <c r="P963" s="88" t="n"/>
    </row>
    <row r="964" customFormat="1" s="2">
      <c r="A964" s="6" t="n"/>
      <c r="B964" s="4" t="n"/>
      <c r="C964" s="4" t="n"/>
      <c r="D964" s="7" t="n"/>
      <c r="E964" s="17" t="n"/>
      <c r="F964" s="20" t="n"/>
      <c r="G964" s="47" t="n"/>
      <c r="H964" s="47" t="n"/>
      <c r="I964" s="47" t="n"/>
      <c r="J964" s="47">
        <f>PRODUCT(F964:I964)</f>
        <v/>
      </c>
      <c r="K964" s="20" t="n">
        <v/>
      </c>
      <c r="L964" s="47" t="n">
        <v/>
      </c>
      <c r="M964" s="47" t="n">
        <v/>
      </c>
      <c r="N964" s="47" t="n">
        <v/>
      </c>
      <c r="O964" s="47" t="n">
        <v/>
      </c>
      <c r="P964" s="88" t="n"/>
    </row>
    <row r="965" customFormat="1" s="2">
      <c r="A965" s="112" t="n"/>
      <c r="B965" s="112" t="n"/>
      <c r="C965" s="112" t="inlineStr">
        <is>
          <t>Total Qty</t>
        </is>
      </c>
      <c r="D965" s="120" t="n"/>
      <c r="E965" s="121" t="n"/>
      <c r="F965" s="123" t="n"/>
      <c r="G965" s="123" t="n"/>
      <c r="H965" s="123" t="n"/>
      <c r="I965" s="123" t="n"/>
      <c r="J965" s="123">
        <f>SUM(J962:J964)</f>
        <v/>
      </c>
      <c r="K965" s="123" t="n">
        <v/>
      </c>
      <c r="L965" s="123" t="n">
        <v/>
      </c>
      <c r="M965" s="123" t="n">
        <v/>
      </c>
      <c r="N965" s="123" t="n">
        <v/>
      </c>
      <c r="O965" s="123" t="n">
        <v/>
      </c>
      <c r="P965" s="88" t="n"/>
    </row>
    <row r="966" customFormat="1" s="2">
      <c r="A966" s="6" t="n"/>
      <c r="B966" s="4" t="n"/>
      <c r="C966" s="4" t="n"/>
      <c r="D966" s="7" t="n"/>
      <c r="E966" s="17" t="n"/>
      <c r="F966" s="20" t="n"/>
      <c r="G966" s="47" t="n"/>
      <c r="H966" s="47" t="n"/>
      <c r="I966" s="47" t="n"/>
      <c r="J966" s="47" t="n"/>
      <c r="K966" s="20" t="n">
        <v/>
      </c>
      <c r="L966" s="47" t="n">
        <v/>
      </c>
      <c r="M966" s="47" t="n">
        <v/>
      </c>
      <c r="N966" s="47" t="n">
        <v/>
      </c>
      <c r="O966" s="47" t="n">
        <v/>
      </c>
      <c r="P966" s="88" t="n"/>
    </row>
    <row r="967" ht="96.59999999999999" customFormat="1" customHeight="1" s="2">
      <c r="A967" s="6">
        <f>A961+1</f>
        <v/>
      </c>
      <c r="B967" s="4" t="inlineStr">
        <is>
          <t>Meeting table E6</t>
        </is>
      </c>
      <c r="C967" s="4"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D967" s="7" t="inlineStr">
        <is>
          <t>Nos</t>
        </is>
      </c>
      <c r="E967" s="17" t="n">
        <v>1</v>
      </c>
      <c r="F967" s="20" t="n"/>
      <c r="G967" s="47" t="n"/>
      <c r="H967" s="47" t="n"/>
      <c r="I967" s="47" t="n"/>
      <c r="J967" s="47" t="n"/>
      <c r="K967" s="20" t="n">
        <v/>
      </c>
      <c r="L967" s="47" t="n">
        <v/>
      </c>
      <c r="M967" s="47" t="n">
        <v/>
      </c>
      <c r="N967" s="47" t="n">
        <v/>
      </c>
      <c r="O967" s="47" t="n">
        <v/>
      </c>
      <c r="P967" s="88" t="n"/>
    </row>
    <row r="968" customFormat="1" s="2">
      <c r="A968" s="6" t="n"/>
      <c r="B968" s="4" t="n"/>
      <c r="C968" s="14" t="inlineStr">
        <is>
          <t>JL Cabin</t>
        </is>
      </c>
      <c r="D968" s="7" t="n"/>
      <c r="E968" s="17" t="n"/>
      <c r="F968" s="20" t="n"/>
      <c r="G968" s="47" t="n"/>
      <c r="H968" s="47" t="n"/>
      <c r="I968" s="47" t="n"/>
      <c r="J968" s="47">
        <f>PRODUCT(F968:I968)</f>
        <v/>
      </c>
      <c r="K968" s="20" t="n">
        <v/>
      </c>
      <c r="L968" s="47" t="n">
        <v/>
      </c>
      <c r="M968" s="47" t="n">
        <v/>
      </c>
      <c r="N968" s="47" t="n">
        <v/>
      </c>
      <c r="O968" s="47" t="n">
        <v/>
      </c>
      <c r="P968" s="88" t="n"/>
    </row>
    <row r="969" customFormat="1" s="2">
      <c r="A969" s="6" t="n"/>
      <c r="B969" s="4" t="n"/>
      <c r="C969" s="4" t="inlineStr">
        <is>
          <t>Meeting Room</t>
        </is>
      </c>
      <c r="D969" s="7" t="inlineStr">
        <is>
          <t>Nos</t>
        </is>
      </c>
      <c r="E969" s="17" t="n"/>
      <c r="F969" s="20" t="n">
        <v>1</v>
      </c>
      <c r="G969" s="47" t="n"/>
      <c r="H969" s="47" t="n"/>
      <c r="I969" s="47" t="n"/>
      <c r="J969" s="47">
        <f>PRODUCT(F969:I969)</f>
        <v/>
      </c>
      <c r="K969" s="20" t="n">
        <v>1</v>
      </c>
      <c r="L969" s="47" t="n">
        <v/>
      </c>
      <c r="M969" s="47" t="n">
        <v/>
      </c>
      <c r="N969" s="47" t="n">
        <v/>
      </c>
      <c r="O969" s="47" t="n">
        <v/>
      </c>
      <c r="P969" s="88" t="n"/>
    </row>
    <row r="970" customFormat="1" s="2">
      <c r="A970" s="6" t="n"/>
      <c r="B970" s="4" t="n"/>
      <c r="C970" s="4" t="n"/>
      <c r="D970" s="7" t="n"/>
      <c r="E970" s="17" t="n"/>
      <c r="F970" s="20" t="n"/>
      <c r="G970" s="47" t="n"/>
      <c r="H970" s="47" t="n"/>
      <c r="I970" s="47" t="n"/>
      <c r="J970" s="47">
        <f>PRODUCT(F970:I970)</f>
        <v/>
      </c>
      <c r="K970" s="20" t="n">
        <v/>
      </c>
      <c r="L970" s="47" t="n">
        <v/>
      </c>
      <c r="M970" s="47" t="n">
        <v/>
      </c>
      <c r="N970" s="47" t="n">
        <v/>
      </c>
      <c r="O970" s="47" t="n">
        <v/>
      </c>
      <c r="P970" s="88" t="n"/>
    </row>
    <row r="971" customFormat="1" s="2">
      <c r="A971" s="112" t="n"/>
      <c r="B971" s="112" t="n"/>
      <c r="C971" s="112" t="inlineStr">
        <is>
          <t>Total Qty</t>
        </is>
      </c>
      <c r="D971" s="120" t="n"/>
      <c r="E971" s="121" t="n"/>
      <c r="F971" s="123" t="n"/>
      <c r="G971" s="123" t="n"/>
      <c r="H971" s="123" t="n"/>
      <c r="I971" s="123" t="n"/>
      <c r="J971" s="123">
        <f>SUM(J968:J970)</f>
        <v/>
      </c>
      <c r="K971" s="123" t="n">
        <v/>
      </c>
      <c r="L971" s="123" t="n">
        <v/>
      </c>
      <c r="M971" s="123" t="n">
        <v/>
      </c>
      <c r="N971" s="123" t="n">
        <v/>
      </c>
      <c r="O971" s="123" t="n">
        <v/>
      </c>
      <c r="P971" s="88" t="n"/>
    </row>
    <row r="972" customFormat="1" s="2">
      <c r="A972" s="6" t="n"/>
      <c r="B972" s="4" t="n"/>
      <c r="C972" s="4" t="n"/>
      <c r="D972" s="7" t="n"/>
      <c r="E972" s="17" t="n"/>
      <c r="F972" s="20" t="n"/>
      <c r="G972" s="47" t="n"/>
      <c r="H972" s="47" t="n"/>
      <c r="I972" s="47" t="n"/>
      <c r="J972" s="47" t="n"/>
      <c r="K972" s="20" t="n">
        <v/>
      </c>
      <c r="L972" s="47" t="n">
        <v/>
      </c>
      <c r="M972" s="47" t="n">
        <v/>
      </c>
      <c r="N972" s="47" t="n">
        <v/>
      </c>
      <c r="O972" s="47" t="n">
        <v/>
      </c>
      <c r="P972" s="88" t="n"/>
    </row>
    <row r="973" ht="96.59999999999999" customFormat="1" customHeight="1" s="2">
      <c r="A973" s="6">
        <f>A967+1</f>
        <v/>
      </c>
      <c r="B973" s="4" t="inlineStr">
        <is>
          <t>Running wooden ledge in pantry</t>
        </is>
      </c>
      <c r="C973" s="4"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D973" s="5" t="inlineStr">
        <is>
          <t>rft</t>
        </is>
      </c>
      <c r="E973" s="16" t="n">
        <v>9</v>
      </c>
      <c r="F973" s="20" t="n"/>
      <c r="G973" s="47" t="n"/>
      <c r="H973" s="47" t="n"/>
      <c r="I973" s="47" t="n"/>
      <c r="J973" s="47" t="n"/>
      <c r="K973" s="20" t="n">
        <v/>
      </c>
      <c r="L973" s="47" t="n">
        <v/>
      </c>
      <c r="M973" s="47" t="n">
        <v/>
      </c>
      <c r="N973" s="47" t="n">
        <v/>
      </c>
      <c r="O973" s="47" t="n">
        <v/>
      </c>
      <c r="P973" s="88" t="n"/>
    </row>
    <row r="974" ht="124.2" customFormat="1" customHeight="1" s="2">
      <c r="A974" s="6">
        <f>A973+1</f>
        <v/>
      </c>
      <c r="B974" s="4" t="inlineStr">
        <is>
          <t>Storage unit big E9</t>
        </is>
      </c>
      <c r="C974"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D974" s="5" t="inlineStr">
        <is>
          <t>nos</t>
        </is>
      </c>
      <c r="E974" s="16" t="n">
        <v>3</v>
      </c>
      <c r="F974" s="20" t="n"/>
      <c r="G974" s="47" t="n"/>
      <c r="H974" s="47" t="n"/>
      <c r="I974" s="47" t="n"/>
      <c r="J974" s="47" t="n"/>
      <c r="K974" s="20" t="n">
        <v/>
      </c>
      <c r="L974" s="47" t="n">
        <v/>
      </c>
      <c r="M974" s="47" t="n">
        <v/>
      </c>
      <c r="N974" s="47" t="n">
        <v/>
      </c>
      <c r="O974" s="47" t="n">
        <v/>
      </c>
      <c r="P974" s="88" t="n"/>
    </row>
    <row r="975" customFormat="1" s="2">
      <c r="A975" s="6" t="n"/>
      <c r="B975" s="4" t="n"/>
      <c r="C975" s="14" t="inlineStr">
        <is>
          <t>Branch Area</t>
        </is>
      </c>
      <c r="D975" s="7" t="n"/>
      <c r="E975" s="17" t="n"/>
      <c r="F975" s="20" t="n"/>
      <c r="G975" s="47" t="n"/>
      <c r="H975" s="47" t="n"/>
      <c r="I975" s="47" t="n"/>
      <c r="J975" s="47">
        <f>PRODUCT(F975:I975)</f>
        <v/>
      </c>
      <c r="K975" s="20" t="n">
        <v/>
      </c>
      <c r="L975" s="47" t="n">
        <v/>
      </c>
      <c r="M975" s="47" t="n">
        <v/>
      </c>
      <c r="N975" s="47" t="n">
        <v/>
      </c>
      <c r="O975" s="47" t="n">
        <v/>
      </c>
      <c r="P975" s="88" t="n"/>
    </row>
    <row r="976" customFormat="1" s="2">
      <c r="A976" s="6" t="n"/>
      <c r="B976" s="4" t="n"/>
      <c r="C976" s="4" t="inlineStr">
        <is>
          <t>Storage unit big E9</t>
        </is>
      </c>
      <c r="D976" s="7" t="inlineStr">
        <is>
          <t>Nos</t>
        </is>
      </c>
      <c r="E976" s="17" t="n"/>
      <c r="F976" s="20" t="n">
        <v>4</v>
      </c>
      <c r="G976" s="47" t="n"/>
      <c r="H976" s="47" t="n"/>
      <c r="I976" s="47" t="n"/>
      <c r="J976" s="47">
        <f>PRODUCT(F976:I976)</f>
        <v/>
      </c>
      <c r="K976" s="20" t="n">
        <v>4</v>
      </c>
      <c r="L976" s="47" t="n">
        <v/>
      </c>
      <c r="M976" s="47" t="n">
        <v/>
      </c>
      <c r="N976" s="47" t="n">
        <v/>
      </c>
      <c r="O976" s="47" t="n">
        <v/>
      </c>
      <c r="P976" s="88" t="n"/>
    </row>
    <row r="977" customFormat="1" s="2">
      <c r="A977" s="6" t="n"/>
      <c r="B977" s="4" t="n"/>
      <c r="C977" s="4" t="n"/>
      <c r="D977" s="7" t="n"/>
      <c r="E977" s="17" t="n"/>
      <c r="F977" s="20" t="n"/>
      <c r="G977" s="47" t="n"/>
      <c r="H977" s="47" t="n"/>
      <c r="I977" s="47" t="n"/>
      <c r="J977" s="47">
        <f>PRODUCT(F977:I977)</f>
        <v/>
      </c>
      <c r="K977" s="20" t="n">
        <v/>
      </c>
      <c r="L977" s="47" t="n">
        <v/>
      </c>
      <c r="M977" s="47" t="n">
        <v/>
      </c>
      <c r="N977" s="47" t="n">
        <v/>
      </c>
      <c r="O977" s="47" t="n">
        <v/>
      </c>
      <c r="P977" s="88" t="n"/>
    </row>
    <row r="978" customFormat="1" s="2">
      <c r="A978" s="112" t="n"/>
      <c r="B978" s="112" t="n"/>
      <c r="C978" s="112" t="inlineStr">
        <is>
          <t>Total Qty</t>
        </is>
      </c>
      <c r="D978" s="120" t="n"/>
      <c r="E978" s="121" t="n"/>
      <c r="F978" s="123" t="n"/>
      <c r="G978" s="123" t="n"/>
      <c r="H978" s="123" t="n"/>
      <c r="I978" s="123" t="n"/>
      <c r="J978" s="123">
        <f>SUM(J975:J977)</f>
        <v/>
      </c>
      <c r="K978" s="123" t="n">
        <v/>
      </c>
      <c r="L978" s="123" t="n">
        <v/>
      </c>
      <c r="M978" s="123" t="n">
        <v/>
      </c>
      <c r="N978" s="123" t="n">
        <v/>
      </c>
      <c r="O978" s="123" t="n">
        <v/>
      </c>
      <c r="P978" s="88" t="n"/>
    </row>
    <row r="979" customFormat="1" s="2">
      <c r="A979" s="6" t="n"/>
      <c r="B979" s="4" t="n"/>
      <c r="C979" s="4" t="n"/>
      <c r="D979" s="7" t="n"/>
      <c r="E979" s="17" t="n"/>
      <c r="F979" s="20" t="n"/>
      <c r="G979" s="47" t="n"/>
      <c r="H979" s="47" t="n"/>
      <c r="I979" s="47" t="n"/>
      <c r="J979" s="47" t="n"/>
      <c r="K979" s="20" t="n">
        <v/>
      </c>
      <c r="L979" s="47" t="n">
        <v/>
      </c>
      <c r="M979" s="47" t="n">
        <v/>
      </c>
      <c r="N979" s="47" t="n">
        <v/>
      </c>
      <c r="O979" s="47" t="n">
        <v/>
      </c>
      <c r="P979" s="88" t="n"/>
    </row>
    <row r="980" ht="110.4" customFormat="1" customHeight="1" s="2">
      <c r="A980" s="6">
        <f>A974+1</f>
        <v/>
      </c>
      <c r="B980" s="4" t="inlineStr">
        <is>
          <t>Xerox Table</t>
        </is>
      </c>
      <c r="C980" s="4"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D980" s="7" t="inlineStr">
        <is>
          <t>Nos</t>
        </is>
      </c>
      <c r="E980" s="17" t="n">
        <v>1</v>
      </c>
      <c r="F980" s="20" t="n"/>
      <c r="G980" s="47" t="n"/>
      <c r="H980" s="47" t="n"/>
      <c r="I980" s="47" t="n"/>
      <c r="J980" s="47" t="n"/>
      <c r="K980" s="20" t="n">
        <v/>
      </c>
      <c r="L980" s="47" t="n">
        <v/>
      </c>
      <c r="M980" s="47" t="n">
        <v/>
      </c>
      <c r="N980" s="47" t="n">
        <v/>
      </c>
      <c r="O980" s="47" t="n">
        <v/>
      </c>
      <c r="P980" s="88" t="n"/>
    </row>
    <row r="981" customFormat="1" s="2">
      <c r="A981" s="6" t="n"/>
      <c r="B981" s="4" t="n"/>
      <c r="C981" s="14" t="inlineStr">
        <is>
          <t>Branch Area</t>
        </is>
      </c>
      <c r="D981" s="7" t="n"/>
      <c r="E981" s="17" t="n"/>
      <c r="F981" s="20" t="n"/>
      <c r="G981" s="47" t="n"/>
      <c r="H981" s="47" t="n"/>
      <c r="I981" s="47" t="n"/>
      <c r="J981" s="47">
        <f>PRODUCT(F981:I981)</f>
        <v/>
      </c>
      <c r="K981" s="20" t="n">
        <v/>
      </c>
      <c r="L981" s="47" t="n">
        <v/>
      </c>
      <c r="M981" s="47" t="n">
        <v/>
      </c>
      <c r="N981" s="47" t="n">
        <v/>
      </c>
      <c r="O981" s="47" t="n">
        <v/>
      </c>
      <c r="P981" s="88" t="n"/>
    </row>
    <row r="982" customFormat="1" s="2">
      <c r="A982" s="6" t="n"/>
      <c r="B982" s="4" t="n"/>
      <c r="C982" s="4" t="inlineStr">
        <is>
          <t>Xerox Table</t>
        </is>
      </c>
      <c r="D982" s="7" t="inlineStr">
        <is>
          <t>Nos</t>
        </is>
      </c>
      <c r="E982" s="17" t="n"/>
      <c r="F982" s="20" t="n">
        <v>1</v>
      </c>
      <c r="G982" s="47" t="n"/>
      <c r="H982" s="47" t="n"/>
      <c r="I982" s="47" t="n"/>
      <c r="J982" s="47">
        <f>PRODUCT(F982:I982)</f>
        <v/>
      </c>
      <c r="K982" s="20" t="n">
        <v>1</v>
      </c>
      <c r="L982" s="47" t="n">
        <v/>
      </c>
      <c r="M982" s="47" t="n">
        <v/>
      </c>
      <c r="N982" s="47" t="n">
        <v/>
      </c>
      <c r="O982" s="47" t="n">
        <v/>
      </c>
      <c r="P982" s="88" t="n"/>
    </row>
    <row r="983" customFormat="1" s="2">
      <c r="A983" s="6" t="n"/>
      <c r="B983" s="4" t="n"/>
      <c r="C983" s="4" t="n"/>
      <c r="D983" s="7" t="n"/>
      <c r="E983" s="17" t="n"/>
      <c r="F983" s="20" t="n"/>
      <c r="G983" s="47" t="n"/>
      <c r="H983" s="47" t="n"/>
      <c r="I983" s="47" t="n"/>
      <c r="J983" s="47">
        <f>PRODUCT(F983:I983)</f>
        <v/>
      </c>
      <c r="K983" s="20" t="n">
        <v/>
      </c>
      <c r="L983" s="47" t="n">
        <v/>
      </c>
      <c r="M983" s="47" t="n">
        <v/>
      </c>
      <c r="N983" s="47" t="n">
        <v/>
      </c>
      <c r="O983" s="47" t="n">
        <v/>
      </c>
      <c r="P983" s="88" t="n"/>
    </row>
    <row r="984" customFormat="1" s="2">
      <c r="A984" s="112" t="n"/>
      <c r="B984" s="112" t="n"/>
      <c r="C984" s="112" t="inlineStr">
        <is>
          <t>Total Qty</t>
        </is>
      </c>
      <c r="D984" s="120" t="n"/>
      <c r="E984" s="121" t="n"/>
      <c r="F984" s="123" t="n"/>
      <c r="G984" s="123" t="n"/>
      <c r="H984" s="123" t="n"/>
      <c r="I984" s="123" t="n"/>
      <c r="J984" s="123">
        <f>SUM(J981:J983)</f>
        <v/>
      </c>
      <c r="K984" s="123" t="n">
        <v/>
      </c>
      <c r="L984" s="123" t="n">
        <v/>
      </c>
      <c r="M984" s="123" t="n">
        <v/>
      </c>
      <c r="N984" s="123" t="n">
        <v/>
      </c>
      <c r="O984" s="123" t="n">
        <v/>
      </c>
      <c r="P984" s="88" t="n"/>
    </row>
    <row r="985" customFormat="1" s="2">
      <c r="A985" s="6" t="n"/>
      <c r="B985" s="4" t="n"/>
      <c r="C985" s="4" t="n"/>
      <c r="D985" s="7" t="n"/>
      <c r="E985" s="17" t="n"/>
      <c r="F985" s="20" t="n"/>
      <c r="G985" s="47" t="n"/>
      <c r="H985" s="47" t="n"/>
      <c r="I985" s="47" t="n"/>
      <c r="J985" s="47" t="n"/>
      <c r="K985" s="20" t="n">
        <v/>
      </c>
      <c r="L985" s="47" t="n">
        <v/>
      </c>
      <c r="M985" s="47" t="n">
        <v/>
      </c>
      <c r="N985" s="47" t="n">
        <v/>
      </c>
      <c r="O985" s="47" t="n">
        <v/>
      </c>
      <c r="P985" s="88" t="n"/>
    </row>
    <row r="986" ht="41.4" customFormat="1" customHeight="1" s="2">
      <c r="A986" s="6">
        <f>A980+1</f>
        <v/>
      </c>
      <c r="B986" s="4" t="inlineStr">
        <is>
          <t>Slotted Angle Rack</t>
        </is>
      </c>
      <c r="C986" s="4" t="inlineStr">
        <is>
          <t>S and I of slotted angle rack of size 2 feet 6 inch Length x 1 feet 6 inch breadth x 6 feet 0 inch height in 18 guage MS material of Godrej- Methodex make</t>
        </is>
      </c>
      <c r="D986" s="5" t="inlineStr">
        <is>
          <t>No</t>
        </is>
      </c>
      <c r="E986" s="16" t="n">
        <v>2</v>
      </c>
      <c r="F986" s="20" t="n"/>
      <c r="G986" s="47" t="n"/>
      <c r="H986" s="47" t="n"/>
      <c r="I986" s="47" t="n"/>
      <c r="J986" s="47" t="n"/>
      <c r="K986" s="20" t="n">
        <v/>
      </c>
      <c r="L986" s="47" t="n">
        <v/>
      </c>
      <c r="M986" s="47" t="n">
        <v/>
      </c>
      <c r="N986" s="47" t="n">
        <v/>
      </c>
      <c r="O986" s="47" t="n">
        <v/>
      </c>
      <c r="P986" s="88" t="n"/>
    </row>
    <row r="987" ht="27.6" customFormat="1" customHeight="1" s="2">
      <c r="A987" s="6">
        <f>A986+1</f>
        <v/>
      </c>
      <c r="B987" s="4" t="inlineStr">
        <is>
          <t>Electricity bill for WIP periods</t>
        </is>
      </c>
      <c r="C987" s="4" t="inlineStr">
        <is>
          <t>Electricity bill for WIP period</t>
        </is>
      </c>
      <c r="D987" s="5" t="inlineStr">
        <is>
          <t>No</t>
        </is>
      </c>
      <c r="E987" s="16" t="n">
        <v>2</v>
      </c>
      <c r="F987" s="20" t="n"/>
      <c r="G987" s="47" t="n"/>
      <c r="H987" s="47" t="n"/>
      <c r="I987" s="47" t="n"/>
      <c r="J987" s="47" t="n"/>
      <c r="K987" s="20" t="n">
        <v/>
      </c>
      <c r="L987" s="47" t="n">
        <v/>
      </c>
      <c r="M987" s="47" t="n">
        <v/>
      </c>
      <c r="N987" s="47" t="n">
        <v/>
      </c>
      <c r="O987" s="47" t="n">
        <v/>
      </c>
      <c r="P987" s="88" t="n"/>
    </row>
    <row r="988" customFormat="1" s="2">
      <c r="A988" s="6" t="n"/>
      <c r="B988" s="4" t="n"/>
      <c r="C988" s="14" t="n"/>
      <c r="D988" s="7" t="n"/>
      <c r="E988" s="17" t="n"/>
      <c r="F988" s="20" t="n"/>
      <c r="G988" s="47" t="n"/>
      <c r="H988" s="47" t="n"/>
      <c r="I988" s="47" t="n"/>
      <c r="J988" s="47">
        <f>PRODUCT(F988:I988)</f>
        <v/>
      </c>
      <c r="K988" s="20" t="n">
        <v/>
      </c>
      <c r="L988" s="47" t="n">
        <v/>
      </c>
      <c r="M988" s="47" t="n">
        <v/>
      </c>
      <c r="N988" s="47" t="n">
        <v/>
      </c>
      <c r="O988" s="47" t="n">
        <v/>
      </c>
      <c r="P988" s="88" t="n"/>
    </row>
    <row r="989" customFormat="1" s="2">
      <c r="A989" s="6" t="n"/>
      <c r="B989" s="4" t="n"/>
      <c r="C989" s="14" t="inlineStr">
        <is>
          <t>As Per Site</t>
        </is>
      </c>
      <c r="D989" s="7" t="inlineStr">
        <is>
          <t>Nos</t>
        </is>
      </c>
      <c r="E989" s="17" t="n"/>
      <c r="F989" s="20" t="n">
        <v>1</v>
      </c>
      <c r="G989" s="47" t="n"/>
      <c r="H989" s="47" t="n"/>
      <c r="I989" s="47" t="n"/>
      <c r="J989" s="47">
        <f>PRODUCT(F989:I989)</f>
        <v/>
      </c>
      <c r="K989" s="20" t="n">
        <v>1</v>
      </c>
      <c r="L989" s="47" t="n">
        <v/>
      </c>
      <c r="M989" s="47" t="n">
        <v/>
      </c>
      <c r="N989" s="47" t="n">
        <v/>
      </c>
      <c r="O989" s="47" t="n">
        <v/>
      </c>
      <c r="P989" s="88" t="n"/>
    </row>
    <row r="990" customFormat="1" s="2">
      <c r="A990" s="6" t="n"/>
      <c r="B990" s="4" t="n"/>
      <c r="C990" s="4" t="n"/>
      <c r="D990" s="7" t="n"/>
      <c r="E990" s="17" t="n"/>
      <c r="F990" s="20" t="n"/>
      <c r="G990" s="47" t="n"/>
      <c r="H990" s="47" t="n"/>
      <c r="I990" s="47" t="n"/>
      <c r="J990" s="47">
        <f>PRODUCT(F990:I990)</f>
        <v/>
      </c>
      <c r="K990" s="20" t="n">
        <v/>
      </c>
      <c r="L990" s="47" t="n">
        <v/>
      </c>
      <c r="M990" s="47" t="n">
        <v/>
      </c>
      <c r="N990" s="47" t="n">
        <v/>
      </c>
      <c r="O990" s="47" t="n">
        <v/>
      </c>
      <c r="P990" s="88" t="n"/>
    </row>
    <row r="991" customFormat="1" s="2">
      <c r="A991" s="112" t="n"/>
      <c r="B991" s="112" t="n"/>
      <c r="C991" s="112" t="inlineStr">
        <is>
          <t>Total Qty</t>
        </is>
      </c>
      <c r="D991" s="120" t="n"/>
      <c r="E991" s="121" t="n"/>
      <c r="F991" s="123" t="n"/>
      <c r="G991" s="123" t="n"/>
      <c r="H991" s="123" t="n"/>
      <c r="I991" s="123" t="n"/>
      <c r="J991" s="123">
        <f>ROUND(SUM(J988:J990),)</f>
        <v/>
      </c>
      <c r="K991" s="123" t="n">
        <v/>
      </c>
      <c r="L991" s="123" t="n">
        <v/>
      </c>
      <c r="M991" s="123" t="n">
        <v/>
      </c>
      <c r="N991" s="123" t="n">
        <v/>
      </c>
      <c r="O991" s="123" t="n">
        <v/>
      </c>
      <c r="P991" s="88" t="n"/>
    </row>
    <row r="992" customFormat="1" s="2">
      <c r="A992" s="6" t="n"/>
      <c r="B992" s="4" t="n"/>
      <c r="C992" s="4" t="n"/>
      <c r="D992" s="7" t="n"/>
      <c r="E992" s="17" t="n"/>
      <c r="F992" s="20" t="n"/>
      <c r="G992" s="47" t="n"/>
      <c r="H992" s="47" t="n"/>
      <c r="I992" s="47" t="n"/>
      <c r="J992" s="47" t="n"/>
      <c r="K992" s="20" t="n">
        <v/>
      </c>
      <c r="L992" s="47" t="n">
        <v/>
      </c>
      <c r="M992" s="47" t="n">
        <v/>
      </c>
      <c r="N992" s="47" t="n">
        <v/>
      </c>
      <c r="O992" s="47" t="n">
        <v/>
      </c>
      <c r="P992" s="88" t="n"/>
    </row>
    <row r="993" ht="55.2" customFormat="1" customHeight="1" s="2">
      <c r="A993" s="6">
        <f>A987+1</f>
        <v/>
      </c>
      <c r="B993" s="4" t="inlineStr">
        <is>
          <t>Data and voice cablings</t>
        </is>
      </c>
      <c r="C993" s="4" t="inlineStr">
        <is>
          <t>Provision and installation of networking components, networking rack, service component. Cost includes labor, installation and transportation. Make Commscope</t>
        </is>
      </c>
      <c r="D993" s="5" t="inlineStr">
        <is>
          <t>sft</t>
        </is>
      </c>
      <c r="E993" s="16" t="n">
        <v>1266</v>
      </c>
      <c r="F993" s="20" t="n"/>
      <c r="G993" s="47" t="n"/>
      <c r="H993" s="47" t="n"/>
      <c r="I993" s="47" t="n"/>
      <c r="J993" s="47" t="n"/>
      <c r="K993" s="20" t="n">
        <v/>
      </c>
      <c r="L993" s="47" t="n">
        <v/>
      </c>
      <c r="M993" s="47" t="n">
        <v/>
      </c>
      <c r="N993" s="47" t="n">
        <v/>
      </c>
      <c r="O993" s="47" t="n">
        <v/>
      </c>
      <c r="P993" s="88" t="n"/>
    </row>
    <row r="994" customFormat="1" s="2">
      <c r="A994" s="6" t="n"/>
      <c r="B994" s="4" t="n"/>
      <c r="C994" s="14" t="n"/>
      <c r="D994" s="7" t="n"/>
      <c r="E994" s="17" t="n"/>
      <c r="F994" s="20" t="n"/>
      <c r="G994" s="47" t="n"/>
      <c r="H994" s="47" t="n"/>
      <c r="I994" s="47" t="n"/>
      <c r="J994" s="47">
        <f>PRODUCT(F994:I994)</f>
        <v/>
      </c>
      <c r="K994" s="20" t="n">
        <v/>
      </c>
      <c r="L994" s="47" t="n">
        <v/>
      </c>
      <c r="M994" s="47" t="n">
        <v/>
      </c>
      <c r="N994" s="47" t="n">
        <v/>
      </c>
      <c r="O994" s="47" t="n">
        <v/>
      </c>
      <c r="P994" s="88" t="n"/>
    </row>
    <row r="995" customFormat="1" s="2">
      <c r="A995" s="6" t="n"/>
      <c r="B995" s="4" t="n"/>
      <c r="C995" s="14" t="inlineStr">
        <is>
          <t>As Drawing Area</t>
        </is>
      </c>
      <c r="D995" s="7" t="inlineStr">
        <is>
          <t>Sq.ft</t>
        </is>
      </c>
      <c r="E995" s="17" t="n"/>
      <c r="F995" s="20" t="n">
        <v>1</v>
      </c>
      <c r="G995" s="47" t="n">
        <v>1266</v>
      </c>
      <c r="H995" s="47" t="n"/>
      <c r="I995" s="47" t="n"/>
      <c r="J995" s="47">
        <f>PRODUCT(F995:I995)</f>
        <v/>
      </c>
      <c r="K995" s="20" t="n">
        <v>1</v>
      </c>
      <c r="L995" s="47" t="n">
        <v/>
      </c>
      <c r="M995" s="47" t="n">
        <v/>
      </c>
      <c r="N995" s="47" t="n">
        <v/>
      </c>
      <c r="O995" s="47" t="n">
        <v/>
      </c>
      <c r="P995" s="88" t="n"/>
    </row>
    <row r="996" customFormat="1" s="2">
      <c r="A996" s="6" t="n"/>
      <c r="B996" s="4" t="n"/>
      <c r="C996" s="4" t="n"/>
      <c r="D996" s="7" t="n"/>
      <c r="E996" s="17" t="n"/>
      <c r="F996" s="20" t="n"/>
      <c r="G996" s="47" t="n"/>
      <c r="H996" s="47" t="n"/>
      <c r="I996" s="47" t="n"/>
      <c r="J996" s="47">
        <f>PRODUCT(F996:I996)</f>
        <v/>
      </c>
      <c r="K996" s="20" t="n">
        <v/>
      </c>
      <c r="L996" s="47" t="n">
        <v/>
      </c>
      <c r="M996" s="47" t="n">
        <v/>
      </c>
      <c r="N996" s="47" t="n">
        <v/>
      </c>
      <c r="O996" s="47" t="n">
        <v/>
      </c>
      <c r="P996" s="88" t="n"/>
    </row>
    <row r="997" customFormat="1" s="2">
      <c r="A997" s="112" t="n"/>
      <c r="B997" s="112" t="n"/>
      <c r="C997" s="112" t="inlineStr">
        <is>
          <t>Total Qty</t>
        </is>
      </c>
      <c r="D997" s="120" t="n"/>
      <c r="E997" s="121" t="n"/>
      <c r="F997" s="123" t="n"/>
      <c r="G997" s="123" t="n"/>
      <c r="H997" s="123" t="n"/>
      <c r="I997" s="123" t="n"/>
      <c r="J997" s="123">
        <f>ROUND(SUM(J994:J996),)</f>
        <v/>
      </c>
      <c r="K997" s="123" t="n">
        <v/>
      </c>
      <c r="L997" s="123" t="n">
        <v/>
      </c>
      <c r="M997" s="123" t="n">
        <v/>
      </c>
      <c r="N997" s="123" t="n">
        <v/>
      </c>
      <c r="O997" s="123" t="n">
        <v/>
      </c>
      <c r="P997" s="88" t="n"/>
    </row>
    <row r="998" customFormat="1" s="2">
      <c r="A998" s="6" t="n"/>
      <c r="B998" s="4" t="n"/>
      <c r="C998" s="4" t="n"/>
      <c r="D998" s="7" t="n"/>
      <c r="E998" s="17" t="n"/>
      <c r="F998" s="20" t="n"/>
      <c r="G998" s="47" t="n"/>
      <c r="H998" s="47" t="n"/>
      <c r="I998" s="47" t="n"/>
      <c r="J998" s="47" t="n"/>
      <c r="K998" s="20" t="n">
        <v/>
      </c>
      <c r="L998" s="47" t="n">
        <v/>
      </c>
      <c r="M998" s="47" t="n">
        <v/>
      </c>
      <c r="N998" s="47" t="n">
        <v/>
      </c>
      <c r="O998" s="47" t="n">
        <v/>
      </c>
      <c r="P998" s="88" t="n"/>
    </row>
    <row r="999" ht="165.6" customFormat="1" customHeight="1" s="2">
      <c r="A999" s="6">
        <f>A993+1</f>
        <v/>
      </c>
      <c r="B999" s="4" t="inlineStr">
        <is>
          <t>Wooden Glass Partition</t>
        </is>
      </c>
      <c r="C999" s="4"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D999" s="7" t="inlineStr">
        <is>
          <t>sft</t>
        </is>
      </c>
      <c r="E999" s="17" t="n">
        <v>171</v>
      </c>
      <c r="F999" s="20" t="n"/>
      <c r="G999" s="47" t="n"/>
      <c r="H999" s="47" t="n"/>
      <c r="I999" s="47" t="n"/>
      <c r="J999" s="47" t="n"/>
      <c r="K999" s="20" t="n">
        <v/>
      </c>
      <c r="L999" s="47" t="n">
        <v/>
      </c>
      <c r="M999" s="47" t="n">
        <v/>
      </c>
      <c r="N999" s="47" t="n">
        <v/>
      </c>
      <c r="O999" s="47" t="n">
        <v/>
      </c>
      <c r="P999" s="88" t="n"/>
    </row>
    <row r="1000" customFormat="1" s="2">
      <c r="A1000" s="6" t="n"/>
      <c r="B1000" s="4" t="n"/>
      <c r="C1000" s="14" t="inlineStr">
        <is>
          <t>Back Office Area</t>
        </is>
      </c>
      <c r="D1000" s="7" t="n"/>
      <c r="E1000" s="17" t="n"/>
      <c r="F1000" s="20" t="n"/>
      <c r="G1000" s="47" t="n"/>
      <c r="H1000" s="47" t="n"/>
      <c r="I1000" s="47" t="n"/>
      <c r="J1000" s="47">
        <f>PRODUCT(F1000:I1000)</f>
        <v/>
      </c>
      <c r="K1000" s="20" t="n">
        <v/>
      </c>
      <c r="L1000" s="47" t="n">
        <v/>
      </c>
      <c r="M1000" s="47" t="n">
        <v/>
      </c>
      <c r="N1000" s="47" t="n">
        <v/>
      </c>
      <c r="O1000" s="47" t="n">
        <v/>
      </c>
      <c r="P1000" s="88" t="n"/>
    </row>
    <row r="1001" customFormat="1" s="2">
      <c r="A1001" s="6" t="n"/>
      <c r="B1001" s="4" t="n"/>
      <c r="C1001" s="4" t="inlineStr">
        <is>
          <t>Table Side</t>
        </is>
      </c>
      <c r="D1001" s="7" t="inlineStr">
        <is>
          <t>Sq.ft</t>
        </is>
      </c>
      <c r="E1001" s="17" t="n"/>
      <c r="F1001" s="20" t="n">
        <v>1</v>
      </c>
      <c r="G1001" s="47" t="n">
        <v>12.05</v>
      </c>
      <c r="H1001" s="47" t="n"/>
      <c r="I1001" s="47" t="n">
        <v>8</v>
      </c>
      <c r="J1001" s="47">
        <f>PRODUCT(F1001:I1001)</f>
        <v/>
      </c>
      <c r="K1001" s="20" t="n">
        <v>1</v>
      </c>
      <c r="L1001" s="47" t="n">
        <v/>
      </c>
      <c r="M1001" s="47" t="n">
        <v/>
      </c>
      <c r="N1001" s="47" t="n">
        <v/>
      </c>
      <c r="O1001" s="47" t="n">
        <v/>
      </c>
      <c r="P1001" s="88" t="n"/>
    </row>
    <row r="1002" customFormat="1" s="2">
      <c r="A1002" s="6" t="n"/>
      <c r="B1002" s="4" t="n"/>
      <c r="C1002" s="4" t="n"/>
      <c r="D1002" s="7" t="n"/>
      <c r="E1002" s="17" t="n"/>
      <c r="F1002" s="20" t="n"/>
      <c r="G1002" s="47" t="n"/>
      <c r="H1002" s="47" t="n"/>
      <c r="I1002" s="47" t="n"/>
      <c r="J1002" s="47">
        <f>PRODUCT(F1002:I1002)</f>
        <v/>
      </c>
      <c r="K1002" s="20" t="n">
        <v/>
      </c>
      <c r="L1002" s="47" t="n">
        <v/>
      </c>
      <c r="M1002" s="47" t="n">
        <v/>
      </c>
      <c r="N1002" s="47" t="n">
        <v/>
      </c>
      <c r="O1002" s="47" t="n">
        <v/>
      </c>
      <c r="P1002" s="88" t="n"/>
    </row>
    <row r="1003" customFormat="1" s="2">
      <c r="A1003" s="112" t="n"/>
      <c r="B1003" s="112" t="n"/>
      <c r="C1003" s="112" t="inlineStr">
        <is>
          <t>Total Qty</t>
        </is>
      </c>
      <c r="D1003" s="120" t="n"/>
      <c r="E1003" s="121" t="n"/>
      <c r="F1003" s="123" t="n"/>
      <c r="G1003" s="123" t="n"/>
      <c r="H1003" s="123" t="n"/>
      <c r="I1003" s="123" t="n"/>
      <c r="J1003" s="123">
        <f>ROUND(SUM(J1000:J1002),)</f>
        <v/>
      </c>
      <c r="K1003" s="123" t="n">
        <v/>
      </c>
      <c r="L1003" s="123" t="n">
        <v/>
      </c>
      <c r="M1003" s="123" t="n">
        <v/>
      </c>
      <c r="N1003" s="123" t="n">
        <v/>
      </c>
      <c r="O1003" s="123" t="n">
        <v/>
      </c>
      <c r="P1003" s="88" t="n"/>
    </row>
    <row r="1004" customFormat="1" s="2">
      <c r="A1004" s="6" t="n"/>
      <c r="B1004" s="4" t="n"/>
      <c r="C1004" s="4" t="n"/>
      <c r="D1004" s="7" t="n"/>
      <c r="E1004" s="17" t="n"/>
      <c r="F1004" s="20" t="n"/>
      <c r="G1004" s="47" t="n"/>
      <c r="H1004" s="47" t="n"/>
      <c r="I1004" s="47" t="n"/>
      <c r="J1004" s="47" t="n"/>
      <c r="K1004" s="20" t="n">
        <v/>
      </c>
      <c r="L1004" s="47" t="n">
        <v/>
      </c>
      <c r="M1004" s="47" t="n">
        <v/>
      </c>
      <c r="N1004" s="47" t="n">
        <v/>
      </c>
      <c r="O1004" s="47" t="n">
        <v/>
      </c>
      <c r="P1004" s="88" t="n"/>
    </row>
    <row r="1005" ht="27.6" customFormat="1" customHeight="1" s="2">
      <c r="A1005" s="6">
        <f>A999+1</f>
        <v/>
      </c>
      <c r="B1005" s="4" t="inlineStr">
        <is>
          <t>Soap Dish</t>
        </is>
      </c>
      <c r="C1005" s="4" t="inlineStr">
        <is>
          <t>Providing and fixing of SS Soap Dish. Make: Jaquar,Hindware and Parryware</t>
        </is>
      </c>
      <c r="D1005" s="5" t="inlineStr">
        <is>
          <t>nos</t>
        </is>
      </c>
      <c r="E1005" s="16" t="n">
        <v>2</v>
      </c>
      <c r="F1005" s="20" t="n"/>
      <c r="G1005" s="47" t="n"/>
      <c r="H1005" s="47" t="n"/>
      <c r="I1005" s="47" t="n"/>
      <c r="J1005" s="47" t="n"/>
      <c r="K1005" s="20" t="n">
        <v/>
      </c>
      <c r="L1005" s="47" t="n">
        <v/>
      </c>
      <c r="M1005" s="47" t="n">
        <v/>
      </c>
      <c r="N1005" s="47" t="n">
        <v/>
      </c>
      <c r="O1005" s="47" t="n">
        <v/>
      </c>
      <c r="P1005" s="88" t="n"/>
    </row>
    <row r="1006" customFormat="1" s="2">
      <c r="A1006" s="6" t="n"/>
      <c r="B1006" s="4" t="n"/>
      <c r="C1006" s="14" t="inlineStr">
        <is>
          <t>Gents Toilet</t>
        </is>
      </c>
      <c r="D1006" s="7" t="n"/>
      <c r="E1006" s="17" t="n"/>
      <c r="F1006" s="20" t="n"/>
      <c r="G1006" s="47" t="n"/>
      <c r="H1006" s="47" t="n"/>
      <c r="I1006" s="47" t="n"/>
      <c r="J1006" s="47">
        <f>PRODUCT(F1006:I1006)</f>
        <v/>
      </c>
      <c r="K1006" s="20" t="n">
        <v/>
      </c>
      <c r="L1006" s="47" t="n">
        <v/>
      </c>
      <c r="M1006" s="47" t="n">
        <v/>
      </c>
      <c r="N1006" s="47" t="n">
        <v/>
      </c>
      <c r="O1006" s="47" t="n">
        <v/>
      </c>
      <c r="P1006" s="88" t="n"/>
    </row>
    <row r="1007" customFormat="1" s="2">
      <c r="A1007" s="6" t="n"/>
      <c r="B1007" s="4" t="n"/>
      <c r="C1007" s="4" t="inlineStr">
        <is>
          <t>BIB Cock 2 way</t>
        </is>
      </c>
      <c r="D1007" s="7" t="inlineStr">
        <is>
          <t>Nos</t>
        </is>
      </c>
      <c r="E1007" s="17" t="n"/>
      <c r="F1007" s="20" t="n">
        <v>1</v>
      </c>
      <c r="G1007" s="47" t="n"/>
      <c r="H1007" s="47" t="n"/>
      <c r="I1007" s="47" t="n"/>
      <c r="J1007" s="47">
        <f>PRODUCT(F1007:I1007)</f>
        <v/>
      </c>
      <c r="K1007" s="20" t="n">
        <v>1</v>
      </c>
      <c r="L1007" s="47" t="n">
        <v/>
      </c>
      <c r="M1007" s="47" t="n">
        <v/>
      </c>
      <c r="N1007" s="47" t="n">
        <v/>
      </c>
      <c r="O1007" s="47" t="n">
        <v/>
      </c>
      <c r="P1007" s="88" t="n"/>
    </row>
    <row r="1008" customFormat="1" s="2">
      <c r="A1008" s="6" t="n"/>
      <c r="B1008" s="4" t="n"/>
      <c r="C1008" s="14" t="inlineStr">
        <is>
          <t>Ladies Toilet</t>
        </is>
      </c>
      <c r="D1008" s="7" t="n"/>
      <c r="E1008" s="17" t="n"/>
      <c r="F1008" s="20" t="n"/>
      <c r="G1008" s="47" t="n"/>
      <c r="H1008" s="47" t="n"/>
      <c r="I1008" s="47" t="n"/>
      <c r="J1008" s="47" t="n"/>
      <c r="K1008" s="20" t="n">
        <v/>
      </c>
      <c r="L1008" s="47" t="n">
        <v/>
      </c>
      <c r="M1008" s="47" t="n">
        <v/>
      </c>
      <c r="N1008" s="47" t="n">
        <v/>
      </c>
      <c r="O1008" s="47" t="n">
        <v/>
      </c>
      <c r="P1008" s="88" t="n"/>
    </row>
    <row r="1009" customFormat="1" s="2">
      <c r="A1009" s="6" t="n"/>
      <c r="B1009" s="4" t="n"/>
      <c r="C1009" s="4" t="inlineStr">
        <is>
          <t>BIB Cock 2 way</t>
        </is>
      </c>
      <c r="D1009" s="7" t="inlineStr">
        <is>
          <t>Nos</t>
        </is>
      </c>
      <c r="E1009" s="17" t="n"/>
      <c r="F1009" s="20" t="n">
        <v>1</v>
      </c>
      <c r="G1009" s="47" t="n"/>
      <c r="H1009" s="47" t="n"/>
      <c r="I1009" s="47" t="n"/>
      <c r="J1009" s="47">
        <f>PRODUCT(F1009:I1009)</f>
        <v/>
      </c>
      <c r="K1009" s="20" t="n">
        <v>1</v>
      </c>
      <c r="L1009" s="47" t="n">
        <v/>
      </c>
      <c r="M1009" s="47" t="n">
        <v/>
      </c>
      <c r="N1009" s="47" t="n">
        <v/>
      </c>
      <c r="O1009" s="47" t="n">
        <v/>
      </c>
      <c r="P1009" s="88" t="n"/>
    </row>
    <row r="1010" customFormat="1" s="2">
      <c r="A1010" s="6" t="n"/>
      <c r="B1010" s="4" t="n"/>
      <c r="C1010" s="4" t="n"/>
      <c r="D1010" s="7" t="n"/>
      <c r="E1010" s="17" t="n"/>
      <c r="F1010" s="20" t="n"/>
      <c r="G1010" s="47" t="n"/>
      <c r="H1010" s="47" t="n"/>
      <c r="I1010" s="47" t="n"/>
      <c r="J1010" s="47">
        <f>PRODUCT(F1010:I1010)</f>
        <v/>
      </c>
      <c r="K1010" s="20" t="n">
        <v/>
      </c>
      <c r="L1010" s="47" t="n">
        <v/>
      </c>
      <c r="M1010" s="47" t="n">
        <v/>
      </c>
      <c r="N1010" s="47" t="n">
        <v/>
      </c>
      <c r="O1010" s="47" t="n">
        <v/>
      </c>
      <c r="P1010" s="88" t="n"/>
    </row>
    <row r="1011" customFormat="1" s="2">
      <c r="A1011" s="112" t="n"/>
      <c r="B1011" s="112" t="n"/>
      <c r="C1011" s="112" t="inlineStr">
        <is>
          <t>Total Qty</t>
        </is>
      </c>
      <c r="D1011" s="120" t="n"/>
      <c r="E1011" s="121" t="n"/>
      <c r="F1011" s="123" t="n"/>
      <c r="G1011" s="123" t="n"/>
      <c r="H1011" s="123" t="n"/>
      <c r="I1011" s="123" t="n"/>
      <c r="J1011" s="123">
        <f>SUM(J1006:J1010)</f>
        <v/>
      </c>
      <c r="K1011" s="123" t="n">
        <v/>
      </c>
      <c r="L1011" s="123" t="n">
        <v/>
      </c>
      <c r="M1011" s="123" t="n">
        <v/>
      </c>
      <c r="N1011" s="123" t="n">
        <v/>
      </c>
      <c r="O1011" s="123" t="n">
        <v/>
      </c>
      <c r="P1011" s="88" t="n"/>
    </row>
    <row r="1012" customFormat="1" s="2">
      <c r="A1012" s="6" t="n"/>
      <c r="B1012" s="4" t="n"/>
      <c r="C1012" s="4" t="n"/>
      <c r="D1012" s="7" t="n"/>
      <c r="E1012" s="17" t="n"/>
      <c r="F1012" s="20" t="n"/>
      <c r="G1012" s="47" t="n"/>
      <c r="H1012" s="47" t="n"/>
      <c r="I1012" s="47" t="n"/>
      <c r="J1012" s="47" t="n"/>
      <c r="K1012" s="20" t="n">
        <v/>
      </c>
      <c r="L1012" s="47" t="n">
        <v/>
      </c>
      <c r="M1012" s="47" t="n">
        <v/>
      </c>
      <c r="N1012" s="47" t="n">
        <v/>
      </c>
      <c r="O1012" s="47" t="n">
        <v/>
      </c>
      <c r="P1012" s="88" t="n"/>
    </row>
    <row r="1013" ht="41.4" customFormat="1" customHeight="1" s="2">
      <c r="A1013" s="6">
        <f>A1005+1</f>
        <v/>
      </c>
      <c r="B1013" s="4" t="inlineStr">
        <is>
          <t>BIB Cock 2 way</t>
        </is>
      </c>
      <c r="C1013" s="4" t="inlineStr">
        <is>
          <t>Providing and FixinG 2 way BIB Cock. Approved make: Jaguar Model code:FLR-CHR-5041N, Range
: Florentine</t>
        </is>
      </c>
      <c r="D1013" s="5" t="inlineStr">
        <is>
          <t>Nos</t>
        </is>
      </c>
      <c r="E1013" s="16" t="n">
        <v>2</v>
      </c>
      <c r="F1013" s="20" t="n"/>
      <c r="G1013" s="47" t="n"/>
      <c r="H1013" s="47" t="n"/>
      <c r="I1013" s="47" t="n"/>
      <c r="J1013" s="47" t="n"/>
      <c r="K1013" s="20" t="n">
        <v/>
      </c>
      <c r="L1013" s="47" t="n">
        <v/>
      </c>
      <c r="M1013" s="47" t="n">
        <v/>
      </c>
      <c r="N1013" s="47" t="n">
        <v/>
      </c>
      <c r="O1013" s="47" t="n">
        <v/>
      </c>
      <c r="P1013" s="88" t="n"/>
    </row>
    <row r="1014" customFormat="1" s="2">
      <c r="A1014" s="6" t="n"/>
      <c r="B1014" s="4" t="n"/>
      <c r="C1014" s="14" t="inlineStr">
        <is>
          <t>Gents Toilet</t>
        </is>
      </c>
      <c r="D1014" s="7" t="n"/>
      <c r="E1014" s="17" t="n"/>
      <c r="F1014" s="20" t="n"/>
      <c r="G1014" s="47" t="n"/>
      <c r="H1014" s="47" t="n"/>
      <c r="I1014" s="47" t="n"/>
      <c r="J1014" s="47">
        <f>PRODUCT(F1014:I1014)</f>
        <v/>
      </c>
      <c r="K1014" s="20" t="n">
        <v/>
      </c>
      <c r="L1014" s="47" t="n">
        <v/>
      </c>
      <c r="M1014" s="47" t="n">
        <v/>
      </c>
      <c r="N1014" s="47" t="n">
        <v/>
      </c>
      <c r="O1014" s="47" t="n">
        <v/>
      </c>
      <c r="P1014" s="88" t="n"/>
    </row>
    <row r="1015" customFormat="1" s="2">
      <c r="A1015" s="6" t="n"/>
      <c r="B1015" s="4" t="n"/>
      <c r="C1015" s="4" t="inlineStr">
        <is>
          <t>BIB Cock 2 way</t>
        </is>
      </c>
      <c r="D1015" s="7" t="inlineStr">
        <is>
          <t>Nos</t>
        </is>
      </c>
      <c r="E1015" s="17" t="n"/>
      <c r="F1015" s="20" t="n">
        <v>1</v>
      </c>
      <c r="G1015" s="47" t="n"/>
      <c r="H1015" s="47" t="n"/>
      <c r="I1015" s="47" t="n"/>
      <c r="J1015" s="47">
        <f>PRODUCT(F1015:I1015)</f>
        <v/>
      </c>
      <c r="K1015" s="20" t="n">
        <v>1</v>
      </c>
      <c r="L1015" s="47" t="n">
        <v/>
      </c>
      <c r="M1015" s="47" t="n">
        <v/>
      </c>
      <c r="N1015" s="47" t="n">
        <v/>
      </c>
      <c r="O1015" s="47" t="n">
        <v/>
      </c>
      <c r="P1015" s="88" t="n"/>
    </row>
    <row r="1016" customFormat="1" s="2">
      <c r="A1016" s="6" t="n"/>
      <c r="B1016" s="4" t="n"/>
      <c r="C1016" s="14" t="inlineStr">
        <is>
          <t>Ladies Toilet</t>
        </is>
      </c>
      <c r="D1016" s="7" t="n"/>
      <c r="E1016" s="17" t="n"/>
      <c r="F1016" s="20" t="n"/>
      <c r="G1016" s="47" t="n"/>
      <c r="H1016" s="47" t="n"/>
      <c r="I1016" s="47" t="n"/>
      <c r="J1016" s="47" t="n"/>
      <c r="K1016" s="20" t="n">
        <v/>
      </c>
      <c r="L1016" s="47" t="n">
        <v/>
      </c>
      <c r="M1016" s="47" t="n">
        <v/>
      </c>
      <c r="N1016" s="47" t="n">
        <v/>
      </c>
      <c r="O1016" s="47" t="n">
        <v/>
      </c>
      <c r="P1016" s="88" t="n"/>
    </row>
    <row r="1017" customFormat="1" s="2">
      <c r="A1017" s="6" t="n"/>
      <c r="B1017" s="4" t="n"/>
      <c r="C1017" s="4" t="inlineStr">
        <is>
          <t>BIB Cock 2 way</t>
        </is>
      </c>
      <c r="D1017" s="7" t="inlineStr">
        <is>
          <t>Nos</t>
        </is>
      </c>
      <c r="E1017" s="17" t="n"/>
      <c r="F1017" s="20" t="n">
        <v>1</v>
      </c>
      <c r="G1017" s="47" t="n"/>
      <c r="H1017" s="47" t="n"/>
      <c r="I1017" s="47" t="n"/>
      <c r="J1017" s="47">
        <f>PRODUCT(F1017:I1017)</f>
        <v/>
      </c>
      <c r="K1017" s="20" t="n">
        <v>1</v>
      </c>
      <c r="L1017" s="47" t="n">
        <v/>
      </c>
      <c r="M1017" s="47" t="n">
        <v/>
      </c>
      <c r="N1017" s="47" t="n">
        <v/>
      </c>
      <c r="O1017" s="47" t="n">
        <v/>
      </c>
      <c r="P1017" s="88" t="n"/>
    </row>
    <row r="1018" customFormat="1" s="2">
      <c r="A1018" s="6" t="n"/>
      <c r="B1018" s="4" t="n"/>
      <c r="C1018" s="4" t="n"/>
      <c r="D1018" s="7" t="n"/>
      <c r="E1018" s="17" t="n"/>
      <c r="F1018" s="20" t="n"/>
      <c r="G1018" s="47" t="n"/>
      <c r="H1018" s="47" t="n"/>
      <c r="I1018" s="47" t="n"/>
      <c r="J1018" s="47">
        <f>PRODUCT(F1018:I1018)</f>
        <v/>
      </c>
      <c r="K1018" s="20" t="n">
        <v/>
      </c>
      <c r="L1018" s="47" t="n">
        <v/>
      </c>
      <c r="M1018" s="47" t="n">
        <v/>
      </c>
      <c r="N1018" s="47" t="n">
        <v/>
      </c>
      <c r="O1018" s="47" t="n">
        <v/>
      </c>
      <c r="P1018" s="88" t="n"/>
    </row>
    <row r="1019" customFormat="1" s="2">
      <c r="A1019" s="112" t="n"/>
      <c r="B1019" s="112" t="n"/>
      <c r="C1019" s="112" t="inlineStr">
        <is>
          <t>Total Qty</t>
        </is>
      </c>
      <c r="D1019" s="120" t="n"/>
      <c r="E1019" s="121" t="n"/>
      <c r="F1019" s="123" t="n"/>
      <c r="G1019" s="123" t="n"/>
      <c r="H1019" s="123" t="n"/>
      <c r="I1019" s="123" t="n"/>
      <c r="J1019" s="123">
        <f>SUM(J1014:J1018)</f>
        <v/>
      </c>
      <c r="K1019" s="123" t="n">
        <v/>
      </c>
      <c r="L1019" s="123" t="n">
        <v/>
      </c>
      <c r="M1019" s="123" t="n">
        <v/>
      </c>
      <c r="N1019" s="123" t="n">
        <v/>
      </c>
      <c r="O1019" s="123" t="n">
        <v/>
      </c>
      <c r="P1019" s="88" t="n"/>
    </row>
    <row r="1020" customFormat="1" s="2">
      <c r="A1020" s="6" t="n"/>
      <c r="B1020" s="4" t="n"/>
      <c r="C1020" s="4" t="n"/>
      <c r="D1020" s="7" t="n"/>
      <c r="E1020" s="17" t="n"/>
      <c r="F1020" s="20" t="n"/>
      <c r="G1020" s="47" t="n"/>
      <c r="H1020" s="47" t="n"/>
      <c r="I1020" s="47" t="n"/>
      <c r="J1020" s="47" t="n"/>
      <c r="K1020" s="20" t="n">
        <v/>
      </c>
      <c r="L1020" s="47" t="n">
        <v/>
      </c>
      <c r="M1020" s="47" t="n">
        <v/>
      </c>
      <c r="N1020" s="47" t="n">
        <v/>
      </c>
      <c r="O1020" s="47" t="n">
        <v/>
      </c>
      <c r="P1020" s="88" t="n"/>
    </row>
    <row r="1021" ht="27.6" customFormat="1" customHeight="1" s="2">
      <c r="A1021" s="6">
        <f>A1013+1</f>
        <v/>
      </c>
      <c r="B1021" s="4" t="inlineStr">
        <is>
          <t>Aluminum Skirting</t>
        </is>
      </c>
      <c r="C1021" s="4" t="inlineStr">
        <is>
          <t>Providing and fixing Bottomline _ Cubik _ Ebco make Alluminium skirting of 90mm height</t>
        </is>
      </c>
      <c r="D1021" s="5" t="inlineStr">
        <is>
          <t>Rft</t>
        </is>
      </c>
      <c r="E1021" s="16" t="n">
        <v>174</v>
      </c>
      <c r="F1021" s="20" t="n"/>
      <c r="G1021" s="47" t="n"/>
      <c r="H1021" s="47" t="n"/>
      <c r="I1021" s="47" t="n"/>
      <c r="J1021" s="47" t="n"/>
      <c r="K1021" s="20" t="n">
        <v/>
      </c>
      <c r="L1021" s="47" t="n">
        <v/>
      </c>
      <c r="M1021" s="47" t="n">
        <v/>
      </c>
      <c r="N1021" s="47" t="n">
        <v/>
      </c>
      <c r="O1021" s="47" t="n">
        <v/>
      </c>
      <c r="P1021" s="88" t="n"/>
    </row>
    <row r="1022" customFormat="1" s="2">
      <c r="A1022" s="6" t="n"/>
      <c r="B1022" s="4" t="n"/>
      <c r="C1022" s="4" t="inlineStr">
        <is>
          <t xml:space="preserve">Branch Area </t>
        </is>
      </c>
      <c r="D1022" s="5" t="n"/>
      <c r="E1022" s="16" t="n"/>
      <c r="F1022" s="20" t="n"/>
      <c r="G1022" s="47" t="n"/>
      <c r="H1022" s="47" t="n"/>
      <c r="I1022" s="47" t="n"/>
      <c r="J1022" s="47">
        <f>PRODUCT(F1022:I1022)</f>
        <v/>
      </c>
      <c r="K1022" s="20" t="n">
        <v/>
      </c>
      <c r="L1022" s="47" t="n">
        <v/>
      </c>
      <c r="M1022" s="47" t="n">
        <v/>
      </c>
      <c r="N1022" s="47" t="n">
        <v/>
      </c>
      <c r="O1022" s="47" t="n">
        <v/>
      </c>
      <c r="P1022" s="88" t="n"/>
    </row>
    <row r="1023" customFormat="1" s="2">
      <c r="A1023" s="6" t="n"/>
      <c r="B1023" s="4" t="n"/>
      <c r="C1023" s="4" t="inlineStr">
        <is>
          <t>Right Hand Side</t>
        </is>
      </c>
      <c r="D1023" s="5" t="inlineStr">
        <is>
          <t>Rft</t>
        </is>
      </c>
      <c r="E1023" s="16" t="n"/>
      <c r="F1023" s="20" t="n">
        <v>1</v>
      </c>
      <c r="G1023" s="47" t="n">
        <v>15.15</v>
      </c>
      <c r="H1023" s="47" t="n"/>
      <c r="I1023" s="47" t="n"/>
      <c r="J1023" s="47">
        <f>PRODUCT(F1023:I1023)</f>
        <v/>
      </c>
      <c r="K1023" s="20" t="n">
        <v>1</v>
      </c>
      <c r="L1023" s="47" t="n">
        <v/>
      </c>
      <c r="M1023" s="47" t="n">
        <v/>
      </c>
      <c r="N1023" s="47" t="n">
        <v/>
      </c>
      <c r="O1023" s="47" t="n">
        <v/>
      </c>
      <c r="P1023" s="88" t="n"/>
    </row>
    <row r="1024" customFormat="1" s="2">
      <c r="A1024" s="6" t="n"/>
      <c r="B1024" s="4" t="n"/>
      <c r="C1024" s="4" t="inlineStr">
        <is>
          <t>Front Side</t>
        </is>
      </c>
      <c r="D1024" s="5" t="inlineStr">
        <is>
          <t>Rft</t>
        </is>
      </c>
      <c r="E1024" s="16" t="n"/>
      <c r="F1024" s="20" t="n">
        <v>1</v>
      </c>
      <c r="G1024" s="47" t="n">
        <v>10.89</v>
      </c>
      <c r="H1024" s="47" t="n"/>
      <c r="I1024" s="47" t="n"/>
      <c r="J1024" s="47">
        <f>PRODUCT(F1024:I1024)</f>
        <v/>
      </c>
      <c r="K1024" s="20" t="n">
        <v>1</v>
      </c>
      <c r="L1024" s="47" t="n">
        <v/>
      </c>
      <c r="M1024" s="47" t="n">
        <v/>
      </c>
      <c r="N1024" s="47" t="n">
        <v/>
      </c>
      <c r="O1024" s="47" t="n">
        <v/>
      </c>
      <c r="P1024" s="88" t="n"/>
    </row>
    <row r="1025" customFormat="1" s="2">
      <c r="A1025" s="6" t="n"/>
      <c r="B1025" s="4" t="n"/>
      <c r="C1025" s="4" t="inlineStr">
        <is>
          <t>Cash Counter Side</t>
        </is>
      </c>
      <c r="D1025" s="5" t="inlineStr">
        <is>
          <t>Rft</t>
        </is>
      </c>
      <c r="E1025" s="16" t="n"/>
      <c r="F1025" s="20" t="n">
        <v>1</v>
      </c>
      <c r="G1025" s="47" t="n">
        <v>5.68</v>
      </c>
      <c r="H1025" s="47" t="n"/>
      <c r="I1025" s="47" t="n"/>
      <c r="J1025" s="47">
        <f>PRODUCT(F1025:I1025)</f>
        <v/>
      </c>
      <c r="K1025" s="20" t="n">
        <v>1</v>
      </c>
      <c r="L1025" s="47" t="n">
        <v/>
      </c>
      <c r="M1025" s="47" t="n">
        <v/>
      </c>
      <c r="N1025" s="47" t="n">
        <v/>
      </c>
      <c r="O1025" s="47" t="n">
        <v/>
      </c>
      <c r="P1025" s="88" t="n"/>
    </row>
    <row r="1026" customFormat="1" s="2">
      <c r="A1026" s="6" t="n"/>
      <c r="B1026" s="4" t="n"/>
      <c r="C1026" s="4" t="inlineStr">
        <is>
          <t>Colum</t>
        </is>
      </c>
      <c r="D1026" s="5" t="inlineStr">
        <is>
          <t>Rft</t>
        </is>
      </c>
      <c r="E1026" s="16" t="n"/>
      <c r="F1026" s="20" t="n">
        <v>1</v>
      </c>
      <c r="G1026" s="47" t="n">
        <v>2.65</v>
      </c>
      <c r="H1026" s="47" t="n"/>
      <c r="I1026" s="47" t="n"/>
      <c r="J1026" s="47">
        <f>PRODUCT(F1026:I1026)</f>
        <v/>
      </c>
      <c r="K1026" s="20" t="n">
        <v>1</v>
      </c>
      <c r="L1026" s="47" t="n">
        <v/>
      </c>
      <c r="M1026" s="47" t="n">
        <v/>
      </c>
      <c r="N1026" s="47" t="n">
        <v/>
      </c>
      <c r="O1026" s="47" t="n">
        <v/>
      </c>
      <c r="P1026" s="88" t="n"/>
    </row>
    <row r="1027" customFormat="1" s="2">
      <c r="A1027" s="6" t="n"/>
      <c r="B1027" s="4" t="n"/>
      <c r="C1027" s="4" t="inlineStr">
        <is>
          <t xml:space="preserve">Cash Counter Back Side </t>
        </is>
      </c>
      <c r="D1027" s="5" t="inlineStr">
        <is>
          <t>Rft</t>
        </is>
      </c>
      <c r="E1027" s="16" t="n"/>
      <c r="F1027" s="20" t="n">
        <v>1</v>
      </c>
      <c r="G1027" s="47" t="n">
        <v>8.529999999999999</v>
      </c>
      <c r="H1027" s="47" t="n"/>
      <c r="I1027" s="47" t="n"/>
      <c r="J1027" s="47">
        <f>PRODUCT(F1027:I1027)</f>
        <v/>
      </c>
      <c r="K1027" s="20" t="n">
        <v>1</v>
      </c>
      <c r="L1027" s="47" t="n">
        <v/>
      </c>
      <c r="M1027" s="47" t="n">
        <v/>
      </c>
      <c r="N1027" s="47" t="n">
        <v/>
      </c>
      <c r="O1027" s="47" t="n">
        <v/>
      </c>
      <c r="P1027" s="88" t="n"/>
    </row>
    <row r="1028" customFormat="1" s="2">
      <c r="A1028" s="6" t="n"/>
      <c r="B1028" s="4" t="n"/>
      <c r="C1028" s="4" t="inlineStr">
        <is>
          <t>Staircase Side</t>
        </is>
      </c>
      <c r="D1028" s="5" t="inlineStr">
        <is>
          <t>Rft</t>
        </is>
      </c>
      <c r="E1028" s="16" t="n"/>
      <c r="F1028" s="20" t="n">
        <v>1</v>
      </c>
      <c r="G1028" s="47" t="n">
        <v>10.62</v>
      </c>
      <c r="H1028" s="47" t="n"/>
      <c r="I1028" s="47" t="n"/>
      <c r="J1028" s="47">
        <f>PRODUCT(F1028:I1028)</f>
        <v/>
      </c>
      <c r="K1028" s="20" t="n">
        <v>1</v>
      </c>
      <c r="L1028" s="47" t="n">
        <v/>
      </c>
      <c r="M1028" s="47" t="n">
        <v/>
      </c>
      <c r="N1028" s="47" t="n">
        <v/>
      </c>
      <c r="O1028" s="47" t="n">
        <v/>
      </c>
      <c r="P1028" s="88" t="n"/>
    </row>
    <row r="1029" customFormat="1" s="2">
      <c r="A1029" s="6" t="n"/>
      <c r="B1029" s="4" t="n"/>
      <c r="C1029" s="4" t="inlineStr">
        <is>
          <t>Less Door</t>
        </is>
      </c>
      <c r="D1029" s="5" t="inlineStr">
        <is>
          <t>Rft</t>
        </is>
      </c>
      <c r="E1029" s="16" t="n"/>
      <c r="F1029" s="20" t="n">
        <v>1</v>
      </c>
      <c r="G1029" s="47" t="n">
        <v>1.84</v>
      </c>
      <c r="H1029" s="47" t="n"/>
      <c r="I1029" s="47" t="n"/>
      <c r="J1029" s="47">
        <f>PRODUCT(F1029:I1029)</f>
        <v/>
      </c>
      <c r="K1029" s="20" t="n">
        <v>1</v>
      </c>
      <c r="L1029" s="47" t="n">
        <v/>
      </c>
      <c r="M1029" s="47" t="n">
        <v/>
      </c>
      <c r="N1029" s="47" t="n">
        <v/>
      </c>
      <c r="O1029" s="47" t="n">
        <v/>
      </c>
      <c r="P1029" s="88" t="n"/>
    </row>
    <row r="1030" customFormat="1" s="2">
      <c r="A1030" s="6" t="n"/>
      <c r="B1030" s="4" t="n"/>
      <c r="C1030" s="4" t="inlineStr">
        <is>
          <t xml:space="preserve">Left Hand Side Colum </t>
        </is>
      </c>
      <c r="D1030" s="5" t="inlineStr">
        <is>
          <t>Rft</t>
        </is>
      </c>
      <c r="E1030" s="16" t="n"/>
      <c r="F1030" s="20" t="n">
        <v>1</v>
      </c>
      <c r="G1030" s="47" t="n">
        <v>11</v>
      </c>
      <c r="H1030" s="47" t="n"/>
      <c r="I1030" s="47" t="n"/>
      <c r="J1030" s="47">
        <f>PRODUCT(F1030:I1030)</f>
        <v/>
      </c>
      <c r="K1030" s="20" t="n">
        <v>1</v>
      </c>
      <c r="L1030" s="47" t="n">
        <v/>
      </c>
      <c r="M1030" s="47" t="n">
        <v/>
      </c>
      <c r="N1030" s="47" t="n">
        <v/>
      </c>
      <c r="O1030" s="47" t="n">
        <v/>
      </c>
      <c r="P1030" s="88" t="n"/>
    </row>
    <row r="1031" customFormat="1" s="2">
      <c r="A1031" s="6" t="n"/>
      <c r="B1031" s="4" t="n"/>
      <c r="C1031" s="4" t="inlineStr">
        <is>
          <t>Center Colum</t>
        </is>
      </c>
      <c r="D1031" s="5" t="inlineStr">
        <is>
          <t>Rft</t>
        </is>
      </c>
      <c r="E1031" s="16" t="n"/>
      <c r="F1031" s="20" t="n">
        <v>1</v>
      </c>
      <c r="G1031" s="47" t="n">
        <v>9.83</v>
      </c>
      <c r="H1031" s="47" t="n"/>
      <c r="I1031" s="47" t="n"/>
      <c r="J1031" s="47">
        <f>PRODUCT(F1031:I1031)</f>
        <v/>
      </c>
      <c r="K1031" s="20" t="n">
        <v>1</v>
      </c>
      <c r="L1031" s="47" t="n">
        <v/>
      </c>
      <c r="M1031" s="47" t="n">
        <v/>
      </c>
      <c r="N1031" s="47" t="n">
        <v/>
      </c>
      <c r="O1031" s="47" t="n">
        <v/>
      </c>
      <c r="P1031" s="88" t="n"/>
    </row>
    <row r="1032" customFormat="1" s="2">
      <c r="A1032" s="6" t="n"/>
      <c r="B1032" s="4" t="n"/>
      <c r="C1032" s="4" t="inlineStr">
        <is>
          <t>Mazenine Floor</t>
        </is>
      </c>
      <c r="D1032" s="5" t="n"/>
      <c r="E1032" s="16" t="n"/>
      <c r="F1032" s="20" t="n"/>
      <c r="G1032" s="47" t="n"/>
      <c r="H1032" s="47" t="n"/>
      <c r="I1032" s="47" t="n"/>
      <c r="J1032" s="47">
        <f>PRODUCT(F1032:I1032)</f>
        <v/>
      </c>
      <c r="K1032" s="20" t="n">
        <v/>
      </c>
      <c r="L1032" s="47" t="n">
        <v/>
      </c>
      <c r="M1032" s="47" t="n">
        <v/>
      </c>
      <c r="N1032" s="47" t="n">
        <v/>
      </c>
      <c r="O1032" s="47" t="n">
        <v/>
      </c>
      <c r="P1032" s="88" t="n"/>
    </row>
    <row r="1033" customFormat="1" s="2">
      <c r="A1033" s="6" t="n"/>
      <c r="B1033" s="4" t="n"/>
      <c r="C1033" s="4" t="inlineStr">
        <is>
          <t xml:space="preserve">Left Hand Side Colum </t>
        </is>
      </c>
      <c r="D1033" s="5" t="inlineStr">
        <is>
          <t>Rft</t>
        </is>
      </c>
      <c r="E1033" s="16" t="n"/>
      <c r="F1033" s="20" t="n">
        <v>1</v>
      </c>
      <c r="G1033" s="47" t="n">
        <v>5.84</v>
      </c>
      <c r="H1033" s="47" t="n"/>
      <c r="I1033" s="47" t="n"/>
      <c r="J1033" s="47">
        <f>PRODUCT(F1033:I1033)</f>
        <v/>
      </c>
      <c r="K1033" s="20" t="n">
        <v>1</v>
      </c>
      <c r="L1033" s="47" t="n">
        <v/>
      </c>
      <c r="M1033" s="47" t="n">
        <v/>
      </c>
      <c r="N1033" s="47" t="n">
        <v/>
      </c>
      <c r="O1033" s="47" t="n">
        <v/>
      </c>
      <c r="P1033" s="88" t="n"/>
    </row>
    <row r="1034" customFormat="1" s="2">
      <c r="A1034" s="6" t="n"/>
      <c r="B1034" s="4" t="n"/>
      <c r="C1034" s="4" t="inlineStr">
        <is>
          <t>Continue</t>
        </is>
      </c>
      <c r="D1034" s="5" t="inlineStr">
        <is>
          <t>Rft</t>
        </is>
      </c>
      <c r="E1034" s="16" t="n"/>
      <c r="F1034" s="20" t="n">
        <v>1</v>
      </c>
      <c r="G1034" s="47" t="n">
        <v>8.42</v>
      </c>
      <c r="H1034" s="47" t="n"/>
      <c r="I1034" s="47" t="n"/>
      <c r="J1034" s="47">
        <f>PRODUCT(F1034:I1034)</f>
        <v/>
      </c>
      <c r="K1034" s="20" t="n">
        <v>1</v>
      </c>
      <c r="L1034" s="47" t="n">
        <v/>
      </c>
      <c r="M1034" s="47" t="n">
        <v/>
      </c>
      <c r="N1034" s="47" t="n">
        <v/>
      </c>
      <c r="O1034" s="47" t="n">
        <v/>
      </c>
      <c r="P1034" s="88" t="n"/>
    </row>
    <row r="1035" customFormat="1" s="2">
      <c r="A1035" s="6" t="n"/>
      <c r="B1035" s="4" t="n"/>
      <c r="C1035" s="4" t="inlineStr">
        <is>
          <t>Colum</t>
        </is>
      </c>
      <c r="D1035" s="5" t="inlineStr">
        <is>
          <t>Rft</t>
        </is>
      </c>
      <c r="E1035" s="16" t="n"/>
      <c r="F1035" s="20" t="n">
        <v>1</v>
      </c>
      <c r="G1035" s="47" t="n">
        <v>5.59</v>
      </c>
      <c r="H1035" s="47" t="n"/>
      <c r="I1035" s="47" t="n"/>
      <c r="J1035" s="47">
        <f>PRODUCT(F1035:I1035)</f>
        <v/>
      </c>
      <c r="K1035" s="20" t="n">
        <v>1</v>
      </c>
      <c r="L1035" s="47" t="n">
        <v/>
      </c>
      <c r="M1035" s="47" t="n">
        <v/>
      </c>
      <c r="N1035" s="47" t="n">
        <v/>
      </c>
      <c r="O1035" s="47" t="n">
        <v/>
      </c>
      <c r="P1035" s="88" t="n"/>
    </row>
    <row r="1036" customFormat="1" s="2">
      <c r="A1036" s="6" t="n"/>
      <c r="B1036" s="4" t="n"/>
      <c r="C1036" s="4" t="inlineStr">
        <is>
          <t>Pantry Out Side</t>
        </is>
      </c>
      <c r="D1036" s="5" t="inlineStr">
        <is>
          <t>Rft</t>
        </is>
      </c>
      <c r="E1036" s="16" t="n"/>
      <c r="F1036" s="20" t="n">
        <v>1</v>
      </c>
      <c r="G1036" s="47" t="n">
        <v>5.11</v>
      </c>
      <c r="H1036" s="47" t="n"/>
      <c r="I1036" s="47" t="n"/>
      <c r="J1036" s="47">
        <f>PRODUCT(F1036:I1036)</f>
        <v/>
      </c>
      <c r="K1036" s="20" t="n">
        <v>1</v>
      </c>
      <c r="L1036" s="47" t="n">
        <v/>
      </c>
      <c r="M1036" s="47" t="n">
        <v/>
      </c>
      <c r="N1036" s="47" t="n">
        <v/>
      </c>
      <c r="O1036" s="47" t="n">
        <v/>
      </c>
      <c r="P1036" s="88" t="n"/>
    </row>
    <row r="1037" customFormat="1" s="2">
      <c r="A1037" s="6" t="n"/>
      <c r="B1037" s="4" t="n"/>
      <c r="C1037" s="4" t="inlineStr">
        <is>
          <t>Store Room Out Side</t>
        </is>
      </c>
      <c r="D1037" s="5" t="inlineStr">
        <is>
          <t>Rft</t>
        </is>
      </c>
      <c r="E1037" s="16" t="n"/>
      <c r="F1037" s="20" t="n">
        <v>1</v>
      </c>
      <c r="G1037" s="47" t="n">
        <v>2.73</v>
      </c>
      <c r="H1037" s="47" t="n"/>
      <c r="I1037" s="47" t="n"/>
      <c r="J1037" s="47">
        <f>PRODUCT(F1037:I1037)</f>
        <v/>
      </c>
      <c r="K1037" s="20" t="n">
        <v>1</v>
      </c>
      <c r="L1037" s="47" t="n">
        <v/>
      </c>
      <c r="M1037" s="47" t="n">
        <v/>
      </c>
      <c r="N1037" s="47" t="n">
        <v/>
      </c>
      <c r="O1037" s="47" t="n">
        <v/>
      </c>
      <c r="P1037" s="88" t="n"/>
    </row>
    <row r="1038" customFormat="1" s="2">
      <c r="A1038" s="6" t="n"/>
      <c r="B1038" s="4" t="n"/>
      <c r="C1038" s="4" t="inlineStr">
        <is>
          <t>Back Office</t>
        </is>
      </c>
      <c r="D1038" s="5" t="n"/>
      <c r="E1038" s="16" t="n"/>
      <c r="F1038" s="20" t="n"/>
      <c r="G1038" s="47" t="n"/>
      <c r="H1038" s="47" t="n"/>
      <c r="I1038" s="47" t="n"/>
      <c r="J1038" s="47">
        <f>PRODUCT(F1038:I1038)</f>
        <v/>
      </c>
      <c r="K1038" s="20" t="n">
        <v/>
      </c>
      <c r="L1038" s="47" t="n">
        <v/>
      </c>
      <c r="M1038" s="47" t="n">
        <v/>
      </c>
      <c r="N1038" s="47" t="n">
        <v/>
      </c>
      <c r="O1038" s="47" t="n">
        <v/>
      </c>
      <c r="P1038" s="88" t="n"/>
    </row>
    <row r="1039" customFormat="1" s="2">
      <c r="A1039" s="6" t="n"/>
      <c r="B1039" s="4" t="n"/>
      <c r="C1039" s="4" t="inlineStr">
        <is>
          <t xml:space="preserve">Left Hand Side </t>
        </is>
      </c>
      <c r="D1039" s="5" t="inlineStr">
        <is>
          <t>Rft</t>
        </is>
      </c>
      <c r="E1039" s="16" t="n"/>
      <c r="F1039" s="20" t="n">
        <v>1</v>
      </c>
      <c r="G1039" s="47" t="n">
        <v>4.86</v>
      </c>
      <c r="H1039" s="47" t="n"/>
      <c r="I1039" s="47" t="n"/>
      <c r="J1039" s="47">
        <f>PRODUCT(F1039:I1039)</f>
        <v/>
      </c>
      <c r="K1039" s="20" t="n">
        <v>1</v>
      </c>
      <c r="L1039" s="47" t="n">
        <v/>
      </c>
      <c r="M1039" s="47" t="n">
        <v/>
      </c>
      <c r="N1039" s="47" t="n">
        <v/>
      </c>
      <c r="O1039" s="47" t="n">
        <v/>
      </c>
      <c r="P1039" s="88" t="n"/>
    </row>
    <row r="1040" customFormat="1" s="2">
      <c r="A1040" s="6" t="n"/>
      <c r="B1040" s="4" t="n"/>
      <c r="C1040" s="4" t="inlineStr">
        <is>
          <t>Front Side</t>
        </is>
      </c>
      <c r="D1040" s="5" t="inlineStr">
        <is>
          <t>Rft</t>
        </is>
      </c>
      <c r="E1040" s="16" t="n"/>
      <c r="F1040" s="20" t="n">
        <v>1</v>
      </c>
      <c r="G1040" s="47" t="n">
        <v>14.82</v>
      </c>
      <c r="H1040" s="47" t="n"/>
      <c r="I1040" s="47" t="n"/>
      <c r="J1040" s="47">
        <f>PRODUCT(F1040:I1040)</f>
        <v/>
      </c>
      <c r="K1040" s="20" t="n">
        <v>1</v>
      </c>
      <c r="L1040" s="47" t="n">
        <v/>
      </c>
      <c r="M1040" s="47" t="n">
        <v/>
      </c>
      <c r="N1040" s="47" t="n">
        <v/>
      </c>
      <c r="O1040" s="47" t="n">
        <v/>
      </c>
      <c r="P1040" s="88" t="n"/>
    </row>
    <row r="1041" customFormat="1" s="2">
      <c r="A1041" s="6" t="n"/>
      <c r="B1041" s="4" t="n"/>
      <c r="C1041" s="4" t="inlineStr">
        <is>
          <t>Right Hand Side</t>
        </is>
      </c>
      <c r="D1041" s="5" t="inlineStr">
        <is>
          <t>Rft</t>
        </is>
      </c>
      <c r="E1041" s="16" t="n"/>
      <c r="F1041" s="20" t="n">
        <v>1</v>
      </c>
      <c r="G1041" s="47" t="n">
        <v>11.78</v>
      </c>
      <c r="H1041" s="47" t="n"/>
      <c r="I1041" s="47" t="n"/>
      <c r="J1041" s="47">
        <f>PRODUCT(F1041:I1041)</f>
        <v/>
      </c>
      <c r="K1041" s="20" t="n">
        <v>1</v>
      </c>
      <c r="L1041" s="47" t="n">
        <v/>
      </c>
      <c r="M1041" s="47" t="n">
        <v/>
      </c>
      <c r="N1041" s="47" t="n">
        <v/>
      </c>
      <c r="O1041" s="47" t="n">
        <v/>
      </c>
      <c r="P1041" s="88" t="n"/>
    </row>
    <row r="1042" customFormat="1" s="2">
      <c r="A1042" s="6" t="n"/>
      <c r="B1042" s="4" t="n"/>
      <c r="C1042" s="4" t="inlineStr">
        <is>
          <t>Colum</t>
        </is>
      </c>
      <c r="D1042" s="5" t="inlineStr">
        <is>
          <t>Rft</t>
        </is>
      </c>
      <c r="E1042" s="16" t="n"/>
      <c r="F1042" s="20" t="n">
        <v>1</v>
      </c>
      <c r="G1042" s="47" t="n">
        <v>11.11</v>
      </c>
      <c r="H1042" s="47" t="n"/>
      <c r="I1042" s="47" t="n"/>
      <c r="J1042" s="47">
        <f>PRODUCT(F1042:I1042)</f>
        <v/>
      </c>
      <c r="K1042" s="20" t="n">
        <v>1</v>
      </c>
      <c r="L1042" s="47" t="n">
        <v/>
      </c>
      <c r="M1042" s="47" t="n">
        <v/>
      </c>
      <c r="N1042" s="47" t="n">
        <v/>
      </c>
      <c r="O1042" s="47" t="n">
        <v/>
      </c>
      <c r="P1042" s="88" t="n"/>
    </row>
    <row r="1043" customFormat="1" s="2">
      <c r="A1043" s="6" t="n"/>
      <c r="B1043" s="4" t="n"/>
      <c r="C1043" s="4" t="inlineStr">
        <is>
          <t>BM Cabin</t>
        </is>
      </c>
      <c r="D1043" s="5" t="n"/>
      <c r="E1043" s="16" t="n"/>
      <c r="F1043" s="20" t="n"/>
      <c r="G1043" s="47" t="n"/>
      <c r="H1043" s="47" t="n"/>
      <c r="I1043" s="47" t="n"/>
      <c r="J1043" s="47">
        <f>PRODUCT(F1043:I1043)</f>
        <v/>
      </c>
      <c r="K1043" s="20" t="n">
        <v/>
      </c>
      <c r="L1043" s="47" t="n">
        <v/>
      </c>
      <c r="M1043" s="47" t="n">
        <v/>
      </c>
      <c r="N1043" s="47" t="n">
        <v/>
      </c>
      <c r="O1043" s="47" t="n">
        <v/>
      </c>
      <c r="P1043" s="88" t="n"/>
    </row>
    <row r="1044" customFormat="1" s="2">
      <c r="A1044" s="6" t="n"/>
      <c r="B1044" s="4" t="n"/>
      <c r="C1044" s="4" t="inlineStr">
        <is>
          <t>Right Hand Side</t>
        </is>
      </c>
      <c r="D1044" s="5" t="inlineStr">
        <is>
          <t>Rft</t>
        </is>
      </c>
      <c r="E1044" s="16" t="n"/>
      <c r="F1044" s="20" t="n">
        <v>1</v>
      </c>
      <c r="G1044" s="47" t="n">
        <v>9.33</v>
      </c>
      <c r="H1044" s="47" t="n"/>
      <c r="I1044" s="47" t="n"/>
      <c r="J1044" s="47">
        <f>PRODUCT(F1044:I1044)</f>
        <v/>
      </c>
      <c r="K1044" s="20" t="n">
        <v>1</v>
      </c>
      <c r="L1044" s="47" t="n">
        <v/>
      </c>
      <c r="M1044" s="47" t="n">
        <v/>
      </c>
      <c r="N1044" s="47" t="n">
        <v/>
      </c>
      <c r="O1044" s="47" t="n">
        <v/>
      </c>
      <c r="P1044" s="88" t="n"/>
    </row>
    <row r="1045" customFormat="1" s="2">
      <c r="A1045" s="6" t="n"/>
      <c r="B1045" s="4" t="n"/>
      <c r="C1045" s="4" t="inlineStr">
        <is>
          <t>Front Side</t>
        </is>
      </c>
      <c r="D1045" s="5" t="inlineStr">
        <is>
          <t>Rft</t>
        </is>
      </c>
      <c r="E1045" s="16" t="n"/>
      <c r="F1045" s="20" t="n">
        <v>1</v>
      </c>
      <c r="G1045" s="47" t="n">
        <v>7.25</v>
      </c>
      <c r="H1045" s="47" t="n"/>
      <c r="I1045" s="47" t="n"/>
      <c r="J1045" s="47">
        <f>PRODUCT(F1045:I1045)</f>
        <v/>
      </c>
      <c r="K1045" s="20" t="n">
        <v>1</v>
      </c>
      <c r="L1045" s="47" t="n">
        <v/>
      </c>
      <c r="M1045" s="47" t="n">
        <v/>
      </c>
      <c r="N1045" s="47" t="n">
        <v/>
      </c>
      <c r="O1045" s="47" t="n">
        <v/>
      </c>
      <c r="P1045" s="88" t="n"/>
    </row>
    <row r="1046" customFormat="1" s="2">
      <c r="A1046" s="6" t="n"/>
      <c r="B1046" s="4" t="n"/>
      <c r="C1046" s="4" t="inlineStr">
        <is>
          <t xml:space="preserve">Strong Room </t>
        </is>
      </c>
      <c r="D1046" s="5" t="n"/>
      <c r="E1046" s="16" t="n"/>
      <c r="F1046" s="20" t="n"/>
      <c r="G1046" s="47" t="n"/>
      <c r="H1046" s="47" t="n"/>
      <c r="I1046" s="47" t="n"/>
      <c r="J1046" s="47">
        <f>PRODUCT(F1046:I1046)</f>
        <v/>
      </c>
      <c r="K1046" s="20" t="n">
        <v/>
      </c>
      <c r="L1046" s="47" t="n">
        <v/>
      </c>
      <c r="M1046" s="47" t="n">
        <v/>
      </c>
      <c r="N1046" s="47" t="n">
        <v/>
      </c>
      <c r="O1046" s="47" t="n">
        <v/>
      </c>
      <c r="P1046" s="88" t="n"/>
    </row>
    <row r="1047" customFormat="1" s="2">
      <c r="A1047" s="6" t="n"/>
      <c r="B1047" s="4" t="n"/>
      <c r="C1047" s="4" t="inlineStr">
        <is>
          <t xml:space="preserve">Door Side </t>
        </is>
      </c>
      <c r="D1047" s="5" t="inlineStr">
        <is>
          <t>Rft</t>
        </is>
      </c>
      <c r="E1047" s="16" t="n"/>
      <c r="F1047" s="20" t="n">
        <v>1</v>
      </c>
      <c r="G1047" s="47" t="n">
        <v>5.37</v>
      </c>
      <c r="H1047" s="47" t="n"/>
      <c r="I1047" s="47" t="n"/>
      <c r="J1047" s="47">
        <f>PRODUCT(F1047:I1047)</f>
        <v/>
      </c>
      <c r="K1047" s="20" t="n">
        <v>1</v>
      </c>
      <c r="L1047" s="47" t="n">
        <v/>
      </c>
      <c r="M1047" s="47" t="n">
        <v/>
      </c>
      <c r="N1047" s="47" t="n">
        <v/>
      </c>
      <c r="O1047" s="47" t="n">
        <v/>
      </c>
      <c r="P1047" s="88" t="n"/>
    </row>
    <row r="1048" customFormat="1" s="2">
      <c r="A1048" s="6" t="n"/>
      <c r="B1048" s="4" t="n"/>
      <c r="C1048" s="4" t="inlineStr">
        <is>
          <t xml:space="preserve">Pantry  </t>
        </is>
      </c>
      <c r="D1048" s="5" t="n"/>
      <c r="E1048" s="16" t="n"/>
      <c r="F1048" s="20" t="n"/>
      <c r="G1048" s="47" t="n"/>
      <c r="H1048" s="47" t="n"/>
      <c r="I1048" s="47" t="n"/>
      <c r="J1048" s="47">
        <f>PRODUCT(F1048:I1048)</f>
        <v/>
      </c>
      <c r="K1048" s="20" t="n">
        <v/>
      </c>
      <c r="L1048" s="47" t="n">
        <v/>
      </c>
      <c r="M1048" s="47" t="n">
        <v/>
      </c>
      <c r="N1048" s="47" t="n">
        <v/>
      </c>
      <c r="O1048" s="47" t="n">
        <v/>
      </c>
      <c r="P1048" s="88" t="n"/>
    </row>
    <row r="1049" customFormat="1" s="2">
      <c r="A1049" s="6" t="n"/>
      <c r="B1049" s="4" t="n"/>
      <c r="C1049" s="4" t="inlineStr">
        <is>
          <t>Right Hand Side</t>
        </is>
      </c>
      <c r="D1049" s="5" t="inlineStr">
        <is>
          <t>Rft</t>
        </is>
      </c>
      <c r="E1049" s="16" t="n"/>
      <c r="F1049" s="20" t="n">
        <v>1</v>
      </c>
      <c r="G1049" s="34" t="n">
        <v>9.93</v>
      </c>
      <c r="H1049" s="47" t="n"/>
      <c r="I1049" s="47" t="n"/>
      <c r="J1049" s="47">
        <f>PRODUCT(F1049:I1049)</f>
        <v/>
      </c>
      <c r="K1049" s="20" t="n">
        <v>1</v>
      </c>
      <c r="L1049" s="34" t="n">
        <v/>
      </c>
      <c r="M1049" s="47" t="n">
        <v/>
      </c>
      <c r="N1049" s="47" t="n">
        <v/>
      </c>
      <c r="O1049" s="47" t="n">
        <v/>
      </c>
      <c r="P1049" s="88" t="n"/>
    </row>
    <row r="1050" customFormat="1" s="2">
      <c r="A1050" s="6" t="n"/>
      <c r="B1050" s="4" t="n"/>
      <c r="C1050" s="4" t="inlineStr">
        <is>
          <t>JL Cabin</t>
        </is>
      </c>
      <c r="D1050" s="5" t="n"/>
      <c r="E1050" s="16" t="n"/>
      <c r="F1050" s="20" t="n"/>
      <c r="G1050" s="47" t="n"/>
      <c r="H1050" s="47" t="n"/>
      <c r="I1050" s="47" t="n"/>
      <c r="J1050" s="47">
        <f>PRODUCT(F1050:I1050)</f>
        <v/>
      </c>
      <c r="K1050" s="20" t="n">
        <v/>
      </c>
      <c r="L1050" s="47" t="n">
        <v/>
      </c>
      <c r="M1050" s="47" t="n">
        <v/>
      </c>
      <c r="N1050" s="47" t="n">
        <v/>
      </c>
      <c r="O1050" s="47" t="n">
        <v/>
      </c>
      <c r="P1050" s="88" t="n"/>
    </row>
    <row r="1051" customFormat="1" s="2">
      <c r="A1051" s="6" t="n"/>
      <c r="B1051" s="4" t="n"/>
      <c r="C1051" s="4" t="inlineStr">
        <is>
          <t xml:space="preserve">Left Hand Side </t>
        </is>
      </c>
      <c r="D1051" s="5" t="inlineStr">
        <is>
          <t>Rft</t>
        </is>
      </c>
      <c r="E1051" s="16" t="n"/>
      <c r="F1051" s="20" t="n">
        <v>1</v>
      </c>
      <c r="G1051" s="47" t="n">
        <v>8.57</v>
      </c>
      <c r="H1051" s="47" t="n"/>
      <c r="I1051" s="47" t="n"/>
      <c r="J1051" s="47">
        <f>PRODUCT(F1051:I1051)</f>
        <v/>
      </c>
      <c r="K1051" s="20" t="n">
        <v>1</v>
      </c>
      <c r="L1051" s="47" t="n">
        <v/>
      </c>
      <c r="M1051" s="47" t="n">
        <v/>
      </c>
      <c r="N1051" s="47" t="n">
        <v/>
      </c>
      <c r="O1051" s="47" t="n">
        <v/>
      </c>
      <c r="P1051" s="88" t="n"/>
    </row>
    <row r="1052" customFormat="1" s="2">
      <c r="A1052" s="6" t="n"/>
      <c r="B1052" s="4" t="n"/>
      <c r="C1052" s="4" t="inlineStr">
        <is>
          <t>Front Side</t>
        </is>
      </c>
      <c r="D1052" s="5" t="inlineStr">
        <is>
          <t>Rft</t>
        </is>
      </c>
      <c r="E1052" s="16" t="n"/>
      <c r="F1052" s="20" t="n">
        <v>1</v>
      </c>
      <c r="G1052" s="47" t="n">
        <v>6.87</v>
      </c>
      <c r="H1052" s="47" t="n"/>
      <c r="I1052" s="47" t="n"/>
      <c r="J1052" s="47">
        <f>PRODUCT(F1052:I1052)</f>
        <v/>
      </c>
      <c r="K1052" s="20" t="n">
        <v>1</v>
      </c>
      <c r="L1052" s="47" t="n">
        <v/>
      </c>
      <c r="M1052" s="47" t="n">
        <v/>
      </c>
      <c r="N1052" s="47" t="n">
        <v/>
      </c>
      <c r="O1052" s="47" t="n">
        <v/>
      </c>
      <c r="P1052" s="88" t="n"/>
    </row>
    <row r="1053" customFormat="1" s="2">
      <c r="A1053" s="6" t="n"/>
      <c r="B1053" s="4" t="n"/>
      <c r="C1053" s="4" t="inlineStr">
        <is>
          <t xml:space="preserve">Store Room  </t>
        </is>
      </c>
      <c r="D1053" s="5" t="n"/>
      <c r="E1053" s="16" t="n"/>
      <c r="F1053" s="20" t="n"/>
      <c r="G1053" s="47" t="n"/>
      <c r="H1053" s="47" t="n"/>
      <c r="I1053" s="47" t="n"/>
      <c r="J1053" s="47">
        <f>PRODUCT(F1053:I1053)</f>
        <v/>
      </c>
      <c r="K1053" s="20" t="n">
        <v/>
      </c>
      <c r="L1053" s="47" t="n">
        <v/>
      </c>
      <c r="M1053" s="47" t="n">
        <v/>
      </c>
      <c r="N1053" s="47" t="n">
        <v/>
      </c>
      <c r="O1053" s="47" t="n">
        <v/>
      </c>
      <c r="P1053" s="88" t="n"/>
    </row>
    <row r="1054" customFormat="1" s="2">
      <c r="A1054" s="6" t="n"/>
      <c r="B1054" s="4" t="n"/>
      <c r="C1054" s="4" t="inlineStr">
        <is>
          <t>Right Hand Side</t>
        </is>
      </c>
      <c r="D1054" s="5" t="inlineStr">
        <is>
          <t>Rft</t>
        </is>
      </c>
      <c r="E1054" s="16" t="n"/>
      <c r="F1054" s="20" t="n">
        <v>1</v>
      </c>
      <c r="G1054" s="47" t="n">
        <v>5.05</v>
      </c>
      <c r="H1054" s="47" t="n"/>
      <c r="I1054" s="47" t="n"/>
      <c r="J1054" s="47">
        <f>PRODUCT(F1054:I1054)</f>
        <v/>
      </c>
      <c r="K1054" s="20" t="n">
        <v>1</v>
      </c>
      <c r="L1054" s="47" t="n">
        <v/>
      </c>
      <c r="M1054" s="47" t="n">
        <v/>
      </c>
      <c r="N1054" s="47" t="n">
        <v/>
      </c>
      <c r="O1054" s="47" t="n">
        <v/>
      </c>
      <c r="P1054" s="88" t="n"/>
    </row>
    <row r="1055" customFormat="1" s="2">
      <c r="A1055" s="6" t="n"/>
      <c r="B1055" s="4" t="n"/>
      <c r="C1055" s="4" t="inlineStr">
        <is>
          <t>Front Side</t>
        </is>
      </c>
      <c r="D1055" s="5" t="inlineStr">
        <is>
          <t>Rft</t>
        </is>
      </c>
      <c r="E1055" s="16" t="n"/>
      <c r="F1055" s="20" t="n">
        <v>1</v>
      </c>
      <c r="G1055" s="47" t="n">
        <v>5.18</v>
      </c>
      <c r="H1055" s="47" t="n"/>
      <c r="I1055" s="47" t="n"/>
      <c r="J1055" s="47">
        <f>PRODUCT(F1055:I1055)</f>
        <v/>
      </c>
      <c r="K1055" s="20" t="n">
        <v>1</v>
      </c>
      <c r="L1055" s="47" t="n">
        <v/>
      </c>
      <c r="M1055" s="47" t="n">
        <v/>
      </c>
      <c r="N1055" s="47" t="n">
        <v/>
      </c>
      <c r="O1055" s="47" t="n">
        <v/>
      </c>
      <c r="P1055" s="88" t="n"/>
    </row>
    <row r="1056" customFormat="1" s="2">
      <c r="A1056" s="6" t="n"/>
      <c r="B1056" s="4" t="n"/>
      <c r="C1056" s="4" t="inlineStr">
        <is>
          <t>Left Hand Side</t>
        </is>
      </c>
      <c r="D1056" s="5" t="inlineStr">
        <is>
          <t>Rft</t>
        </is>
      </c>
      <c r="E1056" s="16" t="n"/>
      <c r="F1056" s="20" t="n">
        <v>1</v>
      </c>
      <c r="G1056" s="47" t="n">
        <v>5.07</v>
      </c>
      <c r="H1056" s="47" t="n"/>
      <c r="I1056" s="47" t="n"/>
      <c r="J1056" s="47">
        <f>PRODUCT(F1056:I1056)</f>
        <v/>
      </c>
      <c r="K1056" s="20" t="n">
        <v>1</v>
      </c>
      <c r="L1056" s="47" t="n">
        <v/>
      </c>
      <c r="M1056" s="47" t="n">
        <v/>
      </c>
      <c r="N1056" s="47" t="n">
        <v/>
      </c>
      <c r="O1056" s="47" t="n">
        <v/>
      </c>
      <c r="P1056" s="88" t="n"/>
    </row>
    <row r="1057" customFormat="1" s="2">
      <c r="A1057" s="6" t="n"/>
      <c r="B1057" s="4" t="n"/>
      <c r="C1057" s="4" t="inlineStr">
        <is>
          <t xml:space="preserve">Door Side </t>
        </is>
      </c>
      <c r="D1057" s="5" t="inlineStr">
        <is>
          <t>Rft</t>
        </is>
      </c>
      <c r="E1057" s="16" t="n"/>
      <c r="F1057" s="20" t="n">
        <v>1</v>
      </c>
      <c r="G1057" s="47" t="n">
        <v>2.5</v>
      </c>
      <c r="H1057" s="47" t="n"/>
      <c r="I1057" s="47" t="n"/>
      <c r="J1057" s="47">
        <f>PRODUCT(F1057:I1057)</f>
        <v/>
      </c>
      <c r="K1057" s="20" t="n">
        <v>1</v>
      </c>
      <c r="L1057" s="47" t="n">
        <v/>
      </c>
      <c r="M1057" s="47" t="n">
        <v/>
      </c>
      <c r="N1057" s="47" t="n">
        <v/>
      </c>
      <c r="O1057" s="47" t="n">
        <v/>
      </c>
      <c r="P1057" s="88" t="n"/>
    </row>
    <row r="1058" customFormat="1" s="2">
      <c r="A1058" s="6" t="n"/>
      <c r="B1058" s="4" t="n"/>
      <c r="C1058" s="4" t="inlineStr">
        <is>
          <t xml:space="preserve">ATM </t>
        </is>
      </c>
      <c r="D1058" s="5" t="n"/>
      <c r="E1058" s="16" t="n"/>
      <c r="F1058" s="20" t="n"/>
      <c r="G1058" s="47" t="n"/>
      <c r="H1058" s="47" t="n"/>
      <c r="I1058" s="47" t="n"/>
      <c r="J1058" s="47">
        <f>PRODUCT(F1058:I1058)</f>
        <v/>
      </c>
      <c r="K1058" s="20" t="n">
        <v/>
      </c>
      <c r="L1058" s="47" t="n">
        <v/>
      </c>
      <c r="M1058" s="47" t="n">
        <v/>
      </c>
      <c r="N1058" s="47" t="n">
        <v/>
      </c>
      <c r="O1058" s="47" t="n">
        <v/>
      </c>
      <c r="P1058" s="88" t="n"/>
    </row>
    <row r="1059" customFormat="1" s="2">
      <c r="A1059" s="6" t="n"/>
      <c r="B1059" s="4" t="n"/>
      <c r="C1059" s="4" t="inlineStr">
        <is>
          <t xml:space="preserve">Door Side </t>
        </is>
      </c>
      <c r="D1059" s="5" t="inlineStr">
        <is>
          <t>Rft</t>
        </is>
      </c>
      <c r="E1059" s="16" t="n"/>
      <c r="F1059" s="20" t="n">
        <v>1</v>
      </c>
      <c r="G1059" s="47" t="n">
        <v>1.1</v>
      </c>
      <c r="H1059" s="47" t="n"/>
      <c r="I1059" s="47" t="n"/>
      <c r="J1059" s="47">
        <f>PRODUCT(F1059:I1059)</f>
        <v/>
      </c>
      <c r="K1059" s="20" t="n">
        <v>1</v>
      </c>
      <c r="L1059" s="47" t="n">
        <v/>
      </c>
      <c r="M1059" s="47" t="n">
        <v/>
      </c>
      <c r="N1059" s="47" t="n">
        <v/>
      </c>
      <c r="O1059" s="47" t="n">
        <v/>
      </c>
      <c r="P1059" s="88" t="n"/>
    </row>
    <row r="1060" customFormat="1" s="2">
      <c r="A1060" s="6" t="n"/>
      <c r="B1060" s="4" t="n"/>
      <c r="C1060" s="4" t="inlineStr">
        <is>
          <t xml:space="preserve">Left Hand Side </t>
        </is>
      </c>
      <c r="D1060" s="5" t="inlineStr">
        <is>
          <t>Rft</t>
        </is>
      </c>
      <c r="E1060" s="16" t="n"/>
      <c r="F1060" s="20" t="n">
        <v>1</v>
      </c>
      <c r="G1060" s="47" t="n">
        <v>6.66</v>
      </c>
      <c r="H1060" s="47" t="n"/>
      <c r="I1060" s="47" t="n"/>
      <c r="J1060" s="47">
        <f>PRODUCT(F1060:I1060)</f>
        <v/>
      </c>
      <c r="K1060" s="20" t="n">
        <v>1</v>
      </c>
      <c r="L1060" s="47" t="n">
        <v/>
      </c>
      <c r="M1060" s="47" t="n">
        <v/>
      </c>
      <c r="N1060" s="47" t="n">
        <v/>
      </c>
      <c r="O1060" s="47" t="n">
        <v/>
      </c>
      <c r="P1060" s="88" t="n"/>
    </row>
    <row r="1061" customFormat="1" s="2">
      <c r="A1061" s="6" t="n"/>
      <c r="B1061" s="4" t="n"/>
      <c r="C1061" s="4" t="inlineStr">
        <is>
          <t>Front Side</t>
        </is>
      </c>
      <c r="D1061" s="5" t="inlineStr">
        <is>
          <t>Rft</t>
        </is>
      </c>
      <c r="E1061" s="16" t="n"/>
      <c r="F1061" s="20" t="n">
        <v>1</v>
      </c>
      <c r="G1061" s="47" t="n">
        <v>5.01</v>
      </c>
      <c r="H1061" s="47" t="n"/>
      <c r="I1061" s="47" t="n"/>
      <c r="J1061" s="47">
        <f>PRODUCT(F1061:I1061)</f>
        <v/>
      </c>
      <c r="K1061" s="20" t="n">
        <v>1</v>
      </c>
      <c r="L1061" s="47" t="n">
        <v/>
      </c>
      <c r="M1061" s="47" t="n">
        <v/>
      </c>
      <c r="N1061" s="47" t="n">
        <v/>
      </c>
      <c r="O1061" s="47" t="n">
        <v/>
      </c>
      <c r="P1061" s="88" t="n"/>
    </row>
    <row r="1062" customFormat="1" s="2">
      <c r="A1062" s="6" t="n"/>
      <c r="B1062" s="4" t="n"/>
      <c r="C1062" s="4" t="n"/>
      <c r="D1062" s="5" t="n"/>
      <c r="E1062" s="16" t="n"/>
      <c r="F1062" s="20" t="n"/>
      <c r="G1062" s="47" t="n"/>
      <c r="H1062" s="47" t="n"/>
      <c r="I1062" s="47" t="n"/>
      <c r="J1062" s="47">
        <f>PRODUCT(F1062:I1062)</f>
        <v/>
      </c>
      <c r="K1062" s="20" t="n">
        <v/>
      </c>
      <c r="L1062" s="47" t="n">
        <v/>
      </c>
      <c r="M1062" s="47" t="n">
        <v/>
      </c>
      <c r="N1062" s="47" t="n">
        <v/>
      </c>
      <c r="O1062" s="47" t="n">
        <v/>
      </c>
      <c r="P1062" s="88" t="n"/>
    </row>
    <row r="1063" customFormat="1" s="2">
      <c r="A1063" s="112" t="n"/>
      <c r="B1063" s="112" t="n"/>
      <c r="C1063" s="112" t="inlineStr">
        <is>
          <t>Total Qty</t>
        </is>
      </c>
      <c r="D1063" s="120" t="n"/>
      <c r="E1063" s="121" t="n"/>
      <c r="F1063" s="123" t="n"/>
      <c r="G1063" s="123" t="n"/>
      <c r="H1063" s="123" t="n"/>
      <c r="I1063" s="123" t="n"/>
      <c r="J1063" s="123">
        <f>ROUND(SUM(J1022:J1062),)</f>
        <v/>
      </c>
      <c r="K1063" s="123" t="n">
        <v/>
      </c>
      <c r="L1063" s="123" t="n">
        <v/>
      </c>
      <c r="M1063" s="123" t="n">
        <v/>
      </c>
      <c r="N1063" s="123" t="n">
        <v/>
      </c>
      <c r="O1063" s="123" t="n">
        <v/>
      </c>
      <c r="P1063" s="88" t="n"/>
    </row>
    <row r="1064" customFormat="1" s="2">
      <c r="A1064" s="6" t="n"/>
      <c r="B1064" s="4" t="n"/>
      <c r="C1064" s="4" t="n"/>
      <c r="D1064" s="5" t="n"/>
      <c r="E1064" s="16" t="n"/>
      <c r="F1064" s="20" t="n"/>
      <c r="G1064" s="47" t="n"/>
      <c r="H1064" s="47" t="n"/>
      <c r="I1064" s="47" t="n"/>
      <c r="J1064" s="47" t="n"/>
      <c r="K1064" s="20" t="n">
        <v/>
      </c>
      <c r="L1064" s="47" t="n">
        <v/>
      </c>
      <c r="M1064" s="47" t="n">
        <v/>
      </c>
      <c r="N1064" s="47" t="n">
        <v/>
      </c>
      <c r="O1064" s="47" t="n">
        <v/>
      </c>
      <c r="P1064" s="88" t="n"/>
    </row>
    <row r="1065" ht="109.8" customFormat="1" customHeight="1" s="2">
      <c r="A1065" s="6">
        <f>A1021+1</f>
        <v/>
      </c>
      <c r="B1065" s="4" t="inlineStr">
        <is>
          <t>Toilet WC Cubicle</t>
        </is>
      </c>
      <c r="C1065" s="4"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D1065" s="7" t="inlineStr">
        <is>
          <t>Nos</t>
        </is>
      </c>
      <c r="E1065" s="17" t="n">
        <v>1</v>
      </c>
      <c r="F1065" s="20" t="n"/>
      <c r="G1065" s="47" t="n"/>
      <c r="H1065" s="47" t="n"/>
      <c r="I1065" s="47" t="n"/>
      <c r="J1065" s="47" t="n"/>
      <c r="K1065" s="20" t="n">
        <v/>
      </c>
      <c r="L1065" s="47" t="n">
        <v/>
      </c>
      <c r="M1065" s="47" t="n">
        <v/>
      </c>
      <c r="N1065" s="47" t="n">
        <v/>
      </c>
      <c r="O1065" s="47" t="n">
        <v/>
      </c>
      <c r="P1065" s="88" t="n"/>
    </row>
    <row r="1066" customFormat="1" s="2">
      <c r="A1066" s="6" t="n"/>
      <c r="B1066" s="4" t="n"/>
      <c r="C1066" s="14" t="inlineStr">
        <is>
          <t>Gents Toilet</t>
        </is>
      </c>
      <c r="D1066" s="7" t="n"/>
      <c r="E1066" s="17" t="n"/>
      <c r="F1066" s="20" t="n"/>
      <c r="G1066" s="47" t="n"/>
      <c r="H1066" s="47" t="n"/>
      <c r="I1066" s="47" t="n"/>
      <c r="J1066" s="47">
        <f>PRODUCT(F1066:I1066)</f>
        <v/>
      </c>
      <c r="K1066" s="20" t="n">
        <v/>
      </c>
      <c r="L1066" s="47" t="n">
        <v/>
      </c>
      <c r="M1066" s="47" t="n">
        <v/>
      </c>
      <c r="N1066" s="47" t="n">
        <v/>
      </c>
      <c r="O1066" s="47" t="n">
        <v/>
      </c>
      <c r="P1066" s="88" t="n"/>
    </row>
    <row r="1067" customFormat="1" s="2">
      <c r="A1067" s="6" t="n"/>
      <c r="B1067" s="4" t="n"/>
      <c r="C1067" s="4" t="inlineStr">
        <is>
          <t>Toilet Cubical</t>
        </is>
      </c>
      <c r="D1067" s="7" t="inlineStr">
        <is>
          <t>Nos</t>
        </is>
      </c>
      <c r="E1067" s="17" t="n"/>
      <c r="F1067" s="20" t="n">
        <v>1</v>
      </c>
      <c r="G1067" s="47" t="n"/>
      <c r="H1067" s="47" t="n"/>
      <c r="I1067" s="47" t="n"/>
      <c r="J1067" s="47">
        <f>PRODUCT(F1067:I1067)</f>
        <v/>
      </c>
      <c r="K1067" s="20" t="n">
        <v>1</v>
      </c>
      <c r="L1067" s="47" t="n">
        <v/>
      </c>
      <c r="M1067" s="47" t="n">
        <v/>
      </c>
      <c r="N1067" s="47" t="n">
        <v/>
      </c>
      <c r="O1067" s="47" t="n">
        <v/>
      </c>
      <c r="P1067" s="88" t="n"/>
    </row>
    <row r="1068" customFormat="1" s="2">
      <c r="A1068" s="6" t="n"/>
      <c r="B1068" s="4" t="n"/>
      <c r="C1068" s="4" t="n"/>
      <c r="D1068" s="7" t="n"/>
      <c r="E1068" s="17" t="n"/>
      <c r="F1068" s="20" t="n"/>
      <c r="G1068" s="47" t="n"/>
      <c r="H1068" s="47" t="n"/>
      <c r="I1068" s="47" t="n"/>
      <c r="J1068" s="47">
        <f>PRODUCT(F1068:I1068)</f>
        <v/>
      </c>
      <c r="K1068" s="20" t="n">
        <v/>
      </c>
      <c r="L1068" s="47" t="n">
        <v/>
      </c>
      <c r="M1068" s="47" t="n">
        <v/>
      </c>
      <c r="N1068" s="47" t="n">
        <v/>
      </c>
      <c r="O1068" s="47" t="n">
        <v/>
      </c>
      <c r="P1068" s="88" t="n"/>
    </row>
    <row r="1069" customFormat="1" s="2">
      <c r="A1069" s="112" t="n"/>
      <c r="B1069" s="112" t="n"/>
      <c r="C1069" s="112" t="inlineStr">
        <is>
          <t>Total Qty</t>
        </is>
      </c>
      <c r="D1069" s="120" t="n"/>
      <c r="E1069" s="121" t="n"/>
      <c r="F1069" s="123" t="n"/>
      <c r="G1069" s="123" t="n"/>
      <c r="H1069" s="123" t="n"/>
      <c r="I1069" s="123" t="n"/>
      <c r="J1069" s="123">
        <f>SUM(J1066:J1068)</f>
        <v/>
      </c>
      <c r="K1069" s="123" t="n">
        <v/>
      </c>
      <c r="L1069" s="123" t="n">
        <v/>
      </c>
      <c r="M1069" s="123" t="n">
        <v/>
      </c>
      <c r="N1069" s="123" t="n">
        <v/>
      </c>
      <c r="O1069" s="123" t="n">
        <v/>
      </c>
      <c r="P1069" s="88" t="n"/>
    </row>
    <row r="1070" customFormat="1" s="2">
      <c r="A1070" s="6" t="n"/>
      <c r="B1070" s="4" t="n"/>
      <c r="C1070" s="4" t="n"/>
      <c r="D1070" s="7" t="n"/>
      <c r="E1070" s="17" t="n"/>
      <c r="F1070" s="20" t="n"/>
      <c r="G1070" s="47" t="n"/>
      <c r="H1070" s="47" t="n"/>
      <c r="I1070" s="47" t="n"/>
      <c r="J1070" s="47" t="n"/>
      <c r="K1070" s="20" t="n">
        <v/>
      </c>
      <c r="L1070" s="47" t="n">
        <v/>
      </c>
      <c r="M1070" s="47" t="n">
        <v/>
      </c>
      <c r="N1070" s="47" t="n">
        <v/>
      </c>
      <c r="O1070" s="47" t="n">
        <v/>
      </c>
      <c r="P1070" s="88" t="n"/>
    </row>
    <row r="1071" ht="165.6" customFormat="1" customHeight="1" s="2">
      <c r="A1071" s="6">
        <f>A1065+1</f>
        <v/>
      </c>
      <c r="B1071" s="4" t="inlineStr">
        <is>
          <t>Kota Stone Flooring</t>
        </is>
      </c>
      <c r="C1071"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D1071" s="7" t="inlineStr">
        <is>
          <t>Sft</t>
        </is>
      </c>
      <c r="E1071" s="17" t="n">
        <v>170</v>
      </c>
      <c r="F1071" s="20" t="n"/>
      <c r="G1071" s="47" t="n"/>
      <c r="H1071" s="47" t="n"/>
      <c r="I1071" s="47" t="n"/>
      <c r="J1071" s="47" t="n"/>
      <c r="K1071" s="20" t="n">
        <v/>
      </c>
      <c r="L1071" s="47" t="n">
        <v/>
      </c>
      <c r="M1071" s="47" t="n">
        <v/>
      </c>
      <c r="N1071" s="47" t="n">
        <v/>
      </c>
      <c r="O1071" s="47" t="n">
        <v/>
      </c>
      <c r="P1071" s="88" t="n"/>
    </row>
    <row r="1072" customFormat="1" s="2">
      <c r="A1072" s="6" t="n"/>
      <c r="B1072" s="4" t="n"/>
      <c r="C1072" s="14" t="inlineStr">
        <is>
          <t>Strong Room</t>
        </is>
      </c>
      <c r="D1072" s="7" t="n"/>
      <c r="E1072" s="17" t="n"/>
      <c r="F1072" s="20" t="n"/>
      <c r="G1072" s="47" t="n"/>
      <c r="H1072" s="47" t="n"/>
      <c r="I1072" s="47" t="n"/>
      <c r="J1072" s="47">
        <f>PRODUCT(F1072:I1072)</f>
        <v/>
      </c>
      <c r="K1072" s="20" t="n">
        <v/>
      </c>
      <c r="L1072" s="47" t="n">
        <v/>
      </c>
      <c r="M1072" s="47" t="n">
        <v/>
      </c>
      <c r="N1072" s="47" t="n">
        <v/>
      </c>
      <c r="O1072" s="47" t="n">
        <v/>
      </c>
      <c r="P1072" s="88" t="n"/>
    </row>
    <row r="1073" customFormat="1" s="2">
      <c r="A1073" s="6" t="n"/>
      <c r="B1073" s="4" t="n"/>
      <c r="C1073" s="4" t="inlineStr">
        <is>
          <t>Floor Area</t>
        </is>
      </c>
      <c r="D1073" s="7" t="inlineStr">
        <is>
          <t>Sq,ft</t>
        </is>
      </c>
      <c r="E1073" s="17" t="n"/>
      <c r="F1073" s="20" t="n">
        <v>1</v>
      </c>
      <c r="G1073" s="47">
        <f>5.8+0.25+7.64</f>
        <v/>
      </c>
      <c r="H1073" s="47" t="n">
        <v>11.52</v>
      </c>
      <c r="I1073" s="47" t="n"/>
      <c r="J1073" s="47">
        <f>PRODUCT(F1073:I1073)</f>
        <v/>
      </c>
      <c r="K1073" s="20" t="n">
        <v>1</v>
      </c>
      <c r="L1073" s="47" t="n">
        <v/>
      </c>
      <c r="M1073" s="47" t="n">
        <v/>
      </c>
      <c r="N1073" s="47" t="n">
        <v/>
      </c>
      <c r="O1073" s="47" t="n">
        <v/>
      </c>
      <c r="P1073" s="88" t="n"/>
    </row>
    <row r="1074" customFormat="1" s="2">
      <c r="A1074" s="6" t="n"/>
      <c r="B1074" s="4" t="n"/>
      <c r="C1074" s="14" t="inlineStr">
        <is>
          <t>Skirting Area</t>
        </is>
      </c>
      <c r="D1074" s="7" t="n"/>
      <c r="E1074" s="17" t="n"/>
      <c r="F1074" s="20" t="n"/>
      <c r="G1074" s="47" t="n"/>
      <c r="H1074" s="47" t="n"/>
      <c r="I1074" s="47" t="n"/>
      <c r="J1074" s="47">
        <f>PRODUCT(F1074:I1074)</f>
        <v/>
      </c>
      <c r="K1074" s="20" t="n">
        <v/>
      </c>
      <c r="L1074" s="47" t="n">
        <v/>
      </c>
      <c r="M1074" s="47" t="n">
        <v/>
      </c>
      <c r="N1074" s="47" t="n">
        <v/>
      </c>
      <c r="O1074" s="47" t="n">
        <v/>
      </c>
      <c r="P1074" s="88" t="n"/>
    </row>
    <row r="1075" customFormat="1" s="2">
      <c r="A1075" s="6" t="n"/>
      <c r="B1075" s="4" t="n"/>
      <c r="C1075" s="14" t="inlineStr">
        <is>
          <t>Safe Room</t>
        </is>
      </c>
      <c r="D1075" s="7" t="n"/>
      <c r="E1075" s="17" t="n"/>
      <c r="F1075" s="20" t="n"/>
      <c r="G1075" s="47" t="n"/>
      <c r="H1075" s="47" t="n"/>
      <c r="I1075" s="47" t="n"/>
      <c r="J1075" s="47">
        <f>PRODUCT(F1075:I1075)</f>
        <v/>
      </c>
      <c r="K1075" s="20" t="n">
        <v/>
      </c>
      <c r="L1075" s="47" t="n">
        <v/>
      </c>
      <c r="M1075" s="47" t="n">
        <v/>
      </c>
      <c r="N1075" s="47" t="n">
        <v/>
      </c>
      <c r="O1075" s="47" t="n">
        <v/>
      </c>
      <c r="P1075" s="88" t="n"/>
    </row>
    <row r="1076" customFormat="1" s="2">
      <c r="A1076" s="6" t="n"/>
      <c r="B1076" s="4" t="n"/>
      <c r="C1076" s="4" t="inlineStr">
        <is>
          <t>From Right Side To End</t>
        </is>
      </c>
      <c r="D1076" s="7" t="inlineStr">
        <is>
          <t>Sq.ft</t>
        </is>
      </c>
      <c r="E1076" s="17" t="n"/>
      <c r="F1076" s="20" t="n">
        <v>1</v>
      </c>
      <c r="G1076" s="47" t="n">
        <v>5.56</v>
      </c>
      <c r="H1076" s="47" t="n"/>
      <c r="I1076" s="47" t="n">
        <v>0.33</v>
      </c>
      <c r="J1076" s="47">
        <f>PRODUCT(F1076:I1076)</f>
        <v/>
      </c>
      <c r="K1076" s="20" t="n">
        <v>1</v>
      </c>
      <c r="L1076" s="47" t="n">
        <v/>
      </c>
      <c r="M1076" s="47" t="n">
        <v/>
      </c>
      <c r="N1076" s="47" t="n">
        <v/>
      </c>
      <c r="O1076" s="47" t="n">
        <v/>
      </c>
      <c r="P1076" s="88" t="n"/>
    </row>
    <row r="1077" customFormat="1" s="2">
      <c r="A1077" s="6" t="n"/>
      <c r="B1077" s="4" t="n"/>
      <c r="C1077" s="4" t="inlineStr">
        <is>
          <t>Continue Wal</t>
        </is>
      </c>
      <c r="D1077" s="7" t="inlineStr">
        <is>
          <t>Sq.ft</t>
        </is>
      </c>
      <c r="E1077" s="17" t="n"/>
      <c r="F1077" s="20" t="n">
        <v>1</v>
      </c>
      <c r="G1077" s="47" t="n">
        <v>11.52</v>
      </c>
      <c r="H1077" s="47" t="n"/>
      <c r="I1077" s="47" t="n">
        <v>0.33</v>
      </c>
      <c r="J1077" s="47">
        <f>PRODUCT(F1077:I1077)</f>
        <v/>
      </c>
      <c r="K1077" s="20" t="n">
        <v>1</v>
      </c>
      <c r="L1077" s="47" t="n">
        <v/>
      </c>
      <c r="M1077" s="47" t="n">
        <v/>
      </c>
      <c r="N1077" s="47" t="n">
        <v/>
      </c>
      <c r="O1077" s="47" t="n">
        <v/>
      </c>
      <c r="P1077" s="88" t="n"/>
    </row>
    <row r="1078" customFormat="1" s="2">
      <c r="A1078" s="6" t="n"/>
      <c r="B1078" s="4" t="n"/>
      <c r="C1078" s="4" t="inlineStr">
        <is>
          <t>Continue Wal</t>
        </is>
      </c>
      <c r="D1078" s="7" t="inlineStr">
        <is>
          <t>Sq.ft</t>
        </is>
      </c>
      <c r="E1078" s="17" t="n"/>
      <c r="F1078" s="20" t="n">
        <v>1</v>
      </c>
      <c r="G1078" s="47" t="n">
        <v>5.8</v>
      </c>
      <c r="H1078" s="47" t="n"/>
      <c r="I1078" s="47" t="n">
        <v>0.33</v>
      </c>
      <c r="J1078" s="47">
        <f>PRODUCT(F1078:I1078)</f>
        <v/>
      </c>
      <c r="K1078" s="20" t="n">
        <v>1</v>
      </c>
      <c r="L1078" s="47" t="n">
        <v/>
      </c>
      <c r="M1078" s="47" t="n">
        <v/>
      </c>
      <c r="N1078" s="47" t="n">
        <v/>
      </c>
      <c r="O1078" s="47" t="n">
        <v/>
      </c>
      <c r="P1078" s="88" t="n"/>
    </row>
    <row r="1079" customFormat="1" s="2">
      <c r="A1079" s="6" t="n"/>
      <c r="B1079" s="4" t="n"/>
      <c r="C1079" s="14" t="inlineStr">
        <is>
          <t>Strong Room</t>
        </is>
      </c>
      <c r="D1079" s="7" t="n"/>
      <c r="E1079" s="17" t="n"/>
      <c r="F1079" s="20" t="n"/>
      <c r="G1079" s="47" t="n"/>
      <c r="H1079" s="47" t="n"/>
      <c r="I1079" s="47" t="n"/>
      <c r="J1079" s="47">
        <f>PRODUCT(F1079:I1079)</f>
        <v/>
      </c>
      <c r="K1079" s="20" t="n">
        <v/>
      </c>
      <c r="L1079" s="47" t="n">
        <v/>
      </c>
      <c r="M1079" s="47" t="n">
        <v/>
      </c>
      <c r="N1079" s="47" t="n">
        <v/>
      </c>
      <c r="O1079" s="47" t="n">
        <v/>
      </c>
      <c r="P1079" s="88" t="n"/>
    </row>
    <row r="1080" customFormat="1" s="2">
      <c r="A1080" s="6" t="n"/>
      <c r="B1080" s="4" t="n"/>
      <c r="C1080" s="4" t="inlineStr">
        <is>
          <t>From Near Door Side</t>
        </is>
      </c>
      <c r="D1080" s="7" t="inlineStr">
        <is>
          <t>Sq.ft</t>
        </is>
      </c>
      <c r="E1080" s="17" t="n"/>
      <c r="F1080" s="20" t="n">
        <v>1</v>
      </c>
      <c r="G1080" s="47" t="n">
        <v>2.25</v>
      </c>
      <c r="H1080" s="47" t="n"/>
      <c r="I1080" s="47" t="n">
        <v>0.33</v>
      </c>
      <c r="J1080" s="47">
        <f>PRODUCT(F1080:I1080)</f>
        <v/>
      </c>
      <c r="K1080" s="20" t="n">
        <v>1</v>
      </c>
      <c r="L1080" s="47" t="n">
        <v/>
      </c>
      <c r="M1080" s="47" t="n">
        <v/>
      </c>
      <c r="N1080" s="47" t="n">
        <v/>
      </c>
      <c r="O1080" s="47" t="n">
        <v/>
      </c>
      <c r="P1080" s="88" t="n"/>
    </row>
    <row r="1081" customFormat="1" s="2">
      <c r="A1081" s="6" t="n"/>
      <c r="B1081" s="4" t="n"/>
      <c r="C1081" s="4" t="inlineStr">
        <is>
          <t>Continue Wal</t>
        </is>
      </c>
      <c r="D1081" s="7" t="inlineStr">
        <is>
          <t>Sq.ft</t>
        </is>
      </c>
      <c r="E1081" s="17" t="n"/>
      <c r="F1081" s="20" t="n">
        <v>1</v>
      </c>
      <c r="G1081" s="47" t="n">
        <v>8.550000000000001</v>
      </c>
      <c r="H1081" s="47" t="n"/>
      <c r="I1081" s="47" t="n">
        <v>0.33</v>
      </c>
      <c r="J1081" s="47">
        <f>PRODUCT(F1081:I1081)</f>
        <v/>
      </c>
      <c r="K1081" s="20" t="n">
        <v>1</v>
      </c>
      <c r="L1081" s="47" t="n">
        <v/>
      </c>
      <c r="M1081" s="47" t="n">
        <v/>
      </c>
      <c r="N1081" s="47" t="n">
        <v/>
      </c>
      <c r="O1081" s="47" t="n">
        <v/>
      </c>
      <c r="P1081" s="88" t="n"/>
    </row>
    <row r="1082" customFormat="1" s="2">
      <c r="A1082" s="6" t="n"/>
      <c r="B1082" s="4" t="n"/>
      <c r="C1082" s="4" t="inlineStr">
        <is>
          <t>Continue Wal</t>
        </is>
      </c>
      <c r="D1082" s="7" t="inlineStr">
        <is>
          <t>Sq.ft</t>
        </is>
      </c>
      <c r="E1082" s="17" t="n"/>
      <c r="F1082" s="20" t="n">
        <v>1</v>
      </c>
      <c r="G1082" s="47" t="n">
        <v>3.32</v>
      </c>
      <c r="H1082" s="47" t="n"/>
      <c r="I1082" s="47" t="n">
        <v>0.33</v>
      </c>
      <c r="J1082" s="47">
        <f>PRODUCT(F1082:I1082)</f>
        <v/>
      </c>
      <c r="K1082" s="20" t="n">
        <v>1</v>
      </c>
      <c r="L1082" s="47" t="n">
        <v/>
      </c>
      <c r="M1082" s="47" t="n">
        <v/>
      </c>
      <c r="N1082" s="47" t="n">
        <v/>
      </c>
      <c r="O1082" s="47" t="n">
        <v/>
      </c>
      <c r="P1082" s="88" t="n"/>
    </row>
    <row r="1083" customFormat="1" s="2">
      <c r="A1083" s="6" t="n"/>
      <c r="B1083" s="4" t="n"/>
      <c r="C1083" s="4" t="inlineStr">
        <is>
          <t>Continue Wal</t>
        </is>
      </c>
      <c r="D1083" s="7" t="inlineStr">
        <is>
          <t>Sq.ft</t>
        </is>
      </c>
      <c r="E1083" s="17" t="n"/>
      <c r="F1083" s="20" t="n">
        <v>1</v>
      </c>
      <c r="G1083" s="47" t="n">
        <v>11.02</v>
      </c>
      <c r="H1083" s="47" t="n"/>
      <c r="I1083" s="47" t="n">
        <v>0.33</v>
      </c>
      <c r="J1083" s="47">
        <f>PRODUCT(F1083:I1083)</f>
        <v/>
      </c>
      <c r="K1083" s="20" t="n">
        <v>1</v>
      </c>
      <c r="L1083" s="47" t="n">
        <v/>
      </c>
      <c r="M1083" s="47" t="n">
        <v/>
      </c>
      <c r="N1083" s="47" t="n">
        <v/>
      </c>
      <c r="O1083" s="47" t="n">
        <v/>
      </c>
      <c r="P1083" s="88" t="n"/>
    </row>
    <row r="1084" customFormat="1" s="2">
      <c r="A1084" s="6" t="n"/>
      <c r="B1084" s="4" t="n"/>
      <c r="C1084" s="4" t="inlineStr">
        <is>
          <t>Continue Wal</t>
        </is>
      </c>
      <c r="D1084" s="7" t="inlineStr">
        <is>
          <t>Sq.ft</t>
        </is>
      </c>
      <c r="E1084" s="17" t="n"/>
      <c r="F1084" s="20" t="n">
        <v>1</v>
      </c>
      <c r="G1084" s="47" t="n">
        <v>1.83</v>
      </c>
      <c r="H1084" s="47" t="n"/>
      <c r="I1084" s="47" t="n">
        <v>0.33</v>
      </c>
      <c r="J1084" s="47">
        <f>PRODUCT(F1084:I1084)</f>
        <v/>
      </c>
      <c r="K1084" s="20" t="n">
        <v>1</v>
      </c>
      <c r="L1084" s="47" t="n">
        <v/>
      </c>
      <c r="M1084" s="47" t="n">
        <v/>
      </c>
      <c r="N1084" s="47" t="n">
        <v/>
      </c>
      <c r="O1084" s="47" t="n">
        <v/>
      </c>
      <c r="P1084" s="88" t="n"/>
    </row>
    <row r="1085" customFormat="1" s="2">
      <c r="A1085" s="6" t="n"/>
      <c r="B1085" s="4" t="n"/>
      <c r="C1085" s="4" t="inlineStr">
        <is>
          <t>Continue Wal</t>
        </is>
      </c>
      <c r="D1085" s="7" t="inlineStr">
        <is>
          <t>Sq.ft</t>
        </is>
      </c>
      <c r="E1085" s="17" t="n"/>
      <c r="F1085" s="20" t="n">
        <v>1</v>
      </c>
      <c r="G1085" s="47" t="n">
        <v>0.5</v>
      </c>
      <c r="H1085" s="47" t="n"/>
      <c r="I1085" s="47" t="n">
        <v>0.33</v>
      </c>
      <c r="J1085" s="47">
        <f>PRODUCT(F1085:I1085)</f>
        <v/>
      </c>
      <c r="K1085" s="20" t="n">
        <v>1</v>
      </c>
      <c r="L1085" s="47" t="n">
        <v/>
      </c>
      <c r="M1085" s="47" t="n">
        <v/>
      </c>
      <c r="N1085" s="47" t="n">
        <v/>
      </c>
      <c r="O1085" s="47" t="n">
        <v/>
      </c>
      <c r="P1085" s="88" t="n"/>
    </row>
    <row r="1086" customFormat="1" s="2">
      <c r="A1086" s="6" t="n"/>
      <c r="B1086" s="4" t="n"/>
      <c r="C1086" s="4" t="inlineStr">
        <is>
          <t>Continue Wal</t>
        </is>
      </c>
      <c r="D1086" s="7" t="inlineStr">
        <is>
          <t>Sq.ft</t>
        </is>
      </c>
      <c r="E1086" s="17" t="n"/>
      <c r="F1086" s="20" t="n">
        <v>1</v>
      </c>
      <c r="G1086" s="47" t="n">
        <v>3.78</v>
      </c>
      <c r="H1086" s="47" t="n"/>
      <c r="I1086" s="47" t="n">
        <v>0.33</v>
      </c>
      <c r="J1086" s="47">
        <f>PRODUCT(F1086:I1086)</f>
        <v/>
      </c>
      <c r="K1086" s="20" t="n">
        <v>1</v>
      </c>
      <c r="L1086" s="47" t="n">
        <v/>
      </c>
      <c r="M1086" s="47" t="n">
        <v/>
      </c>
      <c r="N1086" s="47" t="n">
        <v/>
      </c>
      <c r="O1086" s="47" t="n">
        <v/>
      </c>
      <c r="P1086" s="88" t="n"/>
    </row>
    <row r="1087" customFormat="1" s="2">
      <c r="A1087" s="6" t="n"/>
      <c r="B1087" s="4" t="n"/>
      <c r="C1087" s="4" t="n"/>
      <c r="D1087" s="7" t="n"/>
      <c r="E1087" s="17" t="n"/>
      <c r="F1087" s="20" t="n"/>
      <c r="G1087" s="47" t="n"/>
      <c r="H1087" s="47" t="n"/>
      <c r="I1087" s="47" t="n"/>
      <c r="J1087" s="47">
        <f>PRODUCT(F1087:I1087)</f>
        <v/>
      </c>
      <c r="K1087" s="20" t="n">
        <v/>
      </c>
      <c r="L1087" s="47" t="n">
        <v/>
      </c>
      <c r="M1087" s="47" t="n">
        <v/>
      </c>
      <c r="N1087" s="47" t="n">
        <v/>
      </c>
      <c r="O1087" s="47" t="n">
        <v/>
      </c>
      <c r="P1087" s="88" t="n"/>
    </row>
    <row r="1088" customFormat="1" s="2">
      <c r="A1088" s="112" t="n"/>
      <c r="B1088" s="112" t="n"/>
      <c r="C1088" s="112" t="inlineStr">
        <is>
          <t>Total Qty</t>
        </is>
      </c>
      <c r="D1088" s="120" t="n"/>
      <c r="E1088" s="121" t="n"/>
      <c r="F1088" s="123" t="n"/>
      <c r="G1088" s="123" t="n"/>
      <c r="H1088" s="123" t="n"/>
      <c r="I1088" s="123" t="n"/>
      <c r="J1088" s="123">
        <f>ROUND(SUM(J1072:J1087),)</f>
        <v/>
      </c>
      <c r="K1088" s="123" t="n">
        <v/>
      </c>
      <c r="L1088" s="123" t="n">
        <v/>
      </c>
      <c r="M1088" s="123" t="n">
        <v/>
      </c>
      <c r="N1088" s="123" t="n">
        <v/>
      </c>
      <c r="O1088" s="123" t="n">
        <v/>
      </c>
      <c r="P1088" s="88" t="n"/>
    </row>
    <row r="1089">
      <c r="A1089" s="117" t="n"/>
      <c r="B1089" s="117" t="n"/>
      <c r="C1089" s="117" t="n"/>
      <c r="D1089" s="117" t="n"/>
      <c r="E1089" s="118" t="n"/>
      <c r="F1089" s="119" t="n"/>
      <c r="G1089" s="119" t="n"/>
      <c r="H1089" s="119" t="n"/>
      <c r="I1089" s="119" t="n"/>
      <c r="J1089" s="119" t="n"/>
      <c r="K1089" s="119" t="n">
        <v/>
      </c>
      <c r="L1089" s="119" t="n">
        <v/>
      </c>
      <c r="M1089" s="119" t="n">
        <v/>
      </c>
      <c r="N1089" s="119" t="n">
        <v/>
      </c>
      <c r="O1089" s="119" t="n">
        <v/>
      </c>
      <c r="P1089" s="117" t="n"/>
    </row>
    <row r="1090" ht="151.8" customFormat="1" customHeight="1" s="2">
      <c r="A1090" s="6">
        <f>A1071+1</f>
        <v/>
      </c>
      <c r="B1090" s="4" t="inlineStr">
        <is>
          <t>Wall Tiles</t>
        </is>
      </c>
      <c r="C1090" s="4"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D1090" s="7" t="inlineStr">
        <is>
          <t>Sft</t>
        </is>
      </c>
      <c r="E1090" s="17" t="n">
        <v>630</v>
      </c>
      <c r="F1090" s="20" t="n"/>
      <c r="G1090" s="47" t="n"/>
      <c r="H1090" s="47" t="n"/>
      <c r="I1090" s="47" t="n"/>
      <c r="J1090" s="47" t="n"/>
      <c r="K1090" s="20" t="n">
        <v/>
      </c>
      <c r="L1090" s="47" t="n">
        <v/>
      </c>
      <c r="M1090" s="47" t="n">
        <v/>
      </c>
      <c r="N1090" s="47" t="n">
        <v/>
      </c>
      <c r="O1090" s="47" t="n">
        <v/>
      </c>
      <c r="P1090" s="88" t="n"/>
    </row>
    <row r="1091" customFormat="1" s="2">
      <c r="A1091" s="6" t="n"/>
      <c r="B1091" s="4" t="n"/>
      <c r="C1091" s="14" t="inlineStr">
        <is>
          <t>Gents Toilet</t>
        </is>
      </c>
      <c r="D1091" s="7" t="n"/>
      <c r="E1091" s="17" t="n"/>
      <c r="F1091" s="20" t="n"/>
      <c r="G1091" s="47" t="n"/>
      <c r="H1091" s="47" t="n"/>
      <c r="I1091" s="47" t="n"/>
      <c r="J1091" s="47">
        <f>PRODUCT(F1091:I1091)</f>
        <v/>
      </c>
      <c r="K1091" s="20" t="n">
        <v/>
      </c>
      <c r="L1091" s="47" t="n">
        <v/>
      </c>
      <c r="M1091" s="47" t="n">
        <v/>
      </c>
      <c r="N1091" s="47" t="n">
        <v/>
      </c>
      <c r="O1091" s="47" t="n">
        <v/>
      </c>
      <c r="P1091" s="88" t="n"/>
    </row>
    <row r="1092" customFormat="1" s="2">
      <c r="A1092" s="6" t="n"/>
      <c r="B1092" s="4" t="n"/>
      <c r="C1092" s="14" t="inlineStr">
        <is>
          <t>Dado Area</t>
        </is>
      </c>
      <c r="D1092" s="7" t="n"/>
      <c r="E1092" s="17" t="n"/>
      <c r="F1092" s="20" t="n"/>
      <c r="G1092" s="47" t="n"/>
      <c r="H1092" s="47" t="n"/>
      <c r="I1092" s="47" t="n"/>
      <c r="J1092" s="47">
        <f>PRODUCT(F1092:I1092)</f>
        <v/>
      </c>
      <c r="K1092" s="20" t="n">
        <v/>
      </c>
      <c r="L1092" s="47" t="n">
        <v/>
      </c>
      <c r="M1092" s="47" t="n">
        <v/>
      </c>
      <c r="N1092" s="47" t="n">
        <v/>
      </c>
      <c r="O1092" s="47" t="n">
        <v/>
      </c>
      <c r="P1092" s="88" t="n"/>
    </row>
    <row r="1093" customFormat="1" s="2">
      <c r="A1093" s="6" t="n"/>
      <c r="B1093" s="4" t="n"/>
      <c r="C1093" s="4" t="inlineStr">
        <is>
          <t>Right Side Wall</t>
        </is>
      </c>
      <c r="D1093" s="7" t="inlineStr">
        <is>
          <t>Sq.ft</t>
        </is>
      </c>
      <c r="E1093" s="17" t="n"/>
      <c r="F1093" s="20" t="n">
        <v>1</v>
      </c>
      <c r="G1093" s="47" t="n">
        <v>4.08</v>
      </c>
      <c r="H1093" s="47" t="n"/>
      <c r="I1093" s="47" t="n">
        <v>7.83</v>
      </c>
      <c r="J1093" s="47">
        <f>PRODUCT(F1093:I1093)</f>
        <v/>
      </c>
      <c r="K1093" s="20" t="n">
        <v>1</v>
      </c>
      <c r="L1093" s="47" t="n">
        <v/>
      </c>
      <c r="M1093" s="47" t="n">
        <v/>
      </c>
      <c r="N1093" s="47" t="n">
        <v/>
      </c>
      <c r="O1093" s="47" t="n">
        <v/>
      </c>
      <c r="P1093" s="88" t="n"/>
    </row>
    <row r="1094" customFormat="1" s="2">
      <c r="A1094" s="6" t="n"/>
      <c r="B1094" s="4" t="n"/>
      <c r="C1094" s="4" t="inlineStr">
        <is>
          <t>Front Side Wall</t>
        </is>
      </c>
      <c r="D1094" s="7" t="inlineStr">
        <is>
          <t>Sq.ft</t>
        </is>
      </c>
      <c r="E1094" s="17" t="n"/>
      <c r="F1094" s="20" t="n">
        <v>1</v>
      </c>
      <c r="G1094" s="47" t="n">
        <v>8.76</v>
      </c>
      <c r="H1094" s="47" t="n"/>
      <c r="I1094" s="47" t="n">
        <v>7.83</v>
      </c>
      <c r="J1094" s="47">
        <f>PRODUCT(F1094:I1094)</f>
        <v/>
      </c>
      <c r="K1094" s="20" t="n">
        <v>1</v>
      </c>
      <c r="L1094" s="47" t="n">
        <v/>
      </c>
      <c r="M1094" s="47" t="n">
        <v/>
      </c>
      <c r="N1094" s="47" t="n">
        <v/>
      </c>
      <c r="O1094" s="47" t="n">
        <v/>
      </c>
      <c r="P1094" s="88" t="n"/>
    </row>
    <row r="1095" customFormat="1" s="2">
      <c r="A1095" s="6" t="n"/>
      <c r="B1095" s="4" t="n"/>
      <c r="C1095" s="4" t="inlineStr">
        <is>
          <t>Left Side Wall</t>
        </is>
      </c>
      <c r="D1095" s="7" t="inlineStr">
        <is>
          <t>Sq.ft</t>
        </is>
      </c>
      <c r="E1095" s="17" t="n"/>
      <c r="F1095" s="20" t="n">
        <v>1</v>
      </c>
      <c r="G1095" s="47" t="n">
        <v>4</v>
      </c>
      <c r="H1095" s="47" t="n"/>
      <c r="I1095" s="47" t="n">
        <v>7.83</v>
      </c>
      <c r="J1095" s="47">
        <f>PRODUCT(F1095:I1095)</f>
        <v/>
      </c>
      <c r="K1095" s="20" t="n">
        <v>1</v>
      </c>
      <c r="L1095" s="47" t="n">
        <v/>
      </c>
      <c r="M1095" s="47" t="n">
        <v/>
      </c>
      <c r="N1095" s="47" t="n">
        <v/>
      </c>
      <c r="O1095" s="47" t="n">
        <v/>
      </c>
      <c r="P1095" s="88" t="n"/>
    </row>
    <row r="1096" customFormat="1" s="2">
      <c r="A1096" s="6" t="n"/>
      <c r="B1096" s="4" t="n"/>
      <c r="C1096" s="4" t="inlineStr">
        <is>
          <t>Door Side Wall</t>
        </is>
      </c>
      <c r="D1096" s="7" t="inlineStr">
        <is>
          <t>Sq.ft</t>
        </is>
      </c>
      <c r="E1096" s="17" t="n"/>
      <c r="F1096" s="20" t="n">
        <v>1</v>
      </c>
      <c r="G1096" s="47" t="n">
        <v>9.77</v>
      </c>
      <c r="H1096" s="47" t="n"/>
      <c r="I1096" s="47" t="n">
        <v>7.83</v>
      </c>
      <c r="J1096" s="47">
        <f>PRODUCT(F1096:I1096)</f>
        <v/>
      </c>
      <c r="K1096" s="20" t="n">
        <v>1</v>
      </c>
      <c r="L1096" s="47" t="n">
        <v/>
      </c>
      <c r="M1096" s="47" t="n">
        <v/>
      </c>
      <c r="N1096" s="47" t="n">
        <v/>
      </c>
      <c r="O1096" s="47" t="n">
        <v/>
      </c>
      <c r="P1096" s="88" t="n"/>
    </row>
    <row r="1097" customFormat="1" s="2">
      <c r="A1097" s="6" t="n"/>
      <c r="B1097" s="4" t="n"/>
      <c r="C1097" s="4" t="inlineStr">
        <is>
          <t>Door Area Less ( - )</t>
        </is>
      </c>
      <c r="D1097" s="7" t="inlineStr">
        <is>
          <t>Sq.ft</t>
        </is>
      </c>
      <c r="E1097" s="17" t="n"/>
      <c r="F1097" s="20" t="n">
        <v>-1</v>
      </c>
      <c r="G1097" s="47" t="n">
        <v>2.67</v>
      </c>
      <c r="H1097" s="47" t="n"/>
      <c r="I1097" s="47" t="n">
        <v>6.75</v>
      </c>
      <c r="J1097" s="47">
        <f>PRODUCT(F1097:I1097)</f>
        <v/>
      </c>
      <c r="K1097" s="20" t="n">
        <v>-1</v>
      </c>
      <c r="L1097" s="47" t="n">
        <v/>
      </c>
      <c r="M1097" s="47" t="n">
        <v/>
      </c>
      <c r="N1097" s="47" t="n">
        <v/>
      </c>
      <c r="O1097" s="47" t="n">
        <v/>
      </c>
      <c r="P1097" s="88" t="n"/>
    </row>
    <row r="1098" customFormat="1" s="2">
      <c r="A1098" s="6" t="n"/>
      <c r="B1098" s="4" t="n"/>
      <c r="C1098" s="14" t="inlineStr">
        <is>
          <t>Toilet Passage</t>
        </is>
      </c>
      <c r="D1098" s="7" t="n"/>
      <c r="E1098" s="17" t="n"/>
      <c r="F1098" s="20" t="n"/>
      <c r="G1098" s="47" t="n"/>
      <c r="H1098" s="47" t="n"/>
      <c r="I1098" s="47" t="n"/>
      <c r="J1098" s="47">
        <f>PRODUCT(F1098:I1098)</f>
        <v/>
      </c>
      <c r="K1098" s="20" t="n">
        <v/>
      </c>
      <c r="L1098" s="47" t="n">
        <v/>
      </c>
      <c r="M1098" s="47" t="n">
        <v/>
      </c>
      <c r="N1098" s="47" t="n">
        <v/>
      </c>
      <c r="O1098" s="47" t="n">
        <v/>
      </c>
      <c r="P1098" s="88" t="n"/>
    </row>
    <row r="1099" customFormat="1" s="2">
      <c r="A1099" s="6" t="n"/>
      <c r="B1099" s="4" t="n"/>
      <c r="C1099" s="14" t="inlineStr">
        <is>
          <t>Dado Area</t>
        </is>
      </c>
      <c r="D1099" s="7" t="n"/>
      <c r="E1099" s="17" t="n"/>
      <c r="F1099" s="20" t="n"/>
      <c r="G1099" s="47" t="n"/>
      <c r="H1099" s="47" t="n"/>
      <c r="I1099" s="47" t="n"/>
      <c r="J1099" s="47">
        <f>PRODUCT(F1099:I1099)</f>
        <v/>
      </c>
      <c r="K1099" s="20" t="n">
        <v/>
      </c>
      <c r="L1099" s="47" t="n">
        <v/>
      </c>
      <c r="M1099" s="47" t="n">
        <v/>
      </c>
      <c r="N1099" s="47" t="n">
        <v/>
      </c>
      <c r="O1099" s="47" t="n">
        <v/>
      </c>
      <c r="P1099" s="88" t="n"/>
    </row>
    <row r="1100" customFormat="1" s="2">
      <c r="A1100" s="6" t="n"/>
      <c r="B1100" s="4" t="n"/>
      <c r="C1100" s="4" t="inlineStr">
        <is>
          <t>Left &amp; Right Side Wall</t>
        </is>
      </c>
      <c r="D1100" s="7" t="inlineStr">
        <is>
          <t>Sq.ft</t>
        </is>
      </c>
      <c r="E1100" s="17" t="n"/>
      <c r="F1100" s="20" t="n">
        <v>2</v>
      </c>
      <c r="G1100" s="47" t="n">
        <v>3.85</v>
      </c>
      <c r="H1100" s="47" t="n"/>
      <c r="I1100" s="47" t="n">
        <v>7.83</v>
      </c>
      <c r="J1100" s="47">
        <f>PRODUCT(F1100:I1100)</f>
        <v/>
      </c>
      <c r="K1100" s="20" t="n">
        <v>2</v>
      </c>
      <c r="L1100" s="47" t="n">
        <v/>
      </c>
      <c r="M1100" s="47" t="n">
        <v/>
      </c>
      <c r="N1100" s="47" t="n">
        <v/>
      </c>
      <c r="O1100" s="47" t="n">
        <v/>
      </c>
      <c r="P1100" s="88" t="n"/>
    </row>
    <row r="1101" customFormat="1" s="2">
      <c r="A1101" s="6" t="n"/>
      <c r="B1101" s="4" t="n"/>
      <c r="C1101" s="4" t="inlineStr">
        <is>
          <t>Front &amp; Back Side Wall</t>
        </is>
      </c>
      <c r="D1101" s="7" t="inlineStr">
        <is>
          <t>Sq.ft</t>
        </is>
      </c>
      <c r="E1101" s="17" t="n"/>
      <c r="F1101" s="20" t="n">
        <v>2</v>
      </c>
      <c r="G1101" s="47" t="n">
        <v>3.35</v>
      </c>
      <c r="H1101" s="47" t="n"/>
      <c r="I1101" s="47" t="n">
        <v>7.83</v>
      </c>
      <c r="J1101" s="47">
        <f>PRODUCT(F1101:I1101)</f>
        <v/>
      </c>
      <c r="K1101" s="20" t="n">
        <v>2</v>
      </c>
      <c r="L1101" s="47" t="n">
        <v/>
      </c>
      <c r="M1101" s="47" t="n">
        <v/>
      </c>
      <c r="N1101" s="47" t="n">
        <v/>
      </c>
      <c r="O1101" s="47" t="n">
        <v/>
      </c>
      <c r="P1101" s="88" t="n"/>
    </row>
    <row r="1102" customFormat="1" s="2">
      <c r="A1102" s="6" t="n"/>
      <c r="B1102" s="4" t="n"/>
      <c r="C1102" s="4" t="inlineStr">
        <is>
          <t>Door Area Less ( - )</t>
        </is>
      </c>
      <c r="D1102" s="7" t="inlineStr">
        <is>
          <t>Sq.ft</t>
        </is>
      </c>
      <c r="E1102" s="17" t="n"/>
      <c r="F1102" s="20" t="n">
        <v>-2</v>
      </c>
      <c r="G1102" s="47" t="n">
        <v>2.42</v>
      </c>
      <c r="H1102" s="47" t="n"/>
      <c r="I1102" s="47" t="n">
        <v>6.68</v>
      </c>
      <c r="J1102" s="47">
        <f>PRODUCT(F1102:I1102)</f>
        <v/>
      </c>
      <c r="K1102" s="20" t="n">
        <v>-2</v>
      </c>
      <c r="L1102" s="47" t="n">
        <v/>
      </c>
      <c r="M1102" s="47" t="n">
        <v/>
      </c>
      <c r="N1102" s="47" t="n">
        <v/>
      </c>
      <c r="O1102" s="47" t="n">
        <v/>
      </c>
      <c r="P1102" s="88" t="n"/>
    </row>
    <row r="1103" customFormat="1" s="2">
      <c r="A1103" s="6" t="n"/>
      <c r="B1103" s="4" t="n"/>
      <c r="C1103" s="14" t="inlineStr">
        <is>
          <t>Ladies Toilet</t>
        </is>
      </c>
      <c r="D1103" s="7" t="n"/>
      <c r="E1103" s="17" t="n"/>
      <c r="F1103" s="20" t="n"/>
      <c r="G1103" s="47" t="n"/>
      <c r="H1103" s="47" t="n"/>
      <c r="I1103" s="47" t="n"/>
      <c r="J1103" s="47">
        <f>PRODUCT(F1103:I1103)</f>
        <v/>
      </c>
      <c r="K1103" s="20" t="n">
        <v/>
      </c>
      <c r="L1103" s="47" t="n">
        <v/>
      </c>
      <c r="M1103" s="47" t="n">
        <v/>
      </c>
      <c r="N1103" s="47" t="n">
        <v/>
      </c>
      <c r="O1103" s="47" t="n">
        <v/>
      </c>
      <c r="P1103" s="88" t="n"/>
    </row>
    <row r="1104" customFormat="1" s="2">
      <c r="A1104" s="6" t="n"/>
      <c r="B1104" s="4" t="n"/>
      <c r="C1104" s="14" t="inlineStr">
        <is>
          <t>Dado Area</t>
        </is>
      </c>
      <c r="D1104" s="7" t="n"/>
      <c r="E1104" s="17" t="n"/>
      <c r="F1104" s="20" t="n"/>
      <c r="G1104" s="47" t="n"/>
      <c r="H1104" s="47" t="n"/>
      <c r="I1104" s="47" t="n"/>
      <c r="J1104" s="47">
        <f>PRODUCT(F1104:I1104)</f>
        <v/>
      </c>
      <c r="K1104" s="20" t="n">
        <v/>
      </c>
      <c r="L1104" s="47" t="n">
        <v/>
      </c>
      <c r="M1104" s="47" t="n">
        <v/>
      </c>
      <c r="N1104" s="47" t="n">
        <v/>
      </c>
      <c r="O1104" s="47" t="n">
        <v/>
      </c>
      <c r="P1104" s="88" t="n"/>
    </row>
    <row r="1105" customFormat="1" s="2">
      <c r="A1105" s="6" t="n"/>
      <c r="B1105" s="4" t="n"/>
      <c r="C1105" s="4" t="inlineStr">
        <is>
          <t>Right Side Wall</t>
        </is>
      </c>
      <c r="D1105" s="7" t="inlineStr">
        <is>
          <t>Sq.ft</t>
        </is>
      </c>
      <c r="E1105" s="17" t="n"/>
      <c r="F1105" s="20" t="n">
        <v>1</v>
      </c>
      <c r="G1105" s="47" t="n">
        <v>6.04</v>
      </c>
      <c r="H1105" s="47" t="n"/>
      <c r="I1105" s="47" t="n">
        <v>7.83</v>
      </c>
      <c r="J1105" s="47">
        <f>PRODUCT(F1105:I1105)</f>
        <v/>
      </c>
      <c r="K1105" s="20" t="n">
        <v>1</v>
      </c>
      <c r="L1105" s="47" t="n">
        <v/>
      </c>
      <c r="M1105" s="47" t="n">
        <v/>
      </c>
      <c r="N1105" s="47" t="n">
        <v/>
      </c>
      <c r="O1105" s="47" t="n">
        <v/>
      </c>
      <c r="P1105" s="88" t="n"/>
    </row>
    <row r="1106" customFormat="1" s="2">
      <c r="A1106" s="6" t="n"/>
      <c r="B1106" s="4" t="n"/>
      <c r="C1106" s="4" t="inlineStr">
        <is>
          <t>Front Side Wall</t>
        </is>
      </c>
      <c r="D1106" s="7" t="inlineStr">
        <is>
          <t>Sq.ft</t>
        </is>
      </c>
      <c r="E1106" s="17" t="n"/>
      <c r="F1106" s="20" t="n">
        <v>1</v>
      </c>
      <c r="G1106" s="47" t="n">
        <v>3.82</v>
      </c>
      <c r="H1106" s="47" t="n"/>
      <c r="I1106" s="47" t="n">
        <v>7.83</v>
      </c>
      <c r="J1106" s="47">
        <f>PRODUCT(F1106:I1106)</f>
        <v/>
      </c>
      <c r="K1106" s="20" t="n">
        <v>1</v>
      </c>
      <c r="L1106" s="47" t="n">
        <v/>
      </c>
      <c r="M1106" s="47" t="n">
        <v/>
      </c>
      <c r="N1106" s="47" t="n">
        <v/>
      </c>
      <c r="O1106" s="47" t="n">
        <v/>
      </c>
      <c r="P1106" s="88" t="n"/>
    </row>
    <row r="1107" customFormat="1" s="2">
      <c r="A1107" s="6" t="n"/>
      <c r="B1107" s="4" t="n"/>
      <c r="C1107" s="4" t="inlineStr">
        <is>
          <t>Add Offset</t>
        </is>
      </c>
      <c r="D1107" s="7" t="inlineStr">
        <is>
          <t>Sq.ft</t>
        </is>
      </c>
      <c r="E1107" s="17" t="n"/>
      <c r="F1107" s="20" t="n">
        <v>1</v>
      </c>
      <c r="G1107" s="47" t="n">
        <v>3.83</v>
      </c>
      <c r="H1107" s="47" t="n">
        <v>0.05</v>
      </c>
      <c r="I1107" s="47" t="n"/>
      <c r="J1107" s="47">
        <f>PRODUCT(F1107:I1107)</f>
        <v/>
      </c>
      <c r="K1107" s="20" t="n">
        <v>1</v>
      </c>
      <c r="L1107" s="47" t="n">
        <v/>
      </c>
      <c r="M1107" s="47" t="n">
        <v/>
      </c>
      <c r="N1107" s="47" t="n">
        <v/>
      </c>
      <c r="O1107" s="47" t="n">
        <v/>
      </c>
      <c r="P1107" s="88" t="n"/>
    </row>
    <row r="1108" customFormat="1" s="2">
      <c r="A1108" s="6" t="n"/>
      <c r="B1108" s="4" t="n"/>
      <c r="C1108" s="4" t="inlineStr">
        <is>
          <t>Left Side Wall</t>
        </is>
      </c>
      <c r="D1108" s="7" t="inlineStr">
        <is>
          <t>Sq.ft</t>
        </is>
      </c>
      <c r="E1108" s="17" t="n"/>
      <c r="F1108" s="20" t="n">
        <v>1</v>
      </c>
      <c r="G1108" s="47" t="n">
        <v>6.15</v>
      </c>
      <c r="H1108" s="47" t="n"/>
      <c r="I1108" s="47" t="n">
        <v>7.83</v>
      </c>
      <c r="J1108" s="47">
        <f>PRODUCT(F1108:I1108)</f>
        <v/>
      </c>
      <c r="K1108" s="20" t="n">
        <v>1</v>
      </c>
      <c r="L1108" s="47" t="n">
        <v/>
      </c>
      <c r="M1108" s="47" t="n">
        <v/>
      </c>
      <c r="N1108" s="47" t="n">
        <v/>
      </c>
      <c r="O1108" s="47" t="n">
        <v/>
      </c>
      <c r="P1108" s="88" t="n"/>
    </row>
    <row r="1109" customFormat="1" s="2">
      <c r="A1109" s="6" t="n"/>
      <c r="B1109" s="4" t="n"/>
      <c r="C1109" s="4" t="inlineStr">
        <is>
          <t>Door Side Wall</t>
        </is>
      </c>
      <c r="D1109" s="7" t="inlineStr">
        <is>
          <t>Sq.ft</t>
        </is>
      </c>
      <c r="E1109" s="17" t="n"/>
      <c r="F1109" s="20" t="n">
        <v>1</v>
      </c>
      <c r="G1109" s="47" t="n">
        <v>3.82</v>
      </c>
      <c r="H1109" s="47" t="n"/>
      <c r="I1109" s="47" t="n">
        <v>7.83</v>
      </c>
      <c r="J1109" s="47">
        <f>PRODUCT(F1109:I1109)</f>
        <v/>
      </c>
      <c r="K1109" s="20" t="n">
        <v>1</v>
      </c>
      <c r="L1109" s="47" t="n">
        <v/>
      </c>
      <c r="M1109" s="47" t="n">
        <v/>
      </c>
      <c r="N1109" s="47" t="n">
        <v/>
      </c>
      <c r="O1109" s="47" t="n">
        <v/>
      </c>
      <c r="P1109" s="88" t="n"/>
    </row>
    <row r="1110" customFormat="1" s="2">
      <c r="A1110" s="6" t="n"/>
      <c r="B1110" s="4" t="n"/>
      <c r="C1110" s="4" t="inlineStr">
        <is>
          <t>Door Area Less ( - )</t>
        </is>
      </c>
      <c r="D1110" s="7" t="inlineStr">
        <is>
          <t>Sq.ft</t>
        </is>
      </c>
      <c r="E1110" s="17" t="n"/>
      <c r="F1110" s="20" t="n">
        <v>-1</v>
      </c>
      <c r="G1110" s="47" t="n">
        <v>2.58</v>
      </c>
      <c r="H1110" s="47" t="n"/>
      <c r="I1110" s="47" t="n">
        <v>6.66</v>
      </c>
      <c r="J1110" s="47">
        <f>PRODUCT(F1110:I1110)</f>
        <v/>
      </c>
      <c r="K1110" s="20" t="n">
        <v>-1</v>
      </c>
      <c r="L1110" s="47" t="n">
        <v/>
      </c>
      <c r="M1110" s="47" t="n">
        <v/>
      </c>
      <c r="N1110" s="47" t="n">
        <v/>
      </c>
      <c r="O1110" s="47" t="n">
        <v/>
      </c>
      <c r="P1110" s="88" t="n"/>
    </row>
    <row r="1111" customFormat="1" s="2">
      <c r="A1111" s="6" t="n"/>
      <c r="B1111" s="4" t="n"/>
      <c r="C1111" s="14" t="inlineStr">
        <is>
          <t>Pantry Area</t>
        </is>
      </c>
      <c r="D1111" s="7" t="n"/>
      <c r="E1111" s="17" t="n"/>
      <c r="F1111" s="20" t="n"/>
      <c r="G1111" s="47" t="n"/>
      <c r="H1111" s="47" t="n"/>
      <c r="I1111" s="47" t="n"/>
      <c r="J1111" s="47">
        <f>PRODUCT(F1111:I1111)</f>
        <v/>
      </c>
      <c r="K1111" s="20" t="n">
        <v/>
      </c>
      <c r="L1111" s="47" t="n">
        <v/>
      </c>
      <c r="M1111" s="47" t="n">
        <v/>
      </c>
      <c r="N1111" s="47" t="n">
        <v/>
      </c>
      <c r="O1111" s="47" t="n">
        <v/>
      </c>
      <c r="P1111" s="88" t="n"/>
    </row>
    <row r="1112" customFormat="1" s="2">
      <c r="A1112" s="6" t="n"/>
      <c r="B1112" s="4" t="n"/>
      <c r="C1112" s="4" t="inlineStr">
        <is>
          <t>Left Side Wall</t>
        </is>
      </c>
      <c r="D1112" s="7" t="inlineStr">
        <is>
          <t>Sq.ft</t>
        </is>
      </c>
      <c r="E1112" s="17" t="n"/>
      <c r="F1112" s="20" t="n">
        <v>1</v>
      </c>
      <c r="G1112" s="47">
        <f>9.54+0.33</f>
        <v/>
      </c>
      <c r="H1112" s="47" t="n"/>
      <c r="I1112" s="47" t="n">
        <v>8</v>
      </c>
      <c r="J1112" s="47">
        <f>PRODUCT(F1112:I1112)</f>
        <v/>
      </c>
      <c r="K1112" s="20" t="n">
        <v>1</v>
      </c>
      <c r="L1112" s="47" t="n">
        <v/>
      </c>
      <c r="M1112" s="47" t="n">
        <v/>
      </c>
      <c r="N1112" s="47" t="n">
        <v/>
      </c>
      <c r="O1112" s="47" t="n">
        <v/>
      </c>
      <c r="P1112" s="88" t="n"/>
    </row>
    <row r="1113" customFormat="1" s="2">
      <c r="A1113" s="6" t="n"/>
      <c r="B1113" s="4" t="n"/>
      <c r="C1113" s="4" t="inlineStr">
        <is>
          <t>Front Side Wall</t>
        </is>
      </c>
      <c r="D1113" s="7" t="inlineStr">
        <is>
          <t>Sq.ft</t>
        </is>
      </c>
      <c r="E1113" s="17" t="n"/>
      <c r="F1113" s="20" t="n">
        <v>1</v>
      </c>
      <c r="G1113" s="47">
        <f>6.55+0.25</f>
        <v/>
      </c>
      <c r="H1113" s="47" t="n"/>
      <c r="I1113" s="47" t="n">
        <v>8</v>
      </c>
      <c r="J1113" s="47">
        <f>PRODUCT(F1113:I1113)</f>
        <v/>
      </c>
      <c r="K1113" s="20" t="n">
        <v>1</v>
      </c>
      <c r="L1113" s="47" t="n">
        <v/>
      </c>
      <c r="M1113" s="47" t="n">
        <v/>
      </c>
      <c r="N1113" s="47" t="n">
        <v/>
      </c>
      <c r="O1113" s="47" t="n">
        <v/>
      </c>
      <c r="P1113" s="88" t="n"/>
    </row>
    <row r="1114" customFormat="1" s="2">
      <c r="A1114" s="6" t="n"/>
      <c r="B1114" s="4" t="n"/>
      <c r="C1114" s="4" t="n"/>
      <c r="D1114" s="7" t="n"/>
      <c r="E1114" s="17" t="n"/>
      <c r="F1114" s="20" t="n"/>
      <c r="G1114" s="47" t="n"/>
      <c r="H1114" s="47" t="n"/>
      <c r="I1114" s="47" t="n"/>
      <c r="J1114" s="47">
        <f>PRODUCT(F1114:I1114)</f>
        <v/>
      </c>
      <c r="K1114" s="20" t="n">
        <v/>
      </c>
      <c r="L1114" s="47" t="n">
        <v/>
      </c>
      <c r="M1114" s="47" t="n">
        <v/>
      </c>
      <c r="N1114" s="47" t="n">
        <v/>
      </c>
      <c r="O1114" s="47" t="n">
        <v/>
      </c>
      <c r="P1114" s="88" t="n"/>
    </row>
    <row r="1115" customFormat="1" s="2">
      <c r="A1115" s="112" t="n"/>
      <c r="B1115" s="112" t="n"/>
      <c r="C1115" s="112" t="inlineStr">
        <is>
          <t>Total Qty</t>
        </is>
      </c>
      <c r="D1115" s="120" t="n"/>
      <c r="E1115" s="121" t="n"/>
      <c r="F1115" s="123" t="n"/>
      <c r="G1115" s="123" t="n"/>
      <c r="H1115" s="123" t="n"/>
      <c r="I1115" s="123" t="n"/>
      <c r="J1115" s="123">
        <f>ROUND(SUM(J1091:J1114),)</f>
        <v/>
      </c>
      <c r="K1115" s="123" t="n">
        <v/>
      </c>
      <c r="L1115" s="123" t="n">
        <v/>
      </c>
      <c r="M1115" s="123" t="n">
        <v/>
      </c>
      <c r="N1115" s="123" t="n">
        <v/>
      </c>
      <c r="O1115" s="123" t="n">
        <v/>
      </c>
      <c r="P1115" s="88" t="n"/>
    </row>
    <row r="1116" customFormat="1" s="2">
      <c r="A1116" s="6" t="n"/>
      <c r="B1116" s="4" t="n"/>
      <c r="C1116" s="4" t="n"/>
      <c r="D1116" s="7" t="n"/>
      <c r="E1116" s="17" t="n"/>
      <c r="F1116" s="20" t="n"/>
      <c r="G1116" s="47" t="n"/>
      <c r="H1116" s="47" t="n"/>
      <c r="I1116" s="47" t="n"/>
      <c r="J1116" s="47" t="n"/>
      <c r="K1116" s="20" t="n">
        <v/>
      </c>
      <c r="L1116" s="47" t="n">
        <v/>
      </c>
      <c r="M1116" s="47" t="n">
        <v/>
      </c>
      <c r="N1116" s="47" t="n">
        <v/>
      </c>
      <c r="O1116" s="47" t="n">
        <v/>
      </c>
      <c r="P1116" s="88" t="n"/>
    </row>
    <row r="1117" ht="138" customFormat="1" customHeight="1" s="2">
      <c r="A1117" s="6">
        <f>A1090+1</f>
        <v/>
      </c>
      <c r="B1117" s="4" t="inlineStr">
        <is>
          <t>Sliding door</t>
        </is>
      </c>
      <c r="C1117"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D1117" s="7" t="inlineStr">
        <is>
          <t>nos</t>
        </is>
      </c>
      <c r="E1117" s="17" t="n"/>
      <c r="F1117" s="20" t="n"/>
      <c r="G1117" s="47" t="n"/>
      <c r="H1117" s="47" t="n"/>
      <c r="I1117" s="47" t="n"/>
      <c r="J1117" s="47" t="n"/>
      <c r="K1117" s="20" t="n">
        <v/>
      </c>
      <c r="L1117" s="47" t="n">
        <v/>
      </c>
      <c r="M1117" s="47" t="n">
        <v/>
      </c>
      <c r="N1117" s="47" t="n">
        <v/>
      </c>
      <c r="O1117" s="47" t="n">
        <v/>
      </c>
      <c r="P1117" s="88" t="n"/>
    </row>
    <row r="1118" customFormat="1" s="2">
      <c r="A1118" s="6" t="n"/>
      <c r="B1118" s="4" t="n"/>
      <c r="C1118" s="14" t="inlineStr">
        <is>
          <t>Safe Room</t>
        </is>
      </c>
      <c r="D1118" s="7" t="n"/>
      <c r="E1118" s="17" t="n"/>
      <c r="F1118" s="20" t="n"/>
      <c r="G1118" s="47" t="n"/>
      <c r="H1118" s="47" t="n"/>
      <c r="I1118" s="47" t="n"/>
      <c r="J1118" s="47">
        <f>PRODUCT(F1118:I1118)</f>
        <v/>
      </c>
      <c r="K1118" s="20" t="n">
        <v/>
      </c>
      <c r="L1118" s="47" t="n">
        <v/>
      </c>
      <c r="M1118" s="47" t="n">
        <v/>
      </c>
      <c r="N1118" s="47" t="n">
        <v/>
      </c>
      <c r="O1118" s="47" t="n">
        <v/>
      </c>
      <c r="P1118" s="88" t="n"/>
    </row>
    <row r="1119" customFormat="1" s="2">
      <c r="A1119" s="6" t="n"/>
      <c r="B1119" s="4" t="n"/>
      <c r="C1119" s="4" t="inlineStr">
        <is>
          <t>Entry Door</t>
        </is>
      </c>
      <c r="D1119" s="7" t="inlineStr">
        <is>
          <t>Nos</t>
        </is>
      </c>
      <c r="E1119" s="17" t="n"/>
      <c r="F1119" s="20" t="n">
        <v>1</v>
      </c>
      <c r="G1119" s="47" t="n"/>
      <c r="H1119" s="47" t="n"/>
      <c r="I1119" s="47" t="n"/>
      <c r="J1119" s="47">
        <f>PRODUCT(F1119:I1119)</f>
        <v/>
      </c>
      <c r="K1119" s="20" t="n">
        <v>1</v>
      </c>
      <c r="L1119" s="47" t="n">
        <v/>
      </c>
      <c r="M1119" s="47" t="n">
        <v/>
      </c>
      <c r="N1119" s="47" t="n">
        <v/>
      </c>
      <c r="O1119" s="47" t="n">
        <v/>
      </c>
      <c r="P1119" s="88" t="n"/>
    </row>
    <row r="1120" customFormat="1" s="2">
      <c r="A1120" s="6" t="n"/>
      <c r="B1120" s="4" t="n"/>
      <c r="C1120" s="4" t="n"/>
      <c r="D1120" s="7" t="n"/>
      <c r="E1120" s="17" t="n"/>
      <c r="F1120" s="20" t="n"/>
      <c r="G1120" s="47" t="n"/>
      <c r="H1120" s="47" t="n"/>
      <c r="I1120" s="47" t="n"/>
      <c r="J1120" s="47">
        <f>PRODUCT(F1120:I1120)</f>
        <v/>
      </c>
      <c r="K1120" s="20" t="n">
        <v/>
      </c>
      <c r="L1120" s="47" t="n">
        <v/>
      </c>
      <c r="M1120" s="47" t="n">
        <v/>
      </c>
      <c r="N1120" s="47" t="n">
        <v/>
      </c>
      <c r="O1120" s="47" t="n">
        <v/>
      </c>
      <c r="P1120" s="88" t="n"/>
    </row>
    <row r="1121" customFormat="1" s="2">
      <c r="A1121" s="112" t="n"/>
      <c r="B1121" s="112" t="n"/>
      <c r="C1121" s="112" t="inlineStr">
        <is>
          <t>Total Qty</t>
        </is>
      </c>
      <c r="D1121" s="120" t="n"/>
      <c r="E1121" s="121" t="n"/>
      <c r="F1121" s="123" t="n"/>
      <c r="G1121" s="123" t="n"/>
      <c r="H1121" s="123" t="n"/>
      <c r="I1121" s="123" t="n"/>
      <c r="J1121" s="123">
        <f>SUM(J1118:J1120)</f>
        <v/>
      </c>
      <c r="K1121" s="123" t="n">
        <v/>
      </c>
      <c r="L1121" s="123" t="n">
        <v/>
      </c>
      <c r="M1121" s="123" t="n">
        <v/>
      </c>
      <c r="N1121" s="123" t="n">
        <v/>
      </c>
      <c r="O1121" s="123" t="n">
        <v/>
      </c>
      <c r="P1121" s="88" t="n"/>
    </row>
    <row r="1122">
      <c r="A1122" s="117" t="n"/>
      <c r="B1122" s="117" t="n"/>
      <c r="C1122" s="117" t="n"/>
      <c r="D1122" s="117" t="n"/>
      <c r="E1122" s="118" t="n"/>
      <c r="F1122" s="119" t="n"/>
      <c r="G1122" s="119" t="n"/>
      <c r="H1122" s="119" t="n"/>
      <c r="I1122" s="119" t="n"/>
      <c r="J1122" s="119" t="n"/>
      <c r="K1122" s="119" t="n">
        <v/>
      </c>
      <c r="L1122" s="119" t="n">
        <v/>
      </c>
      <c r="M1122" s="119" t="n">
        <v/>
      </c>
      <c r="N1122" s="119" t="n">
        <v/>
      </c>
      <c r="O1122" s="119" t="n">
        <v/>
      </c>
      <c r="P1122" s="117" t="n"/>
    </row>
    <row r="1123" customFormat="1" s="2">
      <c r="A1123" s="6">
        <f>A1117+1</f>
        <v/>
      </c>
      <c r="B1123" s="4" t="inlineStr">
        <is>
          <t>Corner Guard</t>
        </is>
      </c>
      <c r="C1123" s="4" t="inlineStr">
        <is>
          <t>Corner Guard</t>
        </is>
      </c>
      <c r="D1123" s="7" t="inlineStr">
        <is>
          <t>Rft</t>
        </is>
      </c>
      <c r="E1123" s="17" t="n"/>
      <c r="F1123" s="20" t="n"/>
      <c r="G1123" s="47" t="n"/>
      <c r="H1123" s="47" t="n"/>
      <c r="I1123" s="47" t="n"/>
      <c r="J1123" s="47" t="n"/>
      <c r="K1123" s="20" t="n">
        <v/>
      </c>
      <c r="L1123" s="47" t="n">
        <v/>
      </c>
      <c r="M1123" s="47" t="n">
        <v/>
      </c>
      <c r="N1123" s="47" t="n">
        <v/>
      </c>
      <c r="O1123" s="47" t="n">
        <v/>
      </c>
      <c r="P1123" s="88" t="n"/>
    </row>
    <row r="1124" customFormat="1" s="2">
      <c r="A1124" s="6" t="n"/>
      <c r="B1124" s="4" t="n"/>
      <c r="C1124" s="24" t="inlineStr">
        <is>
          <t xml:space="preserve">Branch Area </t>
        </is>
      </c>
      <c r="D1124" s="28" t="n"/>
      <c r="E1124" s="28" t="n"/>
      <c r="F1124" s="31" t="n"/>
      <c r="G1124" s="31" t="n"/>
      <c r="H1124" s="31" t="n"/>
      <c r="I1124" s="32" t="n"/>
      <c r="J1124" s="47">
        <f>PRODUCT(F1124:I1124)</f>
        <v/>
      </c>
      <c r="K1124" s="31" t="n">
        <v/>
      </c>
      <c r="L1124" s="31" t="n">
        <v/>
      </c>
      <c r="M1124" s="31" t="n">
        <v/>
      </c>
      <c r="N1124" s="32" t="n">
        <v/>
      </c>
      <c r="O1124" s="47" t="n">
        <v/>
      </c>
      <c r="P1124" s="88" t="n"/>
    </row>
    <row r="1125" customFormat="1" s="2">
      <c r="A1125" s="6" t="n"/>
      <c r="B1125" s="4" t="n"/>
      <c r="C1125" s="25" t="inlineStr">
        <is>
          <t xml:space="preserve">Right Hand Side </t>
        </is>
      </c>
      <c r="D1125" s="7" t="inlineStr">
        <is>
          <t>Rft</t>
        </is>
      </c>
      <c r="E1125" s="28" t="n"/>
      <c r="F1125" s="31" t="n">
        <v>1</v>
      </c>
      <c r="G1125" s="31" t="n">
        <v>7.77</v>
      </c>
      <c r="H1125" s="31" t="n"/>
      <c r="I1125" s="32" t="n"/>
      <c r="J1125" s="47">
        <f>PRODUCT(F1125:I1125)</f>
        <v/>
      </c>
      <c r="K1125" s="31" t="n">
        <v>1</v>
      </c>
      <c r="L1125" s="31" t="n">
        <v/>
      </c>
      <c r="M1125" s="31" t="n">
        <v/>
      </c>
      <c r="N1125" s="32" t="n">
        <v/>
      </c>
      <c r="O1125" s="47" t="n">
        <v/>
      </c>
      <c r="P1125" s="88" t="n"/>
    </row>
    <row r="1126" customFormat="1" s="2">
      <c r="A1126" s="6" t="n"/>
      <c r="B1126" s="4" t="n"/>
      <c r="C1126" s="25" t="inlineStr">
        <is>
          <t xml:space="preserve">Left Hand side </t>
        </is>
      </c>
      <c r="D1126" s="7" t="inlineStr">
        <is>
          <t>Rft</t>
        </is>
      </c>
      <c r="E1126" s="28" t="n"/>
      <c r="F1126" s="31" t="n">
        <v>1</v>
      </c>
      <c r="G1126" s="31" t="n">
        <v>7.77</v>
      </c>
      <c r="H1126" s="31" t="n"/>
      <c r="I1126" s="32" t="n"/>
      <c r="J1126" s="47">
        <f>PRODUCT(F1126:I1126)</f>
        <v/>
      </c>
      <c r="K1126" s="31" t="n">
        <v>1</v>
      </c>
      <c r="L1126" s="31" t="n">
        <v/>
      </c>
      <c r="M1126" s="31" t="n">
        <v/>
      </c>
      <c r="N1126" s="32" t="n">
        <v/>
      </c>
      <c r="O1126" s="47" t="n">
        <v/>
      </c>
      <c r="P1126" s="88" t="n"/>
    </row>
    <row r="1127" customFormat="1" s="2">
      <c r="A1127" s="6" t="n"/>
      <c r="B1127" s="4" t="n"/>
      <c r="C1127" s="25" t="inlineStr">
        <is>
          <t xml:space="preserve">Left Hand side </t>
        </is>
      </c>
      <c r="D1127" s="7" t="inlineStr">
        <is>
          <t>Rft</t>
        </is>
      </c>
      <c r="E1127" s="28" t="n"/>
      <c r="F1127" s="31" t="n">
        <v>1</v>
      </c>
      <c r="G1127" s="31" t="n">
        <v>10</v>
      </c>
      <c r="H1127" s="31" t="n"/>
      <c r="I1127" s="32" t="n"/>
      <c r="J1127" s="47">
        <f>PRODUCT(F1127:I1127)</f>
        <v/>
      </c>
      <c r="K1127" s="31" t="n">
        <v>1</v>
      </c>
      <c r="L1127" s="31" t="n">
        <v/>
      </c>
      <c r="M1127" s="31" t="n">
        <v/>
      </c>
      <c r="N1127" s="32" t="n">
        <v/>
      </c>
      <c r="O1127" s="47" t="n">
        <v/>
      </c>
      <c r="P1127" s="88" t="n"/>
    </row>
    <row r="1128" customFormat="1" s="2">
      <c r="A1128" s="6" t="n"/>
      <c r="B1128" s="4" t="n"/>
      <c r="C1128" s="25" t="inlineStr">
        <is>
          <t>Continue</t>
        </is>
      </c>
      <c r="D1128" s="7" t="inlineStr">
        <is>
          <t>Rft</t>
        </is>
      </c>
      <c r="E1128" s="28" t="n"/>
      <c r="F1128" s="31" t="n">
        <v>1</v>
      </c>
      <c r="G1128" s="31" t="n">
        <v>7.33</v>
      </c>
      <c r="H1128" s="31" t="n"/>
      <c r="I1128" s="32" t="n"/>
      <c r="J1128" s="47">
        <f>PRODUCT(F1128:I1128)</f>
        <v/>
      </c>
      <c r="K1128" s="31" t="n">
        <v>1</v>
      </c>
      <c r="L1128" s="31" t="n">
        <v/>
      </c>
      <c r="M1128" s="31" t="n">
        <v/>
      </c>
      <c r="N1128" s="32" t="n">
        <v/>
      </c>
      <c r="O1128" s="47" t="n">
        <v/>
      </c>
      <c r="P1128" s="88" t="n"/>
    </row>
    <row r="1129" customFormat="1" s="2">
      <c r="A1129" s="6" t="n"/>
      <c r="B1129" s="4" t="n"/>
      <c r="C1129" s="25" t="inlineStr">
        <is>
          <t xml:space="preserve">Glass Side </t>
        </is>
      </c>
      <c r="D1129" s="7" t="inlineStr">
        <is>
          <t>Rft</t>
        </is>
      </c>
      <c r="E1129" s="28" t="n"/>
      <c r="F1129" s="31" t="n">
        <v>1</v>
      </c>
      <c r="G1129" s="31" t="n">
        <v>7.77</v>
      </c>
      <c r="H1129" s="31" t="n"/>
      <c r="I1129" s="32" t="n"/>
      <c r="J1129" s="47">
        <f>PRODUCT(F1129:I1129)</f>
        <v/>
      </c>
      <c r="K1129" s="31" t="n">
        <v>1</v>
      </c>
      <c r="L1129" s="31" t="n">
        <v/>
      </c>
      <c r="M1129" s="31" t="n">
        <v/>
      </c>
      <c r="N1129" s="32" t="n">
        <v/>
      </c>
      <c r="O1129" s="47" t="n">
        <v/>
      </c>
      <c r="P1129" s="88" t="n"/>
    </row>
    <row r="1130" customFormat="1" s="2">
      <c r="A1130" s="6" t="n"/>
      <c r="B1130" s="4" t="n"/>
      <c r="C1130" s="25" t="inlineStr">
        <is>
          <t xml:space="preserve">Cash Counter Back Side </t>
        </is>
      </c>
      <c r="D1130" s="7" t="inlineStr">
        <is>
          <t>Rft</t>
        </is>
      </c>
      <c r="E1130" s="28" t="n"/>
      <c r="F1130" s="31" t="n">
        <v>1</v>
      </c>
      <c r="G1130" s="31" t="n">
        <v>8</v>
      </c>
      <c r="H1130" s="31" t="n"/>
      <c r="I1130" s="32" t="n"/>
      <c r="J1130" s="47">
        <f>PRODUCT(F1130:I1130)</f>
        <v/>
      </c>
      <c r="K1130" s="31" t="n">
        <v>1</v>
      </c>
      <c r="L1130" s="31" t="n">
        <v/>
      </c>
      <c r="M1130" s="31" t="n">
        <v/>
      </c>
      <c r="N1130" s="32" t="n">
        <v/>
      </c>
      <c r="O1130" s="47" t="n">
        <v/>
      </c>
      <c r="P1130" s="88" t="n"/>
    </row>
    <row r="1131" customFormat="1" s="2">
      <c r="A1131" s="6" t="n"/>
      <c r="B1131" s="4" t="n"/>
      <c r="C1131" s="25" t="inlineStr">
        <is>
          <t>Center Colum</t>
        </is>
      </c>
      <c r="D1131" s="7" t="inlineStr">
        <is>
          <t>Rft</t>
        </is>
      </c>
      <c r="E1131" s="28" t="n"/>
      <c r="F1131" s="31" t="n">
        <v>2</v>
      </c>
      <c r="G1131" s="31" t="n">
        <v>7.33</v>
      </c>
      <c r="H1131" s="31" t="n"/>
      <c r="I1131" s="32" t="n"/>
      <c r="J1131" s="47">
        <f>PRODUCT(F1131:I1131)</f>
        <v/>
      </c>
      <c r="K1131" s="31" t="n">
        <v>2</v>
      </c>
      <c r="L1131" s="31" t="n">
        <v/>
      </c>
      <c r="M1131" s="31" t="n">
        <v/>
      </c>
      <c r="N1131" s="32" t="n">
        <v/>
      </c>
      <c r="O1131" s="47" t="n">
        <v/>
      </c>
      <c r="P1131" s="88" t="n"/>
    </row>
    <row r="1132" customFormat="1" s="2">
      <c r="A1132" s="6" t="n"/>
      <c r="B1132" s="4" t="n"/>
      <c r="C1132" s="25" t="inlineStr">
        <is>
          <t>Center Colum</t>
        </is>
      </c>
      <c r="D1132" s="7" t="inlineStr">
        <is>
          <t>Rft</t>
        </is>
      </c>
      <c r="E1132" s="28" t="n"/>
      <c r="F1132" s="31" t="n">
        <v>2</v>
      </c>
      <c r="G1132" s="31" t="n">
        <v>6.66</v>
      </c>
      <c r="H1132" s="31" t="n"/>
      <c r="I1132" s="32" t="n"/>
      <c r="J1132" s="47">
        <f>PRODUCT(F1132:I1132)</f>
        <v/>
      </c>
      <c r="K1132" s="31" t="n">
        <v>2</v>
      </c>
      <c r="L1132" s="31" t="n">
        <v/>
      </c>
      <c r="M1132" s="31" t="n">
        <v/>
      </c>
      <c r="N1132" s="32" t="n">
        <v/>
      </c>
      <c r="O1132" s="47" t="n">
        <v/>
      </c>
      <c r="P1132" s="88" t="n"/>
    </row>
    <row r="1133" customFormat="1" s="2">
      <c r="A1133" s="6" t="n"/>
      <c r="B1133" s="4" t="n"/>
      <c r="C1133" s="24" t="inlineStr">
        <is>
          <t>Mazenine Floor</t>
        </is>
      </c>
      <c r="D1133" s="28" t="n"/>
      <c r="E1133" s="28" t="n"/>
      <c r="F1133" s="31" t="n"/>
      <c r="G1133" s="31" t="n"/>
      <c r="H1133" s="31" t="n"/>
      <c r="I1133" s="32" t="n"/>
      <c r="J1133" s="47">
        <f>PRODUCT(F1133:I1133)</f>
        <v/>
      </c>
      <c r="K1133" s="31" t="n">
        <v/>
      </c>
      <c r="L1133" s="31" t="n">
        <v/>
      </c>
      <c r="M1133" s="31" t="n">
        <v/>
      </c>
      <c r="N1133" s="32" t="n">
        <v/>
      </c>
      <c r="O1133" s="47" t="n">
        <v/>
      </c>
      <c r="P1133" s="88" t="n"/>
    </row>
    <row r="1134" customFormat="1" s="2">
      <c r="A1134" s="6" t="n"/>
      <c r="B1134" s="4" t="n"/>
      <c r="C1134" s="25" t="inlineStr">
        <is>
          <t xml:space="preserve">Back Office </t>
        </is>
      </c>
      <c r="D1134" s="7" t="inlineStr">
        <is>
          <t>Rft</t>
        </is>
      </c>
      <c r="E1134" s="28" t="n"/>
      <c r="F1134" s="31" t="n">
        <v>2</v>
      </c>
      <c r="G1134" s="31" t="n">
        <v>3.75</v>
      </c>
      <c r="H1134" s="31" t="n"/>
      <c r="I1134" s="32" t="n"/>
      <c r="J1134" s="47">
        <f>PRODUCT(F1134:I1134)</f>
        <v/>
      </c>
      <c r="K1134" s="31" t="n">
        <v>2</v>
      </c>
      <c r="L1134" s="31" t="n">
        <v/>
      </c>
      <c r="M1134" s="31" t="n">
        <v/>
      </c>
      <c r="N1134" s="32" t="n">
        <v/>
      </c>
      <c r="O1134" s="47" t="n">
        <v/>
      </c>
      <c r="P1134" s="88" t="n"/>
    </row>
    <row r="1135" customFormat="1" s="2">
      <c r="A1135" s="6" t="n"/>
      <c r="B1135" s="4" t="n"/>
      <c r="C1135" s="25" t="inlineStr">
        <is>
          <t xml:space="preserve">Pantry Out Side </t>
        </is>
      </c>
      <c r="D1135" s="7" t="inlineStr">
        <is>
          <t>Rft</t>
        </is>
      </c>
      <c r="E1135" s="28" t="n"/>
      <c r="F1135" s="31" t="n">
        <v>1</v>
      </c>
      <c r="G1135" s="31" t="n">
        <v>7.41</v>
      </c>
      <c r="H1135" s="31" t="n"/>
      <c r="I1135" s="32" t="n"/>
      <c r="J1135" s="47">
        <f>PRODUCT(F1135:I1135)</f>
        <v/>
      </c>
      <c r="K1135" s="31" t="n">
        <v>1</v>
      </c>
      <c r="L1135" s="31" t="n">
        <v/>
      </c>
      <c r="M1135" s="31" t="n">
        <v/>
      </c>
      <c r="N1135" s="32" t="n">
        <v/>
      </c>
      <c r="O1135" s="47" t="n">
        <v/>
      </c>
      <c r="P1135" s="88" t="n"/>
    </row>
    <row r="1136" customFormat="1" s="2">
      <c r="A1136" s="6" t="n"/>
      <c r="B1136" s="4" t="n"/>
      <c r="C1136" s="25" t="inlineStr">
        <is>
          <t xml:space="preserve">Toilet Out Side </t>
        </is>
      </c>
      <c r="D1136" s="7" t="inlineStr">
        <is>
          <t>Rft</t>
        </is>
      </c>
      <c r="E1136" s="28" t="n"/>
      <c r="F1136" s="31" t="n">
        <v>2</v>
      </c>
      <c r="G1136" s="31" t="n">
        <v>3.75</v>
      </c>
      <c r="H1136" s="31" t="n"/>
      <c r="I1136" s="32" t="n"/>
      <c r="J1136" s="47">
        <f>PRODUCT(F1136:I1136)</f>
        <v/>
      </c>
      <c r="K1136" s="31" t="n">
        <v>2</v>
      </c>
      <c r="L1136" s="31" t="n">
        <v/>
      </c>
      <c r="M1136" s="31" t="n">
        <v/>
      </c>
      <c r="N1136" s="32" t="n">
        <v/>
      </c>
      <c r="O1136" s="47" t="n">
        <v/>
      </c>
      <c r="P1136" s="88" t="n"/>
    </row>
    <row r="1137" customFormat="1" s="2">
      <c r="A1137" s="6" t="n"/>
      <c r="B1137" s="4" t="n"/>
      <c r="C1137" s="24" t="inlineStr">
        <is>
          <t>BM Cabin</t>
        </is>
      </c>
      <c r="D1137" s="28" t="n"/>
      <c r="E1137" s="28" t="n"/>
      <c r="F1137" s="31" t="n"/>
      <c r="G1137" s="31" t="n"/>
      <c r="H1137" s="31" t="n"/>
      <c r="I1137" s="32" t="n"/>
      <c r="J1137" s="47">
        <f>PRODUCT(F1137:I1137)</f>
        <v/>
      </c>
      <c r="K1137" s="31" t="n">
        <v/>
      </c>
      <c r="L1137" s="31" t="n">
        <v/>
      </c>
      <c r="M1137" s="31" t="n">
        <v/>
      </c>
      <c r="N1137" s="32" t="n">
        <v/>
      </c>
      <c r="O1137" s="47" t="n">
        <v/>
      </c>
      <c r="P1137" s="88" t="n"/>
    </row>
    <row r="1138" customFormat="1" s="2">
      <c r="A1138" s="6" t="n"/>
      <c r="B1138" s="4" t="n"/>
      <c r="C1138" s="25" t="inlineStr">
        <is>
          <t xml:space="preserve">Front Side </t>
        </is>
      </c>
      <c r="D1138" s="7" t="inlineStr">
        <is>
          <t>Rft</t>
        </is>
      </c>
      <c r="E1138" s="28" t="n"/>
      <c r="F1138" s="31" t="n">
        <v>1</v>
      </c>
      <c r="G1138" s="31" t="n">
        <v>8</v>
      </c>
      <c r="H1138" s="31" t="n"/>
      <c r="I1138" s="32" t="n"/>
      <c r="J1138" s="47">
        <f>PRODUCT(F1138:I1138)</f>
        <v/>
      </c>
      <c r="K1138" s="31" t="n">
        <v>1</v>
      </c>
      <c r="L1138" s="31" t="n">
        <v/>
      </c>
      <c r="M1138" s="31" t="n">
        <v/>
      </c>
      <c r="N1138" s="32" t="n">
        <v/>
      </c>
      <c r="O1138" s="47" t="n">
        <v/>
      </c>
      <c r="P1138" s="88" t="n"/>
    </row>
    <row r="1139" customFormat="1" s="2">
      <c r="A1139" s="6" t="n"/>
      <c r="B1139" s="4" t="n"/>
      <c r="C1139" s="24" t="inlineStr">
        <is>
          <t>ATM</t>
        </is>
      </c>
      <c r="D1139" s="28" t="n"/>
      <c r="E1139" s="28" t="n"/>
      <c r="F1139" s="31" t="n"/>
      <c r="G1139" s="31" t="n"/>
      <c r="H1139" s="31" t="n"/>
      <c r="I1139" s="32" t="n"/>
      <c r="J1139" s="47">
        <f>PRODUCT(F1139:I1139)</f>
        <v/>
      </c>
      <c r="K1139" s="31" t="n">
        <v/>
      </c>
      <c r="L1139" s="31" t="n">
        <v/>
      </c>
      <c r="M1139" s="31" t="n">
        <v/>
      </c>
      <c r="N1139" s="32" t="n">
        <v/>
      </c>
      <c r="O1139" s="47" t="n">
        <v/>
      </c>
      <c r="P1139" s="88" t="n"/>
    </row>
    <row r="1140" customFormat="1" s="2">
      <c r="A1140" s="6" t="n"/>
      <c r="B1140" s="4" t="n"/>
      <c r="C1140" s="25" t="inlineStr">
        <is>
          <t>Left And Right Hand Side</t>
        </is>
      </c>
      <c r="D1140" s="7" t="inlineStr">
        <is>
          <t>Rft</t>
        </is>
      </c>
      <c r="E1140" s="28" t="n"/>
      <c r="F1140" s="31" t="n">
        <v>2</v>
      </c>
      <c r="G1140" s="31" t="n">
        <v>7.77</v>
      </c>
      <c r="H1140" s="31" t="n"/>
      <c r="I1140" s="32" t="n"/>
      <c r="J1140" s="47">
        <f>PRODUCT(F1140:I1140)</f>
        <v/>
      </c>
      <c r="K1140" s="31" t="n">
        <v>2</v>
      </c>
      <c r="L1140" s="31" t="n">
        <v/>
      </c>
      <c r="M1140" s="31" t="n">
        <v/>
      </c>
      <c r="N1140" s="32" t="n">
        <v/>
      </c>
      <c r="O1140" s="47" t="n">
        <v/>
      </c>
      <c r="P1140" s="88" t="n"/>
    </row>
    <row r="1141" customFormat="1" s="2">
      <c r="A1141" s="6" t="n"/>
      <c r="B1141" s="4" t="n"/>
      <c r="C1141" s="4" t="n"/>
      <c r="D1141" s="7" t="n"/>
      <c r="E1141" s="17" t="n"/>
      <c r="F1141" s="20" t="n"/>
      <c r="G1141" s="47" t="n"/>
      <c r="H1141" s="47" t="n"/>
      <c r="I1141" s="47" t="n"/>
      <c r="J1141" s="47">
        <f>PRODUCT(F1141:I1141)</f>
        <v/>
      </c>
      <c r="K1141" s="20" t="n">
        <v/>
      </c>
      <c r="L1141" s="47" t="n">
        <v/>
      </c>
      <c r="M1141" s="47" t="n">
        <v/>
      </c>
      <c r="N1141" s="47" t="n">
        <v/>
      </c>
      <c r="O1141" s="47" t="n">
        <v/>
      </c>
      <c r="P1141" s="88" t="n"/>
    </row>
    <row r="1142" customFormat="1" s="2">
      <c r="A1142" s="112" t="n"/>
      <c r="B1142" s="112" t="n"/>
      <c r="C1142" s="112" t="inlineStr">
        <is>
          <t>Total Qty</t>
        </is>
      </c>
      <c r="D1142" s="120" t="n"/>
      <c r="E1142" s="121" t="n"/>
      <c r="F1142" s="123" t="n"/>
      <c r="G1142" s="123" t="n"/>
      <c r="H1142" s="123" t="n"/>
      <c r="I1142" s="123" t="n"/>
      <c r="J1142" s="123">
        <f>ROUND(SUM(J1124:J1141),)</f>
        <v/>
      </c>
      <c r="K1142" s="123" t="n">
        <v/>
      </c>
      <c r="L1142" s="123" t="n">
        <v/>
      </c>
      <c r="M1142" s="123" t="n">
        <v/>
      </c>
      <c r="N1142" s="123" t="n">
        <v/>
      </c>
      <c r="O1142" s="123" t="n">
        <v/>
      </c>
      <c r="P1142" s="88" t="n"/>
    </row>
    <row r="1143" customFormat="1" s="2">
      <c r="A1143" s="6" t="n"/>
      <c r="B1143" s="4" t="n"/>
      <c r="C1143" s="4" t="n"/>
      <c r="D1143" s="7" t="n"/>
      <c r="E1143" s="17" t="n"/>
      <c r="F1143" s="20" t="n"/>
      <c r="G1143" s="47" t="n"/>
      <c r="H1143" s="47" t="n"/>
      <c r="I1143" s="47" t="n"/>
      <c r="J1143" s="47" t="n"/>
      <c r="K1143" s="20" t="n">
        <v/>
      </c>
      <c r="L1143" s="47" t="n">
        <v/>
      </c>
      <c r="M1143" s="47" t="n">
        <v/>
      </c>
      <c r="N1143" s="47" t="n">
        <v/>
      </c>
      <c r="O1143" s="47" t="n">
        <v/>
      </c>
      <c r="P1143" s="88" t="n"/>
    </row>
    <row r="1144" ht="55.2" customFormat="1" customHeight="1" s="2">
      <c r="A1144" s="6">
        <f>A1123+1</f>
        <v/>
      </c>
      <c r="B1144" s="4" t="inlineStr">
        <is>
          <t>Pantry Table</t>
        </is>
      </c>
      <c r="C1144" s="4" t="inlineStr">
        <is>
          <t>Providing &amp; fixing the Pantry Table with MS Base, used in 25mm thick ply with both side laminet with top edge 2mm thik banding, MS Base with powder coated as per details given. ( Size - 4' x 3' )</t>
        </is>
      </c>
      <c r="D1144" s="7" t="inlineStr">
        <is>
          <t>nos</t>
        </is>
      </c>
      <c r="E1144" s="17" t="n"/>
      <c r="F1144" s="20" t="n"/>
      <c r="G1144" s="47" t="n"/>
      <c r="H1144" s="47" t="n"/>
      <c r="I1144" s="47" t="n"/>
      <c r="J1144" s="47" t="n"/>
      <c r="K1144" s="20" t="n">
        <v/>
      </c>
      <c r="L1144" s="47" t="n">
        <v/>
      </c>
      <c r="M1144" s="47" t="n">
        <v/>
      </c>
      <c r="N1144" s="47" t="n">
        <v/>
      </c>
      <c r="O1144" s="47" t="n">
        <v/>
      </c>
      <c r="P1144" s="88" t="n"/>
    </row>
    <row r="1145" customFormat="1" s="2">
      <c r="A1145" s="6" t="n"/>
      <c r="B1145" s="4" t="n"/>
      <c r="C1145" s="14" t="inlineStr">
        <is>
          <t>Pantry Area</t>
        </is>
      </c>
      <c r="D1145" s="7" t="n"/>
      <c r="E1145" s="17" t="n"/>
      <c r="F1145" s="20" t="n"/>
      <c r="G1145" s="47" t="n"/>
      <c r="H1145" s="47" t="n"/>
      <c r="I1145" s="47" t="n"/>
      <c r="J1145" s="47">
        <f>PRODUCT(F1145:I1145)</f>
        <v/>
      </c>
      <c r="K1145" s="20" t="n">
        <v/>
      </c>
      <c r="L1145" s="47" t="n">
        <v/>
      </c>
      <c r="M1145" s="47" t="n">
        <v/>
      </c>
      <c r="N1145" s="47" t="n">
        <v/>
      </c>
      <c r="O1145" s="47" t="n">
        <v/>
      </c>
      <c r="P1145" s="88" t="n"/>
    </row>
    <row r="1146" customFormat="1" s="2">
      <c r="A1146" s="6" t="n"/>
      <c r="B1146" s="4" t="n"/>
      <c r="C1146" s="4" t="inlineStr">
        <is>
          <t>Table</t>
        </is>
      </c>
      <c r="D1146" s="7" t="inlineStr">
        <is>
          <t>Nos</t>
        </is>
      </c>
      <c r="E1146" s="17" t="n"/>
      <c r="F1146" s="20" t="n">
        <v>1</v>
      </c>
      <c r="G1146" s="47" t="n"/>
      <c r="H1146" s="47" t="n"/>
      <c r="I1146" s="47" t="n"/>
      <c r="J1146" s="47">
        <f>PRODUCT(F1146:I1146)</f>
        <v/>
      </c>
      <c r="K1146" s="20" t="n">
        <v>1</v>
      </c>
      <c r="L1146" s="47" t="n">
        <v/>
      </c>
      <c r="M1146" s="47" t="n">
        <v/>
      </c>
      <c r="N1146" s="47" t="n">
        <v/>
      </c>
      <c r="O1146" s="47" t="n">
        <v/>
      </c>
      <c r="P1146" s="88" t="n"/>
    </row>
    <row r="1147" customFormat="1" s="2">
      <c r="A1147" s="6" t="n"/>
      <c r="B1147" s="4" t="n"/>
      <c r="C1147" s="4" t="n"/>
      <c r="D1147" s="7" t="n"/>
      <c r="E1147" s="17" t="n"/>
      <c r="F1147" s="20" t="n"/>
      <c r="G1147" s="47" t="n"/>
      <c r="H1147" s="47" t="n"/>
      <c r="I1147" s="47" t="n"/>
      <c r="J1147" s="47">
        <f>PRODUCT(F1147:I1147)</f>
        <v/>
      </c>
      <c r="K1147" s="20" t="n">
        <v/>
      </c>
      <c r="L1147" s="47" t="n">
        <v/>
      </c>
      <c r="M1147" s="47" t="n">
        <v/>
      </c>
      <c r="N1147" s="47" t="n">
        <v/>
      </c>
      <c r="O1147" s="47" t="n">
        <v/>
      </c>
      <c r="P1147" s="88" t="n"/>
    </row>
    <row r="1148" customFormat="1" s="2">
      <c r="A1148" s="112" t="n"/>
      <c r="B1148" s="112" t="n"/>
      <c r="C1148" s="112" t="inlineStr">
        <is>
          <t>Total Qty</t>
        </is>
      </c>
      <c r="D1148" s="120" t="n"/>
      <c r="E1148" s="121" t="n"/>
      <c r="F1148" s="123" t="n"/>
      <c r="G1148" s="123" t="n"/>
      <c r="H1148" s="123" t="n"/>
      <c r="I1148" s="123" t="n"/>
      <c r="J1148" s="123">
        <f>SUM(J1145:J1147)</f>
        <v/>
      </c>
      <c r="K1148" s="123" t="n">
        <v/>
      </c>
      <c r="L1148" s="123" t="n">
        <v/>
      </c>
      <c r="M1148" s="123" t="n">
        <v/>
      </c>
      <c r="N1148" s="123" t="n">
        <v/>
      </c>
      <c r="O1148" s="123" t="n">
        <v/>
      </c>
      <c r="P1148" s="88" t="n"/>
    </row>
    <row r="1149" customFormat="1" s="2">
      <c r="A1149" s="6" t="n"/>
      <c r="B1149" s="4" t="n"/>
      <c r="C1149" s="4" t="n"/>
      <c r="D1149" s="7" t="n"/>
      <c r="E1149" s="17" t="n"/>
      <c r="F1149" s="20" t="n"/>
      <c r="G1149" s="47" t="n"/>
      <c r="H1149" s="47" t="n"/>
      <c r="I1149" s="47" t="n"/>
      <c r="J1149" s="47" t="n"/>
      <c r="K1149" s="20" t="n">
        <v/>
      </c>
      <c r="L1149" s="47" t="n">
        <v/>
      </c>
      <c r="M1149" s="47" t="n">
        <v/>
      </c>
      <c r="N1149" s="47" t="n">
        <v/>
      </c>
      <c r="O1149" s="47" t="n">
        <v/>
      </c>
      <c r="P1149" s="88" t="n"/>
    </row>
    <row r="1150" ht="69" customFormat="1" customHeight="1" s="2">
      <c r="A1150" s="6">
        <f>A1144+1</f>
        <v/>
      </c>
      <c r="B1150" s="4" t="inlineStr">
        <is>
          <t>ATM Door Back Room</t>
        </is>
      </c>
      <c r="C1150" s="4" t="inlineStr">
        <is>
          <t>ATM back room door - Providing and fixing ATM back room door, made of 25mm commercial ply or HDHMR boards finished in 1mm high gloss laminate, with lock, magnet and all fittings, as per approved design.  Ply make- Century, Greenply, Kitply. Laminate</t>
        </is>
      </c>
      <c r="D1150" s="7" t="inlineStr">
        <is>
          <t>Sft</t>
        </is>
      </c>
      <c r="E1150" s="17" t="n"/>
      <c r="F1150" s="20" t="n"/>
      <c r="G1150" s="47" t="n"/>
      <c r="H1150" s="47" t="n"/>
      <c r="I1150" s="47" t="n"/>
      <c r="J1150" s="47" t="n"/>
      <c r="K1150" s="20" t="n">
        <v/>
      </c>
      <c r="L1150" s="47" t="n">
        <v/>
      </c>
      <c r="M1150" s="47" t="n">
        <v/>
      </c>
      <c r="N1150" s="47" t="n">
        <v/>
      </c>
      <c r="O1150" s="47" t="n">
        <v/>
      </c>
      <c r="P1150" s="88" t="n"/>
    </row>
    <row r="1151" customFormat="1" s="2">
      <c r="A1151" s="6" t="n"/>
      <c r="B1151" s="4" t="n"/>
      <c r="C1151" s="14" t="inlineStr">
        <is>
          <t>ATM Area</t>
        </is>
      </c>
      <c r="D1151" s="7" t="n"/>
      <c r="E1151" s="17" t="n"/>
      <c r="F1151" s="20" t="n"/>
      <c r="G1151" s="47" t="n"/>
      <c r="H1151" s="47" t="n"/>
      <c r="I1151" s="47" t="n"/>
      <c r="J1151" s="47">
        <f>PRODUCT(F1151:I1151)</f>
        <v/>
      </c>
      <c r="K1151" s="20" t="n">
        <v/>
      </c>
      <c r="L1151" s="47" t="n">
        <v/>
      </c>
      <c r="M1151" s="47" t="n">
        <v/>
      </c>
      <c r="N1151" s="47" t="n">
        <v/>
      </c>
      <c r="O1151" s="47" t="n">
        <v/>
      </c>
      <c r="P1151" s="88" t="n"/>
    </row>
    <row r="1152" customFormat="1" s="2">
      <c r="A1152" s="6" t="n"/>
      <c r="B1152" s="4" t="n"/>
      <c r="C1152" s="4" t="inlineStr">
        <is>
          <t>Entry Door</t>
        </is>
      </c>
      <c r="D1152" s="7" t="inlineStr">
        <is>
          <t>Sq.ft</t>
        </is>
      </c>
      <c r="E1152" s="17" t="n"/>
      <c r="F1152" s="20" t="n">
        <v>1</v>
      </c>
      <c r="G1152" s="47" t="n">
        <v>2</v>
      </c>
      <c r="H1152" s="47" t="n"/>
      <c r="I1152" s="47" t="n">
        <v>7</v>
      </c>
      <c r="J1152" s="47">
        <f>PRODUCT(F1152:I1152)</f>
        <v/>
      </c>
      <c r="K1152" s="20" t="n">
        <v>1</v>
      </c>
      <c r="L1152" s="47" t="n">
        <v/>
      </c>
      <c r="M1152" s="47" t="n">
        <v/>
      </c>
      <c r="N1152" s="47" t="n">
        <v/>
      </c>
      <c r="O1152" s="47" t="n">
        <v/>
      </c>
      <c r="P1152" s="88" t="n"/>
    </row>
    <row r="1153" customFormat="1" s="2">
      <c r="A1153" s="6" t="n"/>
      <c r="B1153" s="4" t="n"/>
      <c r="C1153" s="4" t="n"/>
      <c r="D1153" s="7" t="n"/>
      <c r="E1153" s="17" t="n"/>
      <c r="F1153" s="20" t="n"/>
      <c r="G1153" s="47" t="n"/>
      <c r="H1153" s="47" t="n"/>
      <c r="I1153" s="47" t="n"/>
      <c r="J1153" s="47">
        <f>PRODUCT(F1153:I1153)</f>
        <v/>
      </c>
      <c r="K1153" s="20" t="n">
        <v/>
      </c>
      <c r="L1153" s="47" t="n">
        <v/>
      </c>
      <c r="M1153" s="47" t="n">
        <v/>
      </c>
      <c r="N1153" s="47" t="n">
        <v/>
      </c>
      <c r="O1153" s="47" t="n">
        <v/>
      </c>
      <c r="P1153" s="88" t="n"/>
    </row>
    <row r="1154" customFormat="1" s="2">
      <c r="A1154" s="112" t="n"/>
      <c r="B1154" s="112" t="n"/>
      <c r="C1154" s="112" t="inlineStr">
        <is>
          <t>Total Qty</t>
        </is>
      </c>
      <c r="D1154" s="120" t="n"/>
      <c r="E1154" s="121" t="n"/>
      <c r="F1154" s="123" t="n"/>
      <c r="G1154" s="123" t="n"/>
      <c r="H1154" s="123" t="n"/>
      <c r="I1154" s="123" t="n"/>
      <c r="J1154" s="123">
        <f>SUM(J1151:J1153)</f>
        <v/>
      </c>
      <c r="K1154" s="123" t="n">
        <v/>
      </c>
      <c r="L1154" s="123" t="n">
        <v/>
      </c>
      <c r="M1154" s="123" t="n">
        <v/>
      </c>
      <c r="N1154" s="123" t="n">
        <v/>
      </c>
      <c r="O1154" s="123" t="n">
        <v/>
      </c>
      <c r="P1154" s="88" t="n"/>
    </row>
    <row r="1155" customFormat="1" s="2">
      <c r="A1155" s="6" t="n"/>
      <c r="B1155" s="4" t="n"/>
      <c r="C1155" s="4" t="n"/>
      <c r="D1155" s="7" t="n"/>
      <c r="E1155" s="17" t="n"/>
      <c r="F1155" s="20" t="n"/>
      <c r="G1155" s="47" t="n"/>
      <c r="H1155" s="47" t="n"/>
      <c r="I1155" s="47" t="n"/>
      <c r="J1155" s="47" t="n"/>
      <c r="K1155" s="20" t="n">
        <v/>
      </c>
      <c r="L1155" s="47" t="n">
        <v/>
      </c>
      <c r="M1155" s="47" t="n">
        <v/>
      </c>
      <c r="N1155" s="47" t="n">
        <v/>
      </c>
      <c r="O1155" s="47" t="n">
        <v/>
      </c>
      <c r="P1155" s="88" t="n"/>
    </row>
    <row r="1156" ht="124.2" customFormat="1" customHeight="1" s="2">
      <c r="A1156" s="6">
        <f>A1150+1</f>
        <v/>
      </c>
      <c r="B1156" s="4" t="inlineStr">
        <is>
          <t>External Flooring in Granite</t>
        </is>
      </c>
      <c r="C1156"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D1156" s="7" t="inlineStr">
        <is>
          <t>Sft</t>
        </is>
      </c>
      <c r="E1156" s="17" t="n"/>
      <c r="F1156" s="20" t="n"/>
      <c r="G1156" s="47" t="n"/>
      <c r="H1156" s="47" t="n"/>
      <c r="I1156" s="47" t="n"/>
      <c r="J1156" s="47" t="n"/>
      <c r="K1156" s="20" t="n">
        <v/>
      </c>
      <c r="L1156" s="47" t="n">
        <v/>
      </c>
      <c r="M1156" s="47" t="n">
        <v/>
      </c>
      <c r="N1156" s="47" t="n">
        <v/>
      </c>
      <c r="O1156" s="47" t="n">
        <v/>
      </c>
      <c r="P1156" s="88" t="n"/>
    </row>
    <row r="1157" customFormat="1" s="2">
      <c r="A1157" s="6" t="n"/>
      <c r="B1157" s="4" t="n"/>
      <c r="C1157" s="24" t="inlineStr">
        <is>
          <t xml:space="preserve">Branch Area </t>
        </is>
      </c>
      <c r="D1157" s="7" t="n"/>
      <c r="E1157" s="17" t="n"/>
      <c r="F1157" s="20" t="n"/>
      <c r="G1157" s="47" t="n"/>
      <c r="H1157" s="47" t="n"/>
      <c r="I1157" s="47" t="n"/>
      <c r="J1157" s="47">
        <f>PRODUCT(E1157:I1157)</f>
        <v/>
      </c>
      <c r="K1157" s="20" t="n">
        <v/>
      </c>
      <c r="L1157" s="47" t="n">
        <v/>
      </c>
      <c r="M1157" s="47" t="n">
        <v/>
      </c>
      <c r="N1157" s="47" t="n">
        <v/>
      </c>
      <c r="O1157" s="47" t="n">
        <v/>
      </c>
      <c r="P1157" s="88" t="n"/>
    </row>
    <row r="1158" customFormat="1" s="2">
      <c r="A1158" s="6" t="n"/>
      <c r="B1158" s="4" t="n"/>
      <c r="C1158" s="25" t="inlineStr">
        <is>
          <t xml:space="preserve">Trade </t>
        </is>
      </c>
      <c r="D1158" s="7" t="inlineStr">
        <is>
          <t>Sq.ft</t>
        </is>
      </c>
      <c r="E1158" s="17" t="n"/>
      <c r="F1158" s="20" t="n">
        <v>1</v>
      </c>
      <c r="G1158" s="47" t="n">
        <v>9.42</v>
      </c>
      <c r="H1158" s="47" t="n"/>
      <c r="I1158" s="47" t="n">
        <v>1.08</v>
      </c>
      <c r="J1158" s="47">
        <f>PRODUCT(E1158:I1158)</f>
        <v/>
      </c>
      <c r="K1158" s="20" t="n">
        <v>1</v>
      </c>
      <c r="L1158" s="47" t="n">
        <v/>
      </c>
      <c r="M1158" s="47" t="n">
        <v/>
      </c>
      <c r="N1158" s="47" t="n">
        <v/>
      </c>
      <c r="O1158" s="47" t="n">
        <v/>
      </c>
      <c r="P1158" s="88" t="n"/>
    </row>
    <row r="1159" customFormat="1" s="2">
      <c r="A1159" s="6" t="n"/>
      <c r="B1159" s="4" t="n"/>
      <c r="C1159" s="25" t="inlineStr">
        <is>
          <t xml:space="preserve">Trade </t>
        </is>
      </c>
      <c r="D1159" s="7" t="inlineStr">
        <is>
          <t>Sq.ft</t>
        </is>
      </c>
      <c r="E1159" s="17" t="n"/>
      <c r="F1159" s="20" t="n">
        <v>1</v>
      </c>
      <c r="G1159" s="47" t="n">
        <v>10</v>
      </c>
      <c r="H1159" s="47" t="n"/>
      <c r="I1159" s="47" t="n">
        <v>1.08</v>
      </c>
      <c r="J1159" s="47">
        <f>PRODUCT(E1159:I1159)</f>
        <v/>
      </c>
      <c r="K1159" s="20" t="n">
        <v>1</v>
      </c>
      <c r="L1159" s="47" t="n">
        <v/>
      </c>
      <c r="M1159" s="47" t="n">
        <v/>
      </c>
      <c r="N1159" s="47" t="n">
        <v/>
      </c>
      <c r="O1159" s="47" t="n">
        <v/>
      </c>
      <c r="P1159" s="88" t="n"/>
    </row>
    <row r="1160" customFormat="1" s="2">
      <c r="A1160" s="6" t="n"/>
      <c r="B1160" s="4" t="n"/>
      <c r="C1160" s="24" t="inlineStr">
        <is>
          <t xml:space="preserve">ATM </t>
        </is>
      </c>
      <c r="D1160" s="7" t="n"/>
      <c r="E1160" s="17" t="n"/>
      <c r="F1160" s="20" t="n"/>
      <c r="G1160" s="47" t="n"/>
      <c r="H1160" s="47" t="n"/>
      <c r="I1160" s="47" t="n"/>
      <c r="J1160" s="47">
        <f>PRODUCT(E1160:I1160)</f>
        <v/>
      </c>
      <c r="K1160" s="20" t="n">
        <v/>
      </c>
      <c r="L1160" s="47" t="n">
        <v/>
      </c>
      <c r="M1160" s="47" t="n">
        <v/>
      </c>
      <c r="N1160" s="47" t="n">
        <v/>
      </c>
      <c r="O1160" s="47" t="n">
        <v/>
      </c>
      <c r="P1160" s="88" t="n"/>
    </row>
    <row r="1161" customFormat="1" s="2">
      <c r="A1161" s="6" t="n"/>
      <c r="B1161" s="4" t="n"/>
      <c r="C1161" s="25" t="inlineStr">
        <is>
          <t xml:space="preserve">Trade </t>
        </is>
      </c>
      <c r="D1161" s="7" t="inlineStr">
        <is>
          <t>Sq.ft</t>
        </is>
      </c>
      <c r="E1161" s="17" t="n"/>
      <c r="F1161" s="20" t="n">
        <v>1</v>
      </c>
      <c r="G1161" s="47" t="n">
        <v>10</v>
      </c>
      <c r="H1161" s="47" t="n"/>
      <c r="I1161" s="47" t="n">
        <v>1.08</v>
      </c>
      <c r="J1161" s="47">
        <f>PRODUCT(E1161:I1161)</f>
        <v/>
      </c>
      <c r="K1161" s="20" t="n">
        <v>1</v>
      </c>
      <c r="L1161" s="47" t="n">
        <v/>
      </c>
      <c r="M1161" s="47" t="n">
        <v/>
      </c>
      <c r="N1161" s="47" t="n">
        <v/>
      </c>
      <c r="O1161" s="47" t="n">
        <v/>
      </c>
      <c r="P1161" s="88" t="n"/>
    </row>
    <row r="1162" customFormat="1" s="2">
      <c r="A1162" s="6" t="n"/>
      <c r="B1162" s="4" t="n"/>
      <c r="C1162" s="24" t="inlineStr">
        <is>
          <t>Staircase Area</t>
        </is>
      </c>
      <c r="D1162" s="7" t="n"/>
      <c r="E1162" s="17" t="n"/>
      <c r="F1162" s="20" t="n"/>
      <c r="G1162" s="47" t="n"/>
      <c r="H1162" s="47" t="n"/>
      <c r="I1162" s="47" t="n"/>
      <c r="J1162" s="47">
        <f>PRODUCT(E1162:I1162)</f>
        <v/>
      </c>
      <c r="K1162" s="20" t="n">
        <v/>
      </c>
      <c r="L1162" s="47" t="n">
        <v/>
      </c>
      <c r="M1162" s="47" t="n">
        <v/>
      </c>
      <c r="N1162" s="47" t="n">
        <v/>
      </c>
      <c r="O1162" s="47" t="n">
        <v/>
      </c>
      <c r="P1162" s="88" t="n"/>
    </row>
    <row r="1163" customFormat="1" s="2">
      <c r="A1163" s="6" t="n"/>
      <c r="B1163" s="4" t="n"/>
      <c r="C1163" s="25" t="inlineStr">
        <is>
          <t>Landing Area</t>
        </is>
      </c>
      <c r="D1163" s="7" t="inlineStr">
        <is>
          <t>Sq.ft</t>
        </is>
      </c>
      <c r="E1163" s="17" t="n"/>
      <c r="F1163" s="20" t="n">
        <v>1</v>
      </c>
      <c r="G1163" s="47" t="n">
        <v>3</v>
      </c>
      <c r="H1163" s="47" t="n"/>
      <c r="I1163" s="47" t="n">
        <v>3.83</v>
      </c>
      <c r="J1163" s="47">
        <f>PRODUCT(E1163:I1163)</f>
        <v/>
      </c>
      <c r="K1163" s="20" t="n">
        <v>1</v>
      </c>
      <c r="L1163" s="47" t="n">
        <v/>
      </c>
      <c r="M1163" s="47" t="n">
        <v/>
      </c>
      <c r="N1163" s="47" t="n">
        <v/>
      </c>
      <c r="O1163" s="47" t="n">
        <v/>
      </c>
      <c r="P1163" s="88" t="n"/>
    </row>
    <row r="1164" customFormat="1" s="2">
      <c r="A1164" s="6" t="n"/>
      <c r="B1164" s="4" t="n"/>
      <c r="C1164" s="4" t="n"/>
      <c r="D1164" s="7" t="n"/>
      <c r="E1164" s="17" t="n"/>
      <c r="F1164" s="20" t="n"/>
      <c r="G1164" s="47" t="n"/>
      <c r="H1164" s="47" t="n"/>
      <c r="I1164" s="47" t="n"/>
      <c r="J1164" s="47">
        <f>PRODUCT(E1164:I1164)</f>
        <v/>
      </c>
      <c r="K1164" s="20" t="n">
        <v/>
      </c>
      <c r="L1164" s="47" t="n">
        <v/>
      </c>
      <c r="M1164" s="47" t="n">
        <v/>
      </c>
      <c r="N1164" s="47" t="n">
        <v/>
      </c>
      <c r="O1164" s="47" t="n">
        <v/>
      </c>
      <c r="P1164" s="88" t="n"/>
    </row>
    <row r="1165" customFormat="1" s="2">
      <c r="A1165" s="112" t="n"/>
      <c r="B1165" s="112" t="n"/>
      <c r="C1165" s="112" t="inlineStr">
        <is>
          <t>Total Qty</t>
        </is>
      </c>
      <c r="D1165" s="120" t="n"/>
      <c r="E1165" s="121" t="n"/>
      <c r="F1165" s="123" t="n"/>
      <c r="G1165" s="123" t="n"/>
      <c r="H1165" s="123" t="n"/>
      <c r="I1165" s="123" t="n"/>
      <c r="J1165" s="123">
        <f>ROUND(SUM(J1157:J1164),)</f>
        <v/>
      </c>
      <c r="K1165" s="123" t="n">
        <v/>
      </c>
      <c r="L1165" s="123" t="n">
        <v/>
      </c>
      <c r="M1165" s="123" t="n">
        <v/>
      </c>
      <c r="N1165" s="123" t="n">
        <v/>
      </c>
      <c r="O1165" s="123" t="n">
        <v/>
      </c>
      <c r="P1165" s="88" t="n"/>
    </row>
    <row r="1166" customFormat="1" s="2">
      <c r="A1166" s="6" t="n"/>
      <c r="B1166" s="4" t="n"/>
      <c r="C1166" s="4" t="n"/>
      <c r="D1166" s="7" t="n"/>
      <c r="E1166" s="17" t="n"/>
      <c r="F1166" s="20" t="n"/>
      <c r="G1166" s="47" t="n"/>
      <c r="H1166" s="47" t="n"/>
      <c r="I1166" s="47" t="n"/>
      <c r="J1166" s="47" t="n"/>
      <c r="K1166" s="20" t="n">
        <v/>
      </c>
      <c r="L1166" s="47" t="n">
        <v/>
      </c>
      <c r="M1166" s="47" t="n">
        <v/>
      </c>
      <c r="N1166" s="47" t="n">
        <v/>
      </c>
      <c r="O1166" s="47" t="n">
        <v/>
      </c>
      <c r="P1166" s="88" t="n"/>
    </row>
    <row r="1167" ht="96.59999999999999" customFormat="1" customHeight="1" s="2">
      <c r="A1167" s="6">
        <f>A1156+1</f>
        <v/>
      </c>
      <c r="B1167" s="4" t="inlineStr">
        <is>
          <t>Writing Ledge 33 inch X18 inch Glass top ALLEN Model</t>
        </is>
      </c>
      <c r="C1167"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D1167" s="7" t="inlineStr">
        <is>
          <t>nos</t>
        </is>
      </c>
      <c r="E1167" s="17" t="n"/>
      <c r="F1167" s="20" t="n"/>
      <c r="G1167" s="47" t="n"/>
      <c r="H1167" s="47" t="n"/>
      <c r="I1167" s="47" t="n"/>
      <c r="J1167" s="47" t="n"/>
      <c r="K1167" s="20" t="n">
        <v/>
      </c>
      <c r="L1167" s="47" t="n">
        <v/>
      </c>
      <c r="M1167" s="47" t="n">
        <v/>
      </c>
      <c r="N1167" s="47" t="n">
        <v/>
      </c>
      <c r="O1167" s="47" t="n">
        <v/>
      </c>
      <c r="P1167" s="88" t="n"/>
    </row>
    <row r="1168" customFormat="1" s="2">
      <c r="A1168" s="6" t="n"/>
      <c r="B1168" s="4" t="n"/>
      <c r="C1168" s="14" t="inlineStr">
        <is>
          <t>Branch Area</t>
        </is>
      </c>
      <c r="D1168" s="7" t="n"/>
      <c r="E1168" s="17" t="n"/>
      <c r="F1168" s="20" t="n"/>
      <c r="G1168" s="47" t="n"/>
      <c r="H1168" s="47" t="n"/>
      <c r="I1168" s="47" t="n"/>
      <c r="J1168" s="47">
        <f>PRODUCT(F1168:I1168)</f>
        <v/>
      </c>
      <c r="K1168" s="20" t="n">
        <v/>
      </c>
      <c r="L1168" s="47" t="n">
        <v/>
      </c>
      <c r="M1168" s="47" t="n">
        <v/>
      </c>
      <c r="N1168" s="47" t="n">
        <v/>
      </c>
      <c r="O1168" s="47" t="n">
        <v/>
      </c>
      <c r="P1168" s="88" t="n"/>
    </row>
    <row r="1169" customFormat="1" s="2">
      <c r="A1169" s="6" t="n"/>
      <c r="B1169" s="4" t="n"/>
      <c r="C1169" s="4" t="inlineStr">
        <is>
          <t>Writing Ledge</t>
        </is>
      </c>
      <c r="D1169" s="7" t="inlineStr">
        <is>
          <t>Nos</t>
        </is>
      </c>
      <c r="E1169" s="17" t="n"/>
      <c r="F1169" s="20" t="n">
        <v>1</v>
      </c>
      <c r="G1169" s="47" t="n"/>
      <c r="H1169" s="47" t="n"/>
      <c r="I1169" s="47" t="n"/>
      <c r="J1169" s="47">
        <f>PRODUCT(F1169:I1169)</f>
        <v/>
      </c>
      <c r="K1169" s="20" t="n">
        <v>1</v>
      </c>
      <c r="L1169" s="47" t="n">
        <v/>
      </c>
      <c r="M1169" s="47" t="n">
        <v/>
      </c>
      <c r="N1169" s="47" t="n">
        <v/>
      </c>
      <c r="O1169" s="47" t="n">
        <v/>
      </c>
      <c r="P1169" s="88" t="n"/>
    </row>
    <row r="1170" customFormat="1" s="2">
      <c r="A1170" s="6" t="n"/>
      <c r="B1170" s="4" t="n"/>
      <c r="C1170" s="4" t="n"/>
      <c r="D1170" s="7" t="n"/>
      <c r="E1170" s="17" t="n"/>
      <c r="F1170" s="20" t="n"/>
      <c r="G1170" s="47" t="n"/>
      <c r="H1170" s="47" t="n"/>
      <c r="I1170" s="47" t="n"/>
      <c r="J1170" s="47">
        <f>PRODUCT(F1170:I1170)</f>
        <v/>
      </c>
      <c r="K1170" s="20" t="n">
        <v/>
      </c>
      <c r="L1170" s="47" t="n">
        <v/>
      </c>
      <c r="M1170" s="47" t="n">
        <v/>
      </c>
      <c r="N1170" s="47" t="n">
        <v/>
      </c>
      <c r="O1170" s="47" t="n">
        <v/>
      </c>
      <c r="P1170" s="88" t="n"/>
    </row>
    <row r="1171" customFormat="1" s="2">
      <c r="A1171" s="112" t="n"/>
      <c r="B1171" s="112" t="n"/>
      <c r="C1171" s="112" t="inlineStr">
        <is>
          <t>Total Qty</t>
        </is>
      </c>
      <c r="D1171" s="120" t="n"/>
      <c r="E1171" s="121" t="n"/>
      <c r="F1171" s="123" t="n"/>
      <c r="G1171" s="123" t="n"/>
      <c r="H1171" s="123" t="n"/>
      <c r="I1171" s="123" t="n"/>
      <c r="J1171" s="123">
        <f>SUM(J1168:J1170)</f>
        <v/>
      </c>
      <c r="K1171" s="123" t="n">
        <v/>
      </c>
      <c r="L1171" s="123" t="n">
        <v/>
      </c>
      <c r="M1171" s="123" t="n">
        <v/>
      </c>
      <c r="N1171" s="123" t="n">
        <v/>
      </c>
      <c r="O1171" s="123" t="n">
        <v/>
      </c>
      <c r="P1171" s="88" t="n"/>
    </row>
    <row r="1172" customFormat="1" s="2">
      <c r="A1172" s="6" t="n"/>
      <c r="B1172" s="4" t="n"/>
      <c r="C1172" s="4" t="n"/>
      <c r="D1172" s="7" t="n"/>
      <c r="E1172" s="17" t="n"/>
      <c r="F1172" s="20" t="n"/>
      <c r="G1172" s="47" t="n"/>
      <c r="H1172" s="47" t="n"/>
      <c r="I1172" s="47" t="n"/>
      <c r="J1172" s="47" t="n"/>
      <c r="K1172" s="20" t="n">
        <v/>
      </c>
      <c r="L1172" s="47" t="n">
        <v/>
      </c>
      <c r="M1172" s="47" t="n">
        <v/>
      </c>
      <c r="N1172" s="47" t="n">
        <v/>
      </c>
      <c r="O1172" s="47" t="n">
        <v/>
      </c>
      <c r="P1172" s="88" t="n"/>
    </row>
    <row r="1173" ht="69" customFormat="1" customHeight="1" s="2">
      <c r="A1173" s="6">
        <f>A1167+1</f>
        <v/>
      </c>
      <c r="B1173" s="4" t="inlineStr">
        <is>
          <t>MS Grill work for Strong Room Ceiling - applicable only in case no RCC is possible for ceiling</t>
        </is>
      </c>
      <c r="C1173"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D1173" s="7" t="inlineStr">
        <is>
          <t>Sft</t>
        </is>
      </c>
      <c r="E1173" s="17" t="n"/>
      <c r="F1173" s="20" t="n"/>
      <c r="G1173" s="47" t="n"/>
      <c r="H1173" s="47" t="n"/>
      <c r="I1173" s="47" t="n"/>
      <c r="J1173" s="47" t="n"/>
      <c r="K1173" s="20" t="n">
        <v/>
      </c>
      <c r="L1173" s="47" t="n">
        <v/>
      </c>
      <c r="M1173" s="47" t="n">
        <v/>
      </c>
      <c r="N1173" s="47" t="n">
        <v/>
      </c>
      <c r="O1173" s="47" t="n">
        <v/>
      </c>
      <c r="P1173" s="88" t="n"/>
    </row>
    <row r="1174" customFormat="1" s="2">
      <c r="A1174" s="6" t="n"/>
      <c r="B1174" s="4" t="n"/>
      <c r="C1174" s="14" t="inlineStr">
        <is>
          <t>ATM Area</t>
        </is>
      </c>
      <c r="D1174" s="7" t="n"/>
      <c r="E1174" s="17" t="n"/>
      <c r="F1174" s="20" t="n"/>
      <c r="G1174" s="47" t="n"/>
      <c r="H1174" s="47" t="n"/>
      <c r="I1174" s="47" t="n"/>
      <c r="J1174" s="47">
        <f>PRODUCT(F1174:I1174)</f>
        <v/>
      </c>
      <c r="K1174" s="20" t="n">
        <v/>
      </c>
      <c r="L1174" s="47" t="n">
        <v/>
      </c>
      <c r="M1174" s="47" t="n">
        <v/>
      </c>
      <c r="N1174" s="47" t="n">
        <v/>
      </c>
      <c r="O1174" s="47" t="n">
        <v/>
      </c>
      <c r="P1174" s="88" t="n"/>
    </row>
    <row r="1175" customFormat="1" s="2">
      <c r="A1175" s="6" t="n"/>
      <c r="B1175" s="4" t="n"/>
      <c r="C1175" s="4" t="inlineStr">
        <is>
          <t>Ceiling</t>
        </is>
      </c>
      <c r="D1175" s="7" t="inlineStr">
        <is>
          <t>Sq.ft</t>
        </is>
      </c>
      <c r="E1175" s="17" t="n"/>
      <c r="F1175" s="20" t="n">
        <v>1</v>
      </c>
      <c r="G1175" s="34" t="n">
        <v>12</v>
      </c>
      <c r="H1175" s="47" t="n">
        <v>7.5</v>
      </c>
      <c r="I1175" s="47" t="n"/>
      <c r="J1175" s="47">
        <f>PRODUCT(F1175:I1175)</f>
        <v/>
      </c>
      <c r="K1175" s="20" t="n">
        <v>1</v>
      </c>
      <c r="L1175" s="34" t="n">
        <v/>
      </c>
      <c r="M1175" s="47" t="n">
        <v/>
      </c>
      <c r="N1175" s="47" t="n">
        <v/>
      </c>
      <c r="O1175" s="47" t="n">
        <v/>
      </c>
      <c r="P1175" s="88" t="n"/>
    </row>
    <row r="1176" customFormat="1" s="2">
      <c r="A1176" s="6" t="n"/>
      <c r="B1176" s="4" t="n"/>
      <c r="C1176" s="4" t="n"/>
      <c r="D1176" s="7" t="n"/>
      <c r="E1176" s="17" t="n"/>
      <c r="F1176" s="20" t="n"/>
      <c r="G1176" s="47" t="n"/>
      <c r="H1176" s="47" t="n"/>
      <c r="I1176" s="47" t="n"/>
      <c r="J1176" s="47">
        <f>PRODUCT(F1176:I1176)</f>
        <v/>
      </c>
      <c r="K1176" s="20" t="n">
        <v/>
      </c>
      <c r="L1176" s="47" t="n">
        <v/>
      </c>
      <c r="M1176" s="47" t="n">
        <v/>
      </c>
      <c r="N1176" s="47" t="n">
        <v/>
      </c>
      <c r="O1176" s="47" t="n">
        <v/>
      </c>
      <c r="P1176" s="88" t="n"/>
    </row>
    <row r="1177" customFormat="1" s="2">
      <c r="A1177" s="112" t="n"/>
      <c r="B1177" s="112" t="n"/>
      <c r="C1177" s="112" t="inlineStr">
        <is>
          <t>Total Qty</t>
        </is>
      </c>
      <c r="D1177" s="120" t="n"/>
      <c r="E1177" s="121" t="n"/>
      <c r="F1177" s="123" t="n"/>
      <c r="G1177" s="123" t="n"/>
      <c r="H1177" s="123" t="n"/>
      <c r="I1177" s="123" t="n"/>
      <c r="J1177" s="123">
        <f>ROUND(SUM(J1174:J1176),)</f>
        <v/>
      </c>
      <c r="K1177" s="123" t="n">
        <v/>
      </c>
      <c r="L1177" s="123" t="n">
        <v/>
      </c>
      <c r="M1177" s="123" t="n">
        <v/>
      </c>
      <c r="N1177" s="123" t="n">
        <v/>
      </c>
      <c r="O1177" s="123" t="n">
        <v/>
      </c>
      <c r="P1177" s="88" t="n"/>
    </row>
    <row r="1178" customFormat="1" s="2">
      <c r="A1178" s="6" t="n"/>
      <c r="B1178" s="4" t="n"/>
      <c r="C1178" s="4" t="n"/>
      <c r="D1178" s="7" t="n"/>
      <c r="E1178" s="17" t="n"/>
      <c r="F1178" s="20" t="n"/>
      <c r="G1178" s="47" t="n"/>
      <c r="H1178" s="47" t="n"/>
      <c r="I1178" s="47" t="n"/>
      <c r="J1178" s="47" t="n"/>
      <c r="K1178" s="20" t="n">
        <v/>
      </c>
      <c r="L1178" s="47" t="n">
        <v/>
      </c>
      <c r="M1178" s="47" t="n">
        <v/>
      </c>
      <c r="N1178" s="47" t="n">
        <v/>
      </c>
      <c r="O1178" s="47" t="n">
        <v/>
      </c>
      <c r="P1178" s="88" t="n"/>
    </row>
    <row r="1179" customFormat="1" s="2">
      <c r="A1179" s="6">
        <f>A1173+1</f>
        <v/>
      </c>
      <c r="B1179" s="4" t="inlineStr">
        <is>
          <t>Ms Staircase</t>
        </is>
      </c>
      <c r="C1179" s="4" t="inlineStr">
        <is>
          <t>MS Sataircase</t>
        </is>
      </c>
      <c r="D1179" s="7" t="inlineStr">
        <is>
          <t>L/s</t>
        </is>
      </c>
      <c r="E1179" s="17" t="n"/>
      <c r="F1179" s="20" t="n"/>
      <c r="G1179" s="47" t="n"/>
      <c r="H1179" s="47" t="n"/>
      <c r="I1179" s="47" t="n"/>
      <c r="J1179" s="47" t="n"/>
      <c r="K1179" s="20" t="n">
        <v/>
      </c>
      <c r="L1179" s="47" t="n">
        <v/>
      </c>
      <c r="M1179" s="47" t="n">
        <v/>
      </c>
      <c r="N1179" s="47" t="n">
        <v/>
      </c>
      <c r="O1179" s="47" t="n">
        <v/>
      </c>
      <c r="P1179" s="88" t="n"/>
    </row>
    <row r="1180" customFormat="1" s="2">
      <c r="A1180" s="6" t="n"/>
      <c r="B1180" s="4" t="n"/>
      <c r="C1180" s="14" t="n"/>
      <c r="D1180" s="7" t="n"/>
      <c r="E1180" s="17" t="n"/>
      <c r="F1180" s="20" t="n"/>
      <c r="G1180" s="47" t="n"/>
      <c r="H1180" s="47" t="n"/>
      <c r="I1180" s="47" t="n"/>
      <c r="J1180" s="47">
        <f>PRODUCT(F1180:I1180)</f>
        <v/>
      </c>
      <c r="K1180" s="20" t="n">
        <v/>
      </c>
      <c r="L1180" s="47" t="n">
        <v/>
      </c>
      <c r="M1180" s="47" t="n">
        <v/>
      </c>
      <c r="N1180" s="47" t="n">
        <v/>
      </c>
      <c r="O1180" s="47" t="n">
        <v/>
      </c>
      <c r="P1180" s="88" t="n"/>
    </row>
    <row r="1181" customFormat="1" s="2">
      <c r="A1181" s="6" t="n"/>
      <c r="B1181" s="4" t="n"/>
      <c r="C1181" s="4" t="inlineStr">
        <is>
          <t>As Per Site</t>
        </is>
      </c>
      <c r="D1181" s="7" t="inlineStr">
        <is>
          <t>L/s</t>
        </is>
      </c>
      <c r="E1181" s="17" t="n"/>
      <c r="F1181" s="20" t="n">
        <v>1</v>
      </c>
      <c r="G1181" s="47" t="n"/>
      <c r="H1181" s="47" t="n"/>
      <c r="I1181" s="47" t="n"/>
      <c r="J1181" s="47">
        <f>PRODUCT(F1181:I1181)</f>
        <v/>
      </c>
      <c r="K1181" s="20" t="n">
        <v>1</v>
      </c>
      <c r="L1181" s="47" t="n">
        <v/>
      </c>
      <c r="M1181" s="47" t="n">
        <v/>
      </c>
      <c r="N1181" s="47" t="n">
        <v/>
      </c>
      <c r="O1181" s="47" t="n">
        <v/>
      </c>
      <c r="P1181" s="88" t="n"/>
    </row>
    <row r="1182" customFormat="1" s="2">
      <c r="A1182" s="6" t="n"/>
      <c r="B1182" s="4" t="n"/>
      <c r="C1182" s="4" t="n"/>
      <c r="D1182" s="7" t="n"/>
      <c r="E1182" s="17" t="n"/>
      <c r="F1182" s="20" t="n"/>
      <c r="G1182" s="47" t="n"/>
      <c r="H1182" s="47" t="n"/>
      <c r="I1182" s="47" t="n"/>
      <c r="J1182" s="47">
        <f>PRODUCT(F1182:I1182)</f>
        <v/>
      </c>
      <c r="K1182" s="20" t="n">
        <v/>
      </c>
      <c r="L1182" s="47" t="n">
        <v/>
      </c>
      <c r="M1182" s="47" t="n">
        <v/>
      </c>
      <c r="N1182" s="47" t="n">
        <v/>
      </c>
      <c r="O1182" s="47" t="n">
        <v/>
      </c>
      <c r="P1182" s="88" t="n"/>
    </row>
    <row r="1183" customFormat="1" s="2">
      <c r="A1183" s="112" t="n"/>
      <c r="B1183" s="112" t="n"/>
      <c r="C1183" s="112" t="inlineStr">
        <is>
          <t>Total Qty</t>
        </is>
      </c>
      <c r="D1183" s="120" t="n"/>
      <c r="E1183" s="121" t="n"/>
      <c r="F1183" s="123" t="n"/>
      <c r="G1183" s="123" t="n"/>
      <c r="H1183" s="123" t="n"/>
      <c r="I1183" s="123" t="n"/>
      <c r="J1183" s="123">
        <f>SUM(J1180:J1182)</f>
        <v/>
      </c>
      <c r="K1183" s="123" t="n">
        <v/>
      </c>
      <c r="L1183" s="123" t="n">
        <v/>
      </c>
      <c r="M1183" s="123" t="n">
        <v/>
      </c>
      <c r="N1183" s="123" t="n">
        <v/>
      </c>
      <c r="O1183" s="123" t="n">
        <v/>
      </c>
      <c r="P1183" s="88" t="n"/>
    </row>
    <row r="1184" customFormat="1" s="2">
      <c r="A1184" s="6" t="n"/>
      <c r="B1184" s="4" t="n"/>
      <c r="C1184" s="4" t="n"/>
      <c r="D1184" s="7" t="n"/>
      <c r="E1184" s="17" t="n"/>
      <c r="F1184" s="20" t="n"/>
      <c r="G1184" s="47" t="n"/>
      <c r="H1184" s="47" t="n"/>
      <c r="I1184" s="47" t="n"/>
      <c r="J1184" s="47" t="n"/>
      <c r="K1184" s="20" t="n">
        <v/>
      </c>
      <c r="L1184" s="47" t="n">
        <v/>
      </c>
      <c r="M1184" s="47" t="n">
        <v/>
      </c>
      <c r="N1184" s="47" t="n">
        <v/>
      </c>
      <c r="O1184" s="47" t="n">
        <v/>
      </c>
      <c r="P1184" s="88" t="n"/>
    </row>
    <row r="1185" ht="124.2" customFormat="1" customHeight="1" s="2">
      <c r="A1185" s="6">
        <f>A1179+1</f>
        <v/>
      </c>
      <c r="B1185" s="4" t="inlineStr">
        <is>
          <t>Pedestal unit E10</t>
        </is>
      </c>
      <c r="C1185"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D1185" s="7" t="inlineStr">
        <is>
          <t>nos</t>
        </is>
      </c>
      <c r="E1185" s="17" t="n"/>
      <c r="F1185" s="20" t="n"/>
      <c r="G1185" s="47" t="n"/>
      <c r="H1185" s="47" t="n"/>
      <c r="I1185" s="47" t="n"/>
      <c r="J1185" s="47" t="n"/>
      <c r="K1185" s="20" t="n">
        <v/>
      </c>
      <c r="L1185" s="47" t="n">
        <v/>
      </c>
      <c r="M1185" s="47" t="n">
        <v/>
      </c>
      <c r="N1185" s="47" t="n">
        <v/>
      </c>
      <c r="O1185" s="47" t="n">
        <v/>
      </c>
      <c r="P1185" s="88" t="n"/>
    </row>
    <row r="1186" customFormat="1" s="2">
      <c r="A1186" s="6" t="n"/>
      <c r="B1186" s="4" t="n"/>
      <c r="C1186" s="14" t="inlineStr">
        <is>
          <t>Back Office Area</t>
        </is>
      </c>
      <c r="D1186" s="7" t="n"/>
      <c r="E1186" s="17" t="n"/>
      <c r="F1186" s="16" t="n"/>
      <c r="G1186" s="16" t="n"/>
      <c r="H1186" s="16" t="n"/>
      <c r="I1186" s="16" t="n"/>
      <c r="J1186" s="16">
        <f>PRODUCT(F1186:I1186)</f>
        <v/>
      </c>
      <c r="K1186" s="16" t="n">
        <v/>
      </c>
      <c r="L1186" s="16" t="n">
        <v/>
      </c>
      <c r="M1186" s="16" t="n">
        <v/>
      </c>
      <c r="N1186" s="16" t="n">
        <v/>
      </c>
      <c r="O1186" s="16" t="n">
        <v/>
      </c>
      <c r="P1186" s="88" t="n"/>
    </row>
    <row r="1187" customFormat="1" s="2">
      <c r="A1187" s="6" t="n"/>
      <c r="B1187" s="4" t="n"/>
      <c r="C1187" s="4" t="inlineStr">
        <is>
          <t>Padestal</t>
        </is>
      </c>
      <c r="D1187" s="7" t="inlineStr">
        <is>
          <t>Nos</t>
        </is>
      </c>
      <c r="E1187" s="17" t="n"/>
      <c r="F1187" s="16" t="n">
        <v>6</v>
      </c>
      <c r="G1187" s="16" t="n"/>
      <c r="H1187" s="16" t="n"/>
      <c r="I1187" s="16" t="n"/>
      <c r="J1187" s="16">
        <f>PRODUCT(F1187:I1187)</f>
        <v/>
      </c>
      <c r="K1187" s="16" t="n">
        <v>6</v>
      </c>
      <c r="L1187" s="16" t="n">
        <v/>
      </c>
      <c r="M1187" s="16" t="n">
        <v/>
      </c>
      <c r="N1187" s="16" t="n">
        <v/>
      </c>
      <c r="O1187" s="16" t="n">
        <v/>
      </c>
      <c r="P1187" s="88" t="n"/>
    </row>
    <row r="1188" customFormat="1" s="2">
      <c r="A1188" s="6" t="n"/>
      <c r="B1188" s="4" t="n"/>
      <c r="C1188" s="4" t="n"/>
      <c r="D1188" s="7" t="n"/>
      <c r="E1188" s="17" t="n"/>
      <c r="F1188" s="16" t="n"/>
      <c r="G1188" s="16" t="n"/>
      <c r="H1188" s="16" t="n"/>
      <c r="I1188" s="16" t="n"/>
      <c r="J1188" s="16">
        <f>PRODUCT(F1188:I1188)</f>
        <v/>
      </c>
      <c r="K1188" s="16" t="n">
        <v/>
      </c>
      <c r="L1188" s="16" t="n">
        <v/>
      </c>
      <c r="M1188" s="16" t="n">
        <v/>
      </c>
      <c r="N1188" s="16" t="n">
        <v/>
      </c>
      <c r="O1188" s="16" t="n">
        <v/>
      </c>
      <c r="P1188" s="88" t="n"/>
    </row>
    <row r="1189" customFormat="1" s="2">
      <c r="A1189" s="6" t="n"/>
      <c r="B1189" s="6" t="n"/>
      <c r="C1189" s="112" t="inlineStr">
        <is>
          <t>Total Qty</t>
        </is>
      </c>
      <c r="D1189" s="7" t="n"/>
      <c r="E1189" s="17" t="n"/>
      <c r="F1189" s="16" t="n"/>
      <c r="G1189" s="16" t="n"/>
      <c r="H1189" s="16" t="n"/>
      <c r="I1189" s="16" t="n"/>
      <c r="J1189" s="26">
        <f>SUM(J1186:J1188)</f>
        <v/>
      </c>
      <c r="K1189" s="16" t="n">
        <v/>
      </c>
      <c r="L1189" s="16" t="n">
        <v/>
      </c>
      <c r="M1189" s="16" t="n">
        <v/>
      </c>
      <c r="N1189" s="16" t="n">
        <v/>
      </c>
      <c r="O1189" s="26" t="n">
        <v/>
      </c>
      <c r="P1189" s="88" t="n"/>
    </row>
    <row r="1190" customFormat="1" s="2">
      <c r="A1190" s="6" t="n"/>
      <c r="B1190" s="4" t="n"/>
      <c r="C1190" s="4" t="n"/>
      <c r="D1190" s="7" t="n"/>
      <c r="E1190" s="17" t="n"/>
      <c r="F1190" s="16" t="n"/>
      <c r="G1190" s="16" t="n"/>
      <c r="H1190" s="16" t="n"/>
      <c r="I1190" s="16" t="n"/>
      <c r="J1190" s="16" t="n"/>
      <c r="K1190" s="16" t="n">
        <v/>
      </c>
      <c r="L1190" s="16" t="n">
        <v/>
      </c>
      <c r="M1190" s="16" t="n">
        <v/>
      </c>
      <c r="N1190" s="16" t="n">
        <v/>
      </c>
      <c r="O1190" s="16" t="n">
        <v/>
      </c>
      <c r="P1190" s="88" t="n"/>
    </row>
    <row r="1191" ht="220.8" customFormat="1" customHeight="1" s="2">
      <c r="A1191" s="6">
        <f>A1185+1</f>
        <v/>
      </c>
      <c r="B1191" s="4" t="inlineStr">
        <is>
          <t>9 inch thick  walls in Siporex with both side plaster</t>
        </is>
      </c>
      <c r="C1191"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D1191" s="7" t="n"/>
      <c r="E1191" s="17" t="n"/>
      <c r="F1191" s="20" t="n"/>
      <c r="G1191" s="47" t="n"/>
      <c r="H1191" s="47" t="n"/>
      <c r="I1191" s="47" t="n"/>
      <c r="J1191" s="47" t="n"/>
      <c r="K1191" s="20" t="n">
        <v/>
      </c>
      <c r="L1191" s="47" t="n">
        <v/>
      </c>
      <c r="M1191" s="47" t="n">
        <v/>
      </c>
      <c r="N1191" s="47" t="n">
        <v/>
      </c>
      <c r="O1191" s="47" t="n">
        <v/>
      </c>
      <c r="P1191" s="88" t="n"/>
    </row>
    <row r="1192" customFormat="1" s="2">
      <c r="A1192" s="6" t="n"/>
      <c r="B1192" s="4" t="n"/>
      <c r="C1192" s="14" t="inlineStr">
        <is>
          <t>Gents Toilet</t>
        </is>
      </c>
      <c r="D1192" s="7" t="n"/>
      <c r="E1192" s="17" t="n"/>
      <c r="F1192" s="20" t="n"/>
      <c r="G1192" s="47" t="n"/>
      <c r="H1192" s="47" t="n"/>
      <c r="I1192" s="47" t="n"/>
      <c r="J1192" s="47">
        <f>PRODUCT(F1192:I1192)</f>
        <v/>
      </c>
      <c r="K1192" s="20" t="n">
        <v/>
      </c>
      <c r="L1192" s="47" t="n">
        <v/>
      </c>
      <c r="M1192" s="47" t="n">
        <v/>
      </c>
      <c r="N1192" s="47" t="n">
        <v/>
      </c>
      <c r="O1192" s="47" t="n">
        <v/>
      </c>
      <c r="P1192" s="88" t="n"/>
    </row>
    <row r="1193" customFormat="1" s="2">
      <c r="A1193" s="6" t="n"/>
      <c r="B1193" s="4" t="n"/>
      <c r="C1193" s="4" t="inlineStr">
        <is>
          <t>Ledge Wall</t>
        </is>
      </c>
      <c r="D1193" s="7" t="inlineStr">
        <is>
          <t>Sq.ft</t>
        </is>
      </c>
      <c r="E1193" s="17" t="n"/>
      <c r="F1193" s="20" t="n">
        <v>1</v>
      </c>
      <c r="G1193" s="47" t="n">
        <v>4.08</v>
      </c>
      <c r="H1193" s="47" t="n"/>
      <c r="I1193" s="47" t="n">
        <v>4</v>
      </c>
      <c r="J1193" s="47">
        <f>PRODUCT(F1193:I1193)</f>
        <v/>
      </c>
      <c r="K1193" s="20" t="n">
        <v>1</v>
      </c>
      <c r="L1193" s="47" t="n">
        <v/>
      </c>
      <c r="M1193" s="47" t="n">
        <v/>
      </c>
      <c r="N1193" s="47" t="n">
        <v/>
      </c>
      <c r="O1193" s="47" t="n">
        <v/>
      </c>
      <c r="P1193" s="88" t="n"/>
    </row>
    <row r="1194" customFormat="1" s="2">
      <c r="A1194" s="6" t="n"/>
      <c r="B1194" s="4" t="n"/>
      <c r="C1194" s="4" t="n"/>
      <c r="D1194" s="7" t="n"/>
      <c r="E1194" s="17" t="n"/>
      <c r="F1194" s="20" t="n"/>
      <c r="G1194" s="47" t="n"/>
      <c r="H1194" s="47" t="n"/>
      <c r="I1194" s="47" t="n"/>
      <c r="J1194" s="47">
        <f>PRODUCT(F1194:I1194)</f>
        <v/>
      </c>
      <c r="K1194" s="20" t="n">
        <v/>
      </c>
      <c r="L1194" s="47" t="n">
        <v/>
      </c>
      <c r="M1194" s="47" t="n">
        <v/>
      </c>
      <c r="N1194" s="47" t="n">
        <v/>
      </c>
      <c r="O1194" s="47" t="n">
        <v/>
      </c>
      <c r="P1194" s="88" t="n"/>
    </row>
    <row r="1195" customFormat="1" s="2">
      <c r="A1195" s="6" t="n"/>
      <c r="B1195" s="4" t="n"/>
      <c r="C1195" s="14" t="inlineStr">
        <is>
          <t>Ladies Toilet</t>
        </is>
      </c>
      <c r="D1195" s="7" t="n"/>
      <c r="E1195" s="17" t="n"/>
      <c r="F1195" s="20" t="n"/>
      <c r="G1195" s="47" t="n"/>
      <c r="H1195" s="47" t="n"/>
      <c r="I1195" s="47" t="n"/>
      <c r="J1195" s="47">
        <f>PRODUCT(F1195:I1195)</f>
        <v/>
      </c>
      <c r="K1195" s="20" t="n">
        <v/>
      </c>
      <c r="L1195" s="47" t="n">
        <v/>
      </c>
      <c r="M1195" s="47" t="n">
        <v/>
      </c>
      <c r="N1195" s="47" t="n">
        <v/>
      </c>
      <c r="O1195" s="47" t="n">
        <v/>
      </c>
      <c r="P1195" s="88" t="n"/>
    </row>
    <row r="1196" customFormat="1" s="2">
      <c r="A1196" s="6" t="n"/>
      <c r="B1196" s="4" t="n"/>
      <c r="C1196" s="4" t="inlineStr">
        <is>
          <t>Ledge Wall</t>
        </is>
      </c>
      <c r="D1196" s="7" t="inlineStr">
        <is>
          <t>Sq.ft</t>
        </is>
      </c>
      <c r="E1196" s="17" t="n"/>
      <c r="F1196" s="20" t="n">
        <v>1</v>
      </c>
      <c r="G1196" s="47" t="n">
        <v>3.82</v>
      </c>
      <c r="H1196" s="47" t="n"/>
      <c r="I1196" s="47" t="n">
        <v>4</v>
      </c>
      <c r="J1196" s="47">
        <f>PRODUCT(F1196:I1196)</f>
        <v/>
      </c>
      <c r="K1196" s="20" t="n">
        <v>1</v>
      </c>
      <c r="L1196" s="47" t="n">
        <v/>
      </c>
      <c r="M1196" s="47" t="n">
        <v/>
      </c>
      <c r="N1196" s="47" t="n">
        <v/>
      </c>
      <c r="O1196" s="47" t="n">
        <v/>
      </c>
      <c r="P1196" s="88" t="n"/>
    </row>
    <row r="1197" customFormat="1" s="2">
      <c r="A1197" s="6" t="n"/>
      <c r="B1197" s="4" t="n"/>
      <c r="C1197" s="4" t="n"/>
      <c r="D1197" s="7" t="n"/>
      <c r="E1197" s="17" t="n"/>
      <c r="F1197" s="20" t="n"/>
      <c r="G1197" s="47" t="n"/>
      <c r="H1197" s="47" t="n"/>
      <c r="I1197" s="47" t="n"/>
      <c r="J1197" s="47">
        <f>PRODUCT(F1197:I1197)</f>
        <v/>
      </c>
      <c r="K1197" s="20" t="n">
        <v/>
      </c>
      <c r="L1197" s="47" t="n">
        <v/>
      </c>
      <c r="M1197" s="47" t="n">
        <v/>
      </c>
      <c r="N1197" s="47" t="n">
        <v/>
      </c>
      <c r="O1197" s="47" t="n">
        <v/>
      </c>
      <c r="P1197" s="88" t="n"/>
    </row>
    <row r="1198" customFormat="1" s="2">
      <c r="A1198" s="112" t="n"/>
      <c r="B1198" s="112" t="n"/>
      <c r="C1198" s="112" t="inlineStr">
        <is>
          <t>Total Qty</t>
        </is>
      </c>
      <c r="D1198" s="120" t="n"/>
      <c r="E1198" s="121" t="n"/>
      <c r="F1198" s="123" t="n"/>
      <c r="G1198" s="123" t="n"/>
      <c r="H1198" s="123" t="n"/>
      <c r="I1198" s="123" t="n"/>
      <c r="J1198" s="123">
        <f>ROUND(SUM(J1192:J1197),)</f>
        <v/>
      </c>
      <c r="K1198" s="123" t="n">
        <v/>
      </c>
      <c r="L1198" s="123" t="n">
        <v/>
      </c>
      <c r="M1198" s="123" t="n">
        <v/>
      </c>
      <c r="N1198" s="123" t="n">
        <v/>
      </c>
      <c r="O1198" s="123" t="n">
        <v/>
      </c>
      <c r="P1198" s="88" t="n"/>
    </row>
    <row r="1199" customFormat="1" s="2">
      <c r="A1199" s="6" t="n"/>
      <c r="B1199" s="4" t="n"/>
      <c r="C1199" s="4" t="n"/>
      <c r="D1199" s="7" t="n"/>
      <c r="E1199" s="17" t="n"/>
      <c r="F1199" s="20" t="n"/>
      <c r="G1199" s="47" t="n"/>
      <c r="H1199" s="47" t="n"/>
      <c r="I1199" s="47" t="n"/>
      <c r="J1199" s="47" t="n"/>
      <c r="K1199" s="20" t="n">
        <v/>
      </c>
      <c r="L1199" s="47" t="n">
        <v/>
      </c>
      <c r="M1199" s="47" t="n">
        <v/>
      </c>
      <c r="N1199" s="47" t="n">
        <v/>
      </c>
      <c r="O1199" s="47" t="n">
        <v/>
      </c>
      <c r="P1199" s="88" t="n"/>
    </row>
    <row r="1200" ht="228.6" customFormat="1" customHeight="1" s="2">
      <c r="A1200" s="6">
        <f>A1191+1</f>
        <v/>
      </c>
      <c r="B1200" s="4" t="inlineStr">
        <is>
          <t>9 inch thk. RCC for Strong Room walls with both side plaster</t>
        </is>
      </c>
      <c r="C1200"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D1200" s="7" t="n"/>
      <c r="E1200" s="17" t="n"/>
      <c r="F1200" s="20" t="n"/>
      <c r="G1200" s="47" t="n"/>
      <c r="H1200" s="47" t="n"/>
      <c r="I1200" s="47" t="n"/>
      <c r="J1200" s="47" t="n"/>
      <c r="K1200" s="20" t="n">
        <v/>
      </c>
      <c r="L1200" s="47" t="n">
        <v/>
      </c>
      <c r="M1200" s="47" t="n">
        <v/>
      </c>
      <c r="N1200" s="47" t="n">
        <v/>
      </c>
      <c r="O1200" s="47" t="n">
        <v/>
      </c>
      <c r="P1200" s="88" t="n"/>
    </row>
    <row r="1201" customFormat="1" s="2">
      <c r="A1201" s="6" t="n"/>
      <c r="B1201" s="4" t="n"/>
      <c r="C1201" s="14" t="inlineStr">
        <is>
          <t>Strong Room</t>
        </is>
      </c>
      <c r="D1201" s="7" t="n"/>
      <c r="E1201" s="17" t="n"/>
      <c r="F1201" s="20" t="n"/>
      <c r="G1201" s="47" t="n"/>
      <c r="H1201" s="47" t="n"/>
      <c r="I1201" s="47" t="n"/>
      <c r="J1201" s="47">
        <f>PRODUCT(F1201:I1201)</f>
        <v/>
      </c>
      <c r="K1201" s="20" t="n">
        <v/>
      </c>
      <c r="L1201" s="47" t="n">
        <v/>
      </c>
      <c r="M1201" s="47" t="n">
        <v/>
      </c>
      <c r="N1201" s="47" t="n">
        <v/>
      </c>
      <c r="O1201" s="47" t="n">
        <v/>
      </c>
      <c r="P1201" s="88" t="n"/>
    </row>
    <row r="1202" customFormat="1" s="2">
      <c r="A1202" s="6" t="n"/>
      <c r="B1202" s="4" t="n"/>
      <c r="C1202" s="4" t="inlineStr">
        <is>
          <t>Left Side Wall</t>
        </is>
      </c>
      <c r="D1202" s="7" t="inlineStr">
        <is>
          <t>Cft</t>
        </is>
      </c>
      <c r="E1202" s="17" t="n"/>
      <c r="F1202" s="20" t="n">
        <v>1</v>
      </c>
      <c r="G1202" s="47">
        <f>11.04+1</f>
        <v/>
      </c>
      <c r="H1202" s="47" t="n">
        <v>0.5600000000000001</v>
      </c>
      <c r="I1202" s="47" t="n">
        <v>10.5</v>
      </c>
      <c r="J1202" s="47">
        <f>PRODUCT(F1202:I1202)</f>
        <v/>
      </c>
      <c r="K1202" s="20" t="n">
        <v>1</v>
      </c>
      <c r="L1202" s="47" t="n">
        <v/>
      </c>
      <c r="M1202" s="47" t="n">
        <v/>
      </c>
      <c r="N1202" s="47" t="n">
        <v/>
      </c>
      <c r="O1202" s="47" t="n">
        <v/>
      </c>
      <c r="P1202" s="88" t="n"/>
    </row>
    <row r="1203" customFormat="1" s="2">
      <c r="A1203" s="6" t="n"/>
      <c r="B1203" s="4" t="n"/>
      <c r="C1203" s="4" t="inlineStr">
        <is>
          <t>Front Side Wall</t>
        </is>
      </c>
      <c r="D1203" s="7" t="inlineStr">
        <is>
          <t>Cft</t>
        </is>
      </c>
      <c r="E1203" s="17" t="n"/>
      <c r="F1203" s="20" t="n">
        <v>1</v>
      </c>
      <c r="G1203" s="47" t="n">
        <v>13.45</v>
      </c>
      <c r="H1203" s="47" t="n">
        <v>0.5600000000000001</v>
      </c>
      <c r="I1203" s="47" t="n">
        <v>10.5</v>
      </c>
      <c r="J1203" s="47">
        <f>PRODUCT(F1203:I1203)</f>
        <v/>
      </c>
      <c r="K1203" s="20" t="n">
        <v>1</v>
      </c>
      <c r="L1203" s="47" t="n">
        <v/>
      </c>
      <c r="M1203" s="47" t="n">
        <v/>
      </c>
      <c r="N1203" s="47" t="n">
        <v/>
      </c>
      <c r="O1203" s="47" t="n">
        <v/>
      </c>
      <c r="P1203" s="88" t="n"/>
    </row>
    <row r="1204" customFormat="1" s="2">
      <c r="A1204" s="6" t="n"/>
      <c r="B1204" s="4" t="n"/>
      <c r="C1204" s="4" t="inlineStr">
        <is>
          <t>Door Side Wall</t>
        </is>
      </c>
      <c r="D1204" s="7" t="inlineStr">
        <is>
          <t>Cft</t>
        </is>
      </c>
      <c r="E1204" s="17" t="n"/>
      <c r="F1204" s="20" t="n">
        <v>1</v>
      </c>
      <c r="G1204" s="47" t="n">
        <v>3.25</v>
      </c>
      <c r="H1204" s="47" t="n">
        <v>0.5600000000000001</v>
      </c>
      <c r="I1204" s="47" t="n">
        <v>10.5</v>
      </c>
      <c r="J1204" s="47">
        <f>PRODUCT(F1204:I1204)</f>
        <v/>
      </c>
      <c r="K1204" s="20" t="n">
        <v>1</v>
      </c>
      <c r="L1204" s="47" t="n">
        <v/>
      </c>
      <c r="M1204" s="47" t="n">
        <v/>
      </c>
      <c r="N1204" s="47" t="n">
        <v/>
      </c>
      <c r="O1204" s="47" t="n">
        <v/>
      </c>
      <c r="P1204" s="88" t="n"/>
    </row>
    <row r="1205" customFormat="1" s="2">
      <c r="A1205" s="6" t="n"/>
      <c r="B1205" s="4" t="n"/>
      <c r="C1205" s="4" t="inlineStr">
        <is>
          <t>Door Side Wall</t>
        </is>
      </c>
      <c r="D1205" s="7" t="inlineStr">
        <is>
          <t>Cft</t>
        </is>
      </c>
      <c r="E1205" s="17" t="n"/>
      <c r="F1205" s="20" t="n">
        <v>1</v>
      </c>
      <c r="G1205" s="47" t="n">
        <v>1.5</v>
      </c>
      <c r="H1205" s="47" t="n">
        <v>0.5600000000000001</v>
      </c>
      <c r="I1205" s="47" t="n">
        <v>10.5</v>
      </c>
      <c r="J1205" s="47">
        <f>PRODUCT(F1205:I1205)</f>
        <v/>
      </c>
      <c r="K1205" s="20" t="n">
        <v>1</v>
      </c>
      <c r="L1205" s="47" t="n">
        <v/>
      </c>
      <c r="M1205" s="47" t="n">
        <v/>
      </c>
      <c r="N1205" s="47" t="n">
        <v/>
      </c>
      <c r="O1205" s="47" t="n">
        <v/>
      </c>
      <c r="P1205" s="88" t="n"/>
    </row>
    <row r="1206" customFormat="1" s="2">
      <c r="A1206" s="6" t="n"/>
      <c r="B1206" s="4" t="n"/>
      <c r="C1206" s="4" t="inlineStr">
        <is>
          <t>Right Side Wall</t>
        </is>
      </c>
      <c r="D1206" s="7" t="inlineStr">
        <is>
          <t>Cft</t>
        </is>
      </c>
      <c r="E1206" s="17" t="n"/>
      <c r="F1206" s="20" t="n">
        <v>1</v>
      </c>
      <c r="G1206" s="47">
        <f>11.58+0.5+0.75</f>
        <v/>
      </c>
      <c r="H1206" s="47" t="n">
        <v>0.83</v>
      </c>
      <c r="I1206" s="47" t="n">
        <v>10.5</v>
      </c>
      <c r="J1206" s="47">
        <f>PRODUCT(F1206:I1206)</f>
        <v/>
      </c>
      <c r="K1206" s="20" t="n">
        <v>1</v>
      </c>
      <c r="L1206" s="47" t="n">
        <v/>
      </c>
      <c r="M1206" s="47" t="n">
        <v/>
      </c>
      <c r="N1206" s="47" t="n">
        <v/>
      </c>
      <c r="O1206" s="47" t="n">
        <v/>
      </c>
      <c r="P1206" s="88" t="n"/>
    </row>
    <row r="1207" customFormat="1" s="2">
      <c r="A1207" s="6" t="n"/>
      <c r="B1207" s="4" t="n"/>
      <c r="C1207" s="4" t="inlineStr">
        <is>
          <t>Door Side Wall</t>
        </is>
      </c>
      <c r="D1207" s="7" t="inlineStr">
        <is>
          <t>Cft</t>
        </is>
      </c>
      <c r="E1207" s="17" t="n"/>
      <c r="F1207" s="20" t="n">
        <v>1</v>
      </c>
      <c r="G1207" s="47">
        <f>13.66+0.75-3.08</f>
        <v/>
      </c>
      <c r="H1207" s="47" t="n">
        <v>0.83</v>
      </c>
      <c r="I1207" s="47" t="n">
        <v>10.5</v>
      </c>
      <c r="J1207" s="47">
        <f>PRODUCT(F1207:I1207)</f>
        <v/>
      </c>
      <c r="K1207" s="20" t="n">
        <v>1</v>
      </c>
      <c r="L1207" s="47" t="n">
        <v/>
      </c>
      <c r="M1207" s="47" t="n">
        <v/>
      </c>
      <c r="N1207" s="47" t="n">
        <v/>
      </c>
      <c r="O1207" s="47" t="n">
        <v/>
      </c>
      <c r="P1207" s="88" t="n"/>
    </row>
    <row r="1208" customFormat="1" s="2">
      <c r="A1208" s="6" t="n"/>
      <c r="B1208" s="4" t="n"/>
      <c r="C1208" s="4" t="inlineStr">
        <is>
          <t>Door Area Less ( - )</t>
        </is>
      </c>
      <c r="D1208" s="7" t="inlineStr">
        <is>
          <t>Cft</t>
        </is>
      </c>
      <c r="E1208" s="17" t="n"/>
      <c r="F1208" s="20" t="n">
        <v>-1</v>
      </c>
      <c r="G1208" s="47" t="n">
        <v>3.5</v>
      </c>
      <c r="H1208" s="47" t="n">
        <v>0.83</v>
      </c>
      <c r="I1208" s="47" t="n">
        <v>6.84</v>
      </c>
      <c r="J1208" s="47">
        <f>PRODUCT(F1208:I1208)</f>
        <v/>
      </c>
      <c r="K1208" s="20" t="n">
        <v>-1</v>
      </c>
      <c r="L1208" s="47" t="n">
        <v/>
      </c>
      <c r="M1208" s="47" t="n">
        <v/>
      </c>
      <c r="N1208" s="47" t="n">
        <v/>
      </c>
      <c r="O1208" s="47" t="n">
        <v/>
      </c>
      <c r="P1208" s="88" t="n"/>
    </row>
    <row r="1209" customFormat="1" s="2">
      <c r="A1209" s="6" t="n"/>
      <c r="B1209" s="4" t="n"/>
      <c r="C1209" s="4" t="inlineStr">
        <is>
          <t>Floor Area</t>
        </is>
      </c>
      <c r="D1209" s="7" t="inlineStr">
        <is>
          <t>Cft</t>
        </is>
      </c>
      <c r="E1209" s="17" t="n"/>
      <c r="F1209" s="20" t="n">
        <v>1</v>
      </c>
      <c r="G1209" s="47" t="n">
        <v>13.75</v>
      </c>
      <c r="H1209" s="47" t="n">
        <v>11.52</v>
      </c>
      <c r="I1209" s="47" t="n">
        <v>0.57</v>
      </c>
      <c r="J1209" s="47">
        <f>PRODUCT(F1209:I1209)</f>
        <v/>
      </c>
      <c r="K1209" s="20" t="n">
        <v>1</v>
      </c>
      <c r="L1209" s="47" t="n">
        <v/>
      </c>
      <c r="M1209" s="47" t="n">
        <v/>
      </c>
      <c r="N1209" s="47" t="n">
        <v/>
      </c>
      <c r="O1209" s="47" t="n">
        <v/>
      </c>
      <c r="P1209" s="88" t="n"/>
    </row>
    <row r="1210" customFormat="1" s="2">
      <c r="A1210" s="6" t="n"/>
      <c r="B1210" s="4" t="n"/>
      <c r="C1210" s="4" t="inlineStr">
        <is>
          <t>Otla</t>
        </is>
      </c>
      <c r="D1210" s="7" t="inlineStr">
        <is>
          <t>Cft</t>
        </is>
      </c>
      <c r="E1210" s="17" t="n"/>
      <c r="F1210" s="20" t="n">
        <v>1</v>
      </c>
      <c r="G1210" s="47" t="n">
        <v>11.02</v>
      </c>
      <c r="H1210" s="47" t="n">
        <v>2.25</v>
      </c>
      <c r="I1210" s="47" t="n">
        <v>0.57</v>
      </c>
      <c r="J1210" s="47">
        <f>PRODUCT(F1210:I1210)</f>
        <v/>
      </c>
      <c r="K1210" s="20" t="n">
        <v>1</v>
      </c>
      <c r="L1210" s="47" t="n">
        <v/>
      </c>
      <c r="M1210" s="47" t="n">
        <v/>
      </c>
      <c r="N1210" s="47" t="n">
        <v/>
      </c>
      <c r="O1210" s="47" t="n">
        <v/>
      </c>
      <c r="P1210" s="88" t="n"/>
    </row>
    <row r="1211" customFormat="1" s="2">
      <c r="A1211" s="6" t="n"/>
      <c r="B1211" s="4" t="n"/>
      <c r="C1211" s="4" t="inlineStr">
        <is>
          <t>Otla</t>
        </is>
      </c>
      <c r="D1211" s="7" t="inlineStr">
        <is>
          <t>Cft</t>
        </is>
      </c>
      <c r="E1211" s="17" t="n"/>
      <c r="F1211" s="20" t="n">
        <v>1</v>
      </c>
      <c r="G1211" s="47" t="n">
        <v>8.550000000000001</v>
      </c>
      <c r="H1211" s="47" t="n">
        <v>2.25</v>
      </c>
      <c r="I1211" s="47" t="n">
        <v>0.57</v>
      </c>
      <c r="J1211" s="47">
        <f>PRODUCT(F1211:I1211)</f>
        <v/>
      </c>
      <c r="K1211" s="20" t="n">
        <v>1</v>
      </c>
      <c r="L1211" s="47" t="n">
        <v/>
      </c>
      <c r="M1211" s="47" t="n">
        <v/>
      </c>
      <c r="N1211" s="47" t="n">
        <v/>
      </c>
      <c r="O1211" s="47" t="n">
        <v/>
      </c>
      <c r="P1211" s="88" t="n"/>
    </row>
    <row r="1212" customFormat="1" s="2">
      <c r="A1212" s="6" t="n"/>
      <c r="B1212" s="4" t="n"/>
      <c r="C1212" s="4" t="n"/>
      <c r="D1212" s="7" t="n"/>
      <c r="E1212" s="17" t="n"/>
      <c r="F1212" s="20" t="n"/>
      <c r="G1212" s="47" t="n"/>
      <c r="H1212" s="47" t="n"/>
      <c r="I1212" s="47" t="n"/>
      <c r="J1212" s="47" t="n"/>
      <c r="K1212" s="20" t="n">
        <v/>
      </c>
      <c r="L1212" s="47" t="n">
        <v/>
      </c>
      <c r="M1212" s="47" t="n">
        <v/>
      </c>
      <c r="N1212" s="47" t="n">
        <v/>
      </c>
      <c r="O1212" s="47" t="n">
        <v/>
      </c>
      <c r="P1212" s="88" t="n"/>
    </row>
    <row r="1213" customFormat="1" s="2">
      <c r="A1213" s="112" t="n"/>
      <c r="B1213" s="112" t="n"/>
      <c r="C1213" s="112" t="inlineStr">
        <is>
          <t>Total Qty</t>
        </is>
      </c>
      <c r="D1213" s="120" t="n"/>
      <c r="E1213" s="121" t="n"/>
      <c r="F1213" s="123" t="n"/>
      <c r="G1213" s="123" t="n"/>
      <c r="H1213" s="123" t="n"/>
      <c r="I1213" s="123" t="n"/>
      <c r="J1213" s="123">
        <f>ROUND(SUM(J1201:J1212),)</f>
        <v/>
      </c>
      <c r="K1213" s="123" t="n">
        <v/>
      </c>
      <c r="L1213" s="123" t="n">
        <v/>
      </c>
      <c r="M1213" s="123" t="n">
        <v/>
      </c>
      <c r="N1213" s="123" t="n">
        <v/>
      </c>
      <c r="O1213" s="123" t="n">
        <v/>
      </c>
      <c r="P1213" s="88" t="n"/>
    </row>
    <row r="1214" customFormat="1" s="2">
      <c r="A1214" s="6" t="n"/>
      <c r="B1214" s="4" t="n"/>
      <c r="C1214" s="4" t="n"/>
      <c r="D1214" s="7" t="n"/>
      <c r="E1214" s="17" t="n"/>
      <c r="F1214" s="20" t="n"/>
      <c r="G1214" s="47" t="n"/>
      <c r="H1214" s="47" t="n"/>
      <c r="I1214" s="47" t="n"/>
      <c r="J1214" s="47" t="n"/>
      <c r="K1214" s="20" t="n">
        <v/>
      </c>
      <c r="L1214" s="47" t="n">
        <v/>
      </c>
      <c r="M1214" s="47" t="n">
        <v/>
      </c>
      <c r="N1214" s="47" t="n">
        <v/>
      </c>
      <c r="O1214" s="47" t="n">
        <v/>
      </c>
      <c r="P1214" s="88" t="n"/>
    </row>
    <row r="1215" ht="27.6" customFormat="1" customHeight="1" s="2">
      <c r="A1215" s="6">
        <f>A1200+1</f>
        <v/>
      </c>
      <c r="B1215" s="4" t="inlineStr">
        <is>
          <t>Ply Panelling</t>
        </is>
      </c>
      <c r="C1215" s="4" t="inlineStr">
        <is>
          <t>Providing &amp; fixing Ply Panelling for Staircase &amp; ATM Ceiling</t>
        </is>
      </c>
      <c r="D1215" s="7" t="inlineStr">
        <is>
          <t>Sq.ft</t>
        </is>
      </c>
      <c r="E1215" s="17" t="n"/>
      <c r="F1215" s="20" t="n"/>
      <c r="G1215" s="47" t="n"/>
      <c r="H1215" s="47" t="n"/>
      <c r="I1215" s="47" t="n"/>
      <c r="J1215" s="47" t="n"/>
      <c r="K1215" s="20" t="n">
        <v/>
      </c>
      <c r="L1215" s="47" t="n">
        <v/>
      </c>
      <c r="M1215" s="47" t="n">
        <v/>
      </c>
      <c r="N1215" s="47" t="n">
        <v/>
      </c>
      <c r="O1215" s="47" t="n">
        <v/>
      </c>
      <c r="P1215" s="88" t="n"/>
    </row>
    <row r="1216" customFormat="1" s="2">
      <c r="A1216" s="6" t="n"/>
      <c r="B1216" s="4" t="n"/>
      <c r="C1216" s="14" t="inlineStr">
        <is>
          <t>ATM Loft Side</t>
        </is>
      </c>
      <c r="D1216" s="7" t="n"/>
      <c r="E1216" s="17" t="n"/>
      <c r="F1216" s="20" t="n"/>
      <c r="G1216" s="47" t="n"/>
      <c r="H1216" s="47" t="n"/>
      <c r="I1216" s="47" t="n"/>
      <c r="J1216" s="47">
        <f>PRODUCT(F1216:I1216)</f>
        <v/>
      </c>
      <c r="K1216" s="20" t="n">
        <v/>
      </c>
      <c r="L1216" s="47" t="n">
        <v/>
      </c>
      <c r="M1216" s="47" t="n">
        <v/>
      </c>
      <c r="N1216" s="47" t="n">
        <v/>
      </c>
      <c r="O1216" s="47" t="n">
        <v/>
      </c>
      <c r="P1216" s="88" t="n"/>
    </row>
    <row r="1217" customFormat="1" s="2">
      <c r="A1217" s="6" t="n"/>
      <c r="B1217" s="4" t="n"/>
      <c r="C1217" s="4" t="inlineStr">
        <is>
          <t>Ply Panelling</t>
        </is>
      </c>
      <c r="D1217" s="7" t="inlineStr">
        <is>
          <t>Sq.ft</t>
        </is>
      </c>
      <c r="E1217" s="17" t="n"/>
      <c r="F1217" s="20" t="n">
        <v>1</v>
      </c>
      <c r="G1217" s="47" t="n">
        <v>11.5</v>
      </c>
      <c r="H1217" s="47" t="n">
        <v>7.5</v>
      </c>
      <c r="I1217" s="47" t="n"/>
      <c r="J1217" s="47">
        <f>PRODUCT(F1217:I1217)</f>
        <v/>
      </c>
      <c r="K1217" s="20" t="n">
        <v>1</v>
      </c>
      <c r="L1217" s="47" t="n">
        <v/>
      </c>
      <c r="M1217" s="47" t="n">
        <v/>
      </c>
      <c r="N1217" s="47" t="n">
        <v/>
      </c>
      <c r="O1217" s="47" t="n">
        <v/>
      </c>
      <c r="P1217" s="88" t="n"/>
    </row>
    <row r="1218" customFormat="1" s="2">
      <c r="A1218" s="6" t="n"/>
      <c r="B1218" s="4" t="n"/>
      <c r="C1218" s="4" t="inlineStr">
        <is>
          <t xml:space="preserve">Step Up TO Down </t>
        </is>
      </c>
      <c r="D1218" s="7" t="n"/>
      <c r="E1218" s="17" t="n"/>
      <c r="F1218" s="20" t="n"/>
      <c r="G1218" s="47" t="n"/>
      <c r="H1218" s="47" t="n"/>
      <c r="I1218" s="47" t="n"/>
      <c r="J1218" s="47">
        <f>PRODUCT(F1218:I1218)</f>
        <v/>
      </c>
      <c r="K1218" s="20" t="n">
        <v/>
      </c>
      <c r="L1218" s="47" t="n">
        <v/>
      </c>
      <c r="M1218" s="47" t="n">
        <v/>
      </c>
      <c r="N1218" s="47" t="n">
        <v/>
      </c>
      <c r="O1218" s="47" t="n">
        <v/>
      </c>
      <c r="P1218" s="88" t="n"/>
    </row>
    <row r="1219" customFormat="1" s="2">
      <c r="A1219" s="6" t="n"/>
      <c r="B1219" s="4" t="n"/>
      <c r="C1219" s="4" t="inlineStr">
        <is>
          <t>Raiser</t>
        </is>
      </c>
      <c r="D1219" s="7" t="inlineStr">
        <is>
          <t>Sq.ft</t>
        </is>
      </c>
      <c r="E1219" s="17" t="n"/>
      <c r="F1219" s="20" t="n">
        <v>1</v>
      </c>
      <c r="G1219" s="47" t="n">
        <v>3.08</v>
      </c>
      <c r="H1219" s="47" t="n"/>
      <c r="I1219" s="47" t="n">
        <v>0.3</v>
      </c>
      <c r="J1219" s="47">
        <f>PRODUCT(F1219:I1219)</f>
        <v/>
      </c>
      <c r="K1219" s="20" t="n">
        <v>1</v>
      </c>
      <c r="L1219" s="47" t="n">
        <v/>
      </c>
      <c r="M1219" s="47" t="n">
        <v/>
      </c>
      <c r="N1219" s="47" t="n">
        <v/>
      </c>
      <c r="O1219" s="47" t="n">
        <v/>
      </c>
      <c r="P1219" s="88" t="n"/>
    </row>
    <row r="1220" customFormat="1" s="2">
      <c r="A1220" s="6" t="n"/>
      <c r="B1220" s="4" t="n"/>
      <c r="C1220" s="4" t="inlineStr">
        <is>
          <t>Trade</t>
        </is>
      </c>
      <c r="D1220" s="7" t="inlineStr">
        <is>
          <t>Sq.ft</t>
        </is>
      </c>
      <c r="E1220" s="17" t="n"/>
      <c r="F1220" s="20" t="n">
        <v>1</v>
      </c>
      <c r="G1220" s="47" t="n">
        <v>3.17</v>
      </c>
      <c r="H1220" s="47" t="n"/>
      <c r="I1220" s="47" t="n">
        <v>0.75</v>
      </c>
      <c r="J1220" s="47">
        <f>PRODUCT(F1220:I1220)</f>
        <v/>
      </c>
      <c r="K1220" s="20" t="n">
        <v>1</v>
      </c>
      <c r="L1220" s="47" t="n">
        <v/>
      </c>
      <c r="M1220" s="47" t="n">
        <v/>
      </c>
      <c r="N1220" s="47" t="n">
        <v/>
      </c>
      <c r="O1220" s="47" t="n">
        <v/>
      </c>
      <c r="P1220" s="88" t="n"/>
    </row>
    <row r="1221" customFormat="1" s="2">
      <c r="A1221" s="6" t="n"/>
      <c r="B1221" s="4" t="n"/>
      <c r="C1221" s="4" t="inlineStr">
        <is>
          <t>Raiser</t>
        </is>
      </c>
      <c r="D1221" s="7" t="inlineStr">
        <is>
          <t>Sq.ft</t>
        </is>
      </c>
      <c r="E1221" s="17" t="n"/>
      <c r="F1221" s="20" t="n">
        <v>1</v>
      </c>
      <c r="G1221" s="47" t="n">
        <v>3.08</v>
      </c>
      <c r="H1221" s="47" t="n"/>
      <c r="I1221" s="47" t="n">
        <v>0.54</v>
      </c>
      <c r="J1221" s="47">
        <f>PRODUCT(F1221:I1221)</f>
        <v/>
      </c>
      <c r="K1221" s="20" t="n">
        <v>1</v>
      </c>
      <c r="L1221" s="47" t="n">
        <v/>
      </c>
      <c r="M1221" s="47" t="n">
        <v/>
      </c>
      <c r="N1221" s="47" t="n">
        <v/>
      </c>
      <c r="O1221" s="47" t="n">
        <v/>
      </c>
      <c r="P1221" s="88" t="n"/>
    </row>
    <row r="1222" customFormat="1" s="2">
      <c r="A1222" s="6" t="n"/>
      <c r="B1222" s="4" t="n"/>
      <c r="C1222" s="4" t="inlineStr">
        <is>
          <t>Trade</t>
        </is>
      </c>
      <c r="D1222" s="7" t="inlineStr">
        <is>
          <t>Sq.ft</t>
        </is>
      </c>
      <c r="E1222" s="17" t="n"/>
      <c r="F1222" s="20" t="n">
        <v>1</v>
      </c>
      <c r="G1222" s="47" t="n">
        <v>3.17</v>
      </c>
      <c r="H1222" s="47" t="n"/>
      <c r="I1222" s="47" t="n">
        <v>0.75</v>
      </c>
      <c r="J1222" s="47">
        <f>PRODUCT(F1222:I1222)</f>
        <v/>
      </c>
      <c r="K1222" s="20" t="n">
        <v>1</v>
      </c>
      <c r="L1222" s="47" t="n">
        <v/>
      </c>
      <c r="M1222" s="47" t="n">
        <v/>
      </c>
      <c r="N1222" s="47" t="n">
        <v/>
      </c>
      <c r="O1222" s="47" t="n">
        <v/>
      </c>
      <c r="P1222" s="88" t="n"/>
    </row>
    <row r="1223" customFormat="1" s="2">
      <c r="A1223" s="6" t="n"/>
      <c r="B1223" s="4" t="n"/>
      <c r="C1223" s="4" t="inlineStr">
        <is>
          <t>Raiser</t>
        </is>
      </c>
      <c r="D1223" s="7" t="inlineStr">
        <is>
          <t>Sq.ft</t>
        </is>
      </c>
      <c r="E1223" s="17" t="n"/>
      <c r="F1223" s="20" t="n">
        <v>1</v>
      </c>
      <c r="G1223" s="47" t="n">
        <v>3.08</v>
      </c>
      <c r="H1223" s="47" t="n"/>
      <c r="I1223" s="47" t="n">
        <v>0.54</v>
      </c>
      <c r="J1223" s="47">
        <f>PRODUCT(F1223:I1223)</f>
        <v/>
      </c>
      <c r="K1223" s="20" t="n">
        <v>1</v>
      </c>
      <c r="L1223" s="47" t="n">
        <v/>
      </c>
      <c r="M1223" s="47" t="n">
        <v/>
      </c>
      <c r="N1223" s="47" t="n">
        <v/>
      </c>
      <c r="O1223" s="47" t="n">
        <v/>
      </c>
      <c r="P1223" s="88" t="n"/>
    </row>
    <row r="1224" customFormat="1" s="2">
      <c r="A1224" s="6" t="n"/>
      <c r="B1224" s="4" t="n"/>
      <c r="C1224" s="4" t="inlineStr">
        <is>
          <t>Trade</t>
        </is>
      </c>
      <c r="D1224" s="7" t="inlineStr">
        <is>
          <t>Sq.ft</t>
        </is>
      </c>
      <c r="E1224" s="17" t="n"/>
      <c r="F1224" s="20" t="n">
        <v>1</v>
      </c>
      <c r="G1224" s="47" t="n">
        <v>3.17</v>
      </c>
      <c r="H1224" s="47" t="n"/>
      <c r="I1224" s="47" t="n">
        <v>0.75</v>
      </c>
      <c r="J1224" s="47">
        <f>PRODUCT(F1224:I1224)</f>
        <v/>
      </c>
      <c r="K1224" s="20" t="n">
        <v>1</v>
      </c>
      <c r="L1224" s="47" t="n">
        <v/>
      </c>
      <c r="M1224" s="47" t="n">
        <v/>
      </c>
      <c r="N1224" s="47" t="n">
        <v/>
      </c>
      <c r="O1224" s="47" t="n">
        <v/>
      </c>
      <c r="P1224" s="88" t="n"/>
    </row>
    <row r="1225" customFormat="1" s="2">
      <c r="A1225" s="6" t="n"/>
      <c r="B1225" s="4" t="n"/>
      <c r="C1225" s="4" t="inlineStr">
        <is>
          <t>Raiser</t>
        </is>
      </c>
      <c r="D1225" s="7" t="inlineStr">
        <is>
          <t>Sq.ft</t>
        </is>
      </c>
      <c r="E1225" s="17" t="n"/>
      <c r="F1225" s="20" t="n">
        <v>1</v>
      </c>
      <c r="G1225" s="47" t="n">
        <v>3.42</v>
      </c>
      <c r="H1225" s="47" t="n"/>
      <c r="I1225" s="47" t="n">
        <v>0.5</v>
      </c>
      <c r="J1225" s="47">
        <f>PRODUCT(F1225:I1225)</f>
        <v/>
      </c>
      <c r="K1225" s="20" t="n">
        <v>1</v>
      </c>
      <c r="L1225" s="47" t="n">
        <v/>
      </c>
      <c r="M1225" s="47" t="n">
        <v/>
      </c>
      <c r="N1225" s="47" t="n">
        <v/>
      </c>
      <c r="O1225" s="47" t="n">
        <v/>
      </c>
      <c r="P1225" s="88" t="n"/>
    </row>
    <row r="1226" customFormat="1" s="2">
      <c r="A1226" s="6" t="n"/>
      <c r="B1226" s="4" t="n"/>
      <c r="C1226" s="4" t="inlineStr">
        <is>
          <t>Trade</t>
        </is>
      </c>
      <c r="D1226" s="7" t="inlineStr">
        <is>
          <t>Sq.ft</t>
        </is>
      </c>
      <c r="E1226" s="17" t="n"/>
      <c r="F1226" s="20" t="n">
        <v>1</v>
      </c>
      <c r="G1226" s="47" t="n">
        <v>3.5</v>
      </c>
      <c r="H1226" s="47" t="n"/>
      <c r="I1226" s="47" t="n">
        <v>0.8</v>
      </c>
      <c r="J1226" s="47">
        <f>PRODUCT(F1226:I1226)</f>
        <v/>
      </c>
      <c r="K1226" s="20" t="n">
        <v>1</v>
      </c>
      <c r="L1226" s="47" t="n">
        <v/>
      </c>
      <c r="M1226" s="47" t="n">
        <v/>
      </c>
      <c r="N1226" s="47" t="n">
        <v/>
      </c>
      <c r="O1226" s="47" t="n">
        <v/>
      </c>
      <c r="P1226" s="88" t="n"/>
    </row>
    <row r="1227" customFormat="1" s="2">
      <c r="A1227" s="6" t="n"/>
      <c r="B1227" s="4" t="n"/>
      <c r="C1227" s="4" t="inlineStr">
        <is>
          <t>Raiser</t>
        </is>
      </c>
      <c r="D1227" s="7" t="inlineStr">
        <is>
          <t>Sq.ft</t>
        </is>
      </c>
      <c r="E1227" s="17" t="n"/>
      <c r="F1227" s="20" t="n">
        <v>1</v>
      </c>
      <c r="G1227" s="47" t="n">
        <v>3.58</v>
      </c>
      <c r="H1227" s="47" t="n"/>
      <c r="I1227" s="47" t="n">
        <v>0.54</v>
      </c>
      <c r="J1227" s="47">
        <f>PRODUCT(F1227:I1227)</f>
        <v/>
      </c>
      <c r="K1227" s="20" t="n">
        <v>1</v>
      </c>
      <c r="L1227" s="47" t="n">
        <v/>
      </c>
      <c r="M1227" s="47" t="n">
        <v/>
      </c>
      <c r="N1227" s="47" t="n">
        <v/>
      </c>
      <c r="O1227" s="47" t="n">
        <v/>
      </c>
      <c r="P1227" s="88" t="n"/>
    </row>
    <row r="1228" customFormat="1" s="2">
      <c r="A1228" s="6" t="n"/>
      <c r="B1228" s="4" t="n"/>
      <c r="C1228" s="4" t="inlineStr">
        <is>
          <t>Landing Area</t>
        </is>
      </c>
      <c r="D1228" s="7" t="inlineStr">
        <is>
          <t>Sq.ft</t>
        </is>
      </c>
      <c r="E1228" s="17" t="n"/>
      <c r="F1228" s="20" t="n">
        <v>1</v>
      </c>
      <c r="G1228" s="47" t="n">
        <v>3</v>
      </c>
      <c r="H1228" s="47" t="n"/>
      <c r="I1228" s="47" t="n">
        <v>3.83</v>
      </c>
      <c r="J1228" s="47">
        <f>PRODUCT(F1228:I1228)</f>
        <v/>
      </c>
      <c r="K1228" s="20" t="n">
        <v>1</v>
      </c>
      <c r="L1228" s="47" t="n">
        <v/>
      </c>
      <c r="M1228" s="47" t="n">
        <v/>
      </c>
      <c r="N1228" s="47" t="n">
        <v/>
      </c>
      <c r="O1228" s="47" t="n">
        <v/>
      </c>
      <c r="P1228" s="88" t="n"/>
    </row>
    <row r="1229" customFormat="1" s="2">
      <c r="A1229" s="6" t="n"/>
      <c r="B1229" s="4" t="n"/>
      <c r="C1229" s="4" t="inlineStr">
        <is>
          <t xml:space="preserve">Raiser </t>
        </is>
      </c>
      <c r="D1229" s="7" t="inlineStr">
        <is>
          <t>Sq.ft</t>
        </is>
      </c>
      <c r="E1229" s="17" t="n"/>
      <c r="F1229" s="20" t="n">
        <v>11</v>
      </c>
      <c r="G1229" s="47" t="n">
        <v>3.17</v>
      </c>
      <c r="H1229" s="47" t="n"/>
      <c r="I1229" s="47" t="n">
        <v>0.62</v>
      </c>
      <c r="J1229" s="47">
        <f>PRODUCT(F1229:I1229)</f>
        <v/>
      </c>
      <c r="K1229" s="20" t="n">
        <v>11</v>
      </c>
      <c r="L1229" s="47" t="n">
        <v/>
      </c>
      <c r="M1229" s="47" t="n">
        <v/>
      </c>
      <c r="N1229" s="47" t="n">
        <v/>
      </c>
      <c r="O1229" s="47" t="n">
        <v/>
      </c>
      <c r="P1229" s="88" t="n"/>
    </row>
    <row r="1230" customFormat="1" s="2">
      <c r="A1230" s="6" t="n"/>
      <c r="B1230" s="4" t="n"/>
      <c r="C1230" s="4" t="inlineStr">
        <is>
          <t xml:space="preserve">Trade </t>
        </is>
      </c>
      <c r="D1230" s="7" t="inlineStr">
        <is>
          <t>Sq.ft</t>
        </is>
      </c>
      <c r="E1230" s="17" t="n"/>
      <c r="F1230" s="20" t="n">
        <v>10</v>
      </c>
      <c r="G1230" s="47" t="n">
        <v>3.17</v>
      </c>
      <c r="H1230" s="47" t="n"/>
      <c r="I1230" s="47" t="n">
        <v>0.79</v>
      </c>
      <c r="J1230" s="47">
        <f>PRODUCT(F1230:I1230)</f>
        <v/>
      </c>
      <c r="K1230" s="20" t="n">
        <v>10</v>
      </c>
      <c r="L1230" s="47" t="n">
        <v/>
      </c>
      <c r="M1230" s="47" t="n">
        <v/>
      </c>
      <c r="N1230" s="47" t="n">
        <v/>
      </c>
      <c r="O1230" s="47" t="n">
        <v/>
      </c>
      <c r="P1230" s="88" t="n"/>
    </row>
    <row r="1231" customFormat="1" s="2">
      <c r="A1231" s="6" t="n"/>
      <c r="B1231" s="4" t="n"/>
      <c r="C1231" s="4" t="inlineStr">
        <is>
          <t>Raise</t>
        </is>
      </c>
      <c r="D1231" s="7" t="inlineStr">
        <is>
          <t>Sq.ft</t>
        </is>
      </c>
      <c r="E1231" s="17" t="n"/>
      <c r="F1231" s="20" t="n">
        <v>1</v>
      </c>
      <c r="G1231" s="47" t="n">
        <v>3.17</v>
      </c>
      <c r="H1231" s="47" t="n"/>
      <c r="I1231" s="47" t="n">
        <v>0.83</v>
      </c>
      <c r="J1231" s="47">
        <f>PRODUCT(F1231:I1231)</f>
        <v/>
      </c>
      <c r="K1231" s="20" t="n">
        <v>1</v>
      </c>
      <c r="L1231" s="47" t="n">
        <v/>
      </c>
      <c r="M1231" s="47" t="n">
        <v/>
      </c>
      <c r="N1231" s="47" t="n">
        <v/>
      </c>
      <c r="O1231" s="47" t="n">
        <v/>
      </c>
      <c r="P1231" s="88" t="n"/>
    </row>
    <row r="1232" customFormat="1" s="2">
      <c r="A1232" s="6" t="n"/>
      <c r="B1232" s="4" t="n"/>
      <c r="C1232" s="4" t="inlineStr">
        <is>
          <t xml:space="preserve">ATM </t>
        </is>
      </c>
      <c r="D1232" s="7" t="n"/>
      <c r="E1232" s="17" t="n"/>
      <c r="F1232" s="20" t="n"/>
      <c r="G1232" s="47" t="n"/>
      <c r="H1232" s="47" t="n"/>
      <c r="I1232" s="47" t="n"/>
      <c r="J1232" s="47">
        <f>PRODUCT(F1232:I1232)</f>
        <v/>
      </c>
      <c r="K1232" s="20" t="n">
        <v/>
      </c>
      <c r="L1232" s="47" t="n">
        <v/>
      </c>
      <c r="M1232" s="47" t="n">
        <v/>
      </c>
      <c r="N1232" s="47" t="n">
        <v/>
      </c>
      <c r="O1232" s="47" t="n">
        <v/>
      </c>
      <c r="P1232" s="88" t="n"/>
    </row>
    <row r="1233" customFormat="1" s="2">
      <c r="A1233" s="6" t="n"/>
      <c r="B1233" s="4" t="n"/>
      <c r="C1233" s="4" t="inlineStr">
        <is>
          <t xml:space="preserve">Trade </t>
        </is>
      </c>
      <c r="D1233" s="7" t="inlineStr">
        <is>
          <t>Sq.ft</t>
        </is>
      </c>
      <c r="E1233" s="17" t="n"/>
      <c r="F1233" s="20" t="n">
        <v>1</v>
      </c>
      <c r="G1233" s="47" t="n">
        <v>10</v>
      </c>
      <c r="H1233" s="47" t="n"/>
      <c r="I1233" s="47" t="n">
        <v>1.08</v>
      </c>
      <c r="J1233" s="47">
        <f>PRODUCT(F1233:I1233)</f>
        <v/>
      </c>
      <c r="K1233" s="20" t="n">
        <v>1</v>
      </c>
      <c r="L1233" s="47" t="n">
        <v/>
      </c>
      <c r="M1233" s="47" t="n">
        <v/>
      </c>
      <c r="N1233" s="47" t="n">
        <v/>
      </c>
      <c r="O1233" s="47" t="n">
        <v/>
      </c>
      <c r="P1233" s="88" t="n"/>
    </row>
    <row r="1234" customFormat="1" s="2">
      <c r="A1234" s="6" t="n"/>
      <c r="B1234" s="4" t="n"/>
      <c r="C1234" s="4" t="inlineStr">
        <is>
          <t>Raiser</t>
        </is>
      </c>
      <c r="D1234" s="7" t="inlineStr">
        <is>
          <t>Sq.ft</t>
        </is>
      </c>
      <c r="E1234" s="17" t="n"/>
      <c r="F1234" s="20" t="n">
        <v>1</v>
      </c>
      <c r="G1234" s="47" t="n">
        <v>10</v>
      </c>
      <c r="H1234" s="47" t="n"/>
      <c r="I1234" s="47" t="n">
        <v>0.5</v>
      </c>
      <c r="J1234" s="47">
        <f>PRODUCT(F1234:I1234)</f>
        <v/>
      </c>
      <c r="K1234" s="20" t="n">
        <v>1</v>
      </c>
      <c r="L1234" s="47" t="n">
        <v/>
      </c>
      <c r="M1234" s="47" t="n">
        <v/>
      </c>
      <c r="N1234" s="47" t="n">
        <v/>
      </c>
      <c r="O1234" s="47" t="n">
        <v/>
      </c>
      <c r="P1234" s="88" t="n"/>
    </row>
    <row r="1235" customFormat="1" s="2">
      <c r="A1235" s="6" t="n"/>
      <c r="B1235" s="4" t="n"/>
      <c r="C1235" s="4" t="n"/>
      <c r="D1235" s="7" t="n"/>
      <c r="E1235" s="17" t="n"/>
      <c r="F1235" s="20" t="n"/>
      <c r="G1235" s="47" t="n"/>
      <c r="H1235" s="47" t="n"/>
      <c r="I1235" s="47" t="n"/>
      <c r="J1235" s="47">
        <f>PRODUCT(F1235:I1235)</f>
        <v/>
      </c>
      <c r="K1235" s="20" t="n">
        <v/>
      </c>
      <c r="L1235" s="47" t="n">
        <v/>
      </c>
      <c r="M1235" s="47" t="n">
        <v/>
      </c>
      <c r="N1235" s="47" t="n">
        <v/>
      </c>
      <c r="O1235" s="47" t="n">
        <v/>
      </c>
      <c r="P1235" s="88" t="n"/>
    </row>
    <row r="1236" customFormat="1" s="2">
      <c r="A1236" s="112" t="n"/>
      <c r="B1236" s="112" t="n"/>
      <c r="C1236" s="112" t="inlineStr">
        <is>
          <t>Total Qty</t>
        </is>
      </c>
      <c r="D1236" s="120" t="n"/>
      <c r="E1236" s="121" t="n"/>
      <c r="F1236" s="123" t="n"/>
      <c r="G1236" s="123" t="n"/>
      <c r="H1236" s="123" t="n"/>
      <c r="I1236" s="123" t="n"/>
      <c r="J1236" s="123">
        <f>ROUND(SUM(J1216:J1235),)</f>
        <v/>
      </c>
      <c r="K1236" s="123" t="n">
        <v/>
      </c>
      <c r="L1236" s="123" t="n">
        <v/>
      </c>
      <c r="M1236" s="123" t="n">
        <v/>
      </c>
      <c r="N1236" s="123" t="n">
        <v/>
      </c>
      <c r="O1236" s="123" t="n">
        <v/>
      </c>
      <c r="P1236" s="88" t="n"/>
    </row>
    <row r="1237" customFormat="1" s="2">
      <c r="A1237" s="6" t="n"/>
      <c r="B1237" s="4" t="n"/>
      <c r="C1237" s="4" t="n"/>
      <c r="D1237" s="7" t="n"/>
      <c r="E1237" s="17" t="n"/>
      <c r="F1237" s="20" t="n"/>
      <c r="G1237" s="47" t="n"/>
      <c r="H1237" s="47" t="n"/>
      <c r="I1237" s="47" t="n"/>
      <c r="J1237" s="47" t="n"/>
      <c r="K1237" s="20" t="n">
        <v/>
      </c>
      <c r="L1237" s="47" t="n">
        <v/>
      </c>
      <c r="M1237" s="47" t="n">
        <v/>
      </c>
      <c r="N1237" s="47" t="n">
        <v/>
      </c>
      <c r="O1237" s="47" t="n">
        <v/>
      </c>
      <c r="P1237" s="88" t="n"/>
    </row>
    <row r="1238" customFormat="1" s="2">
      <c r="A1238" s="6">
        <f>A1215+1</f>
        <v/>
      </c>
      <c r="B1238" s="4" t="inlineStr">
        <is>
          <t>LABOUR MATHADI</t>
        </is>
      </c>
      <c r="C1238" s="4" t="inlineStr">
        <is>
          <t>ADDITIONAL LABOUR CHARGES FOR MATHADI</t>
        </is>
      </c>
      <c r="D1238" s="7" t="inlineStr">
        <is>
          <t>LS</t>
        </is>
      </c>
      <c r="E1238" s="17" t="n"/>
      <c r="F1238" s="20" t="n"/>
      <c r="G1238" s="47" t="n"/>
      <c r="H1238" s="47" t="n"/>
      <c r="I1238" s="47" t="n"/>
      <c r="J1238" s="47" t="n"/>
      <c r="K1238" s="20" t="n">
        <v/>
      </c>
      <c r="L1238" s="47" t="n">
        <v/>
      </c>
      <c r="M1238" s="47" t="n">
        <v/>
      </c>
      <c r="N1238" s="47" t="n">
        <v/>
      </c>
      <c r="O1238" s="47" t="n">
        <v/>
      </c>
      <c r="P1238" s="88" t="n"/>
    </row>
    <row r="1239" customFormat="1" s="2">
      <c r="A1239" s="6" t="n"/>
      <c r="B1239" s="4" t="n"/>
      <c r="C1239" s="4" t="n"/>
      <c r="D1239" s="7" t="n"/>
      <c r="E1239" s="17" t="n"/>
      <c r="F1239" s="20" t="n"/>
      <c r="G1239" s="47" t="n"/>
      <c r="H1239" s="47" t="n"/>
      <c r="I1239" s="47" t="n"/>
      <c r="J1239" s="47">
        <f>PRODUCT(F1239:I1239)</f>
        <v/>
      </c>
      <c r="K1239" s="20" t="n">
        <v/>
      </c>
      <c r="L1239" s="47" t="n">
        <v/>
      </c>
      <c r="M1239" s="47" t="n">
        <v/>
      </c>
      <c r="N1239" s="47" t="n">
        <v/>
      </c>
      <c r="O1239" s="47" t="n">
        <v/>
      </c>
      <c r="P1239" s="88" t="n"/>
    </row>
    <row r="1240" customFormat="1" s="2">
      <c r="A1240" s="6" t="n"/>
      <c r="B1240" s="4" t="n"/>
      <c r="C1240" s="4" t="inlineStr">
        <is>
          <t>As Per Site</t>
        </is>
      </c>
      <c r="D1240" s="7" t="inlineStr">
        <is>
          <t>L/s</t>
        </is>
      </c>
      <c r="E1240" s="17" t="n"/>
      <c r="F1240" s="20" t="n">
        <v>1</v>
      </c>
      <c r="G1240" s="47" t="n"/>
      <c r="H1240" s="47" t="n"/>
      <c r="I1240" s="47" t="n"/>
      <c r="J1240" s="47">
        <f>PRODUCT(F1240:I1240)</f>
        <v/>
      </c>
      <c r="K1240" s="20" t="n">
        <v>1</v>
      </c>
      <c r="L1240" s="47" t="n">
        <v/>
      </c>
      <c r="M1240" s="47" t="n">
        <v/>
      </c>
      <c r="N1240" s="47" t="n">
        <v/>
      </c>
      <c r="O1240" s="47" t="n">
        <v/>
      </c>
      <c r="P1240" s="88" t="n"/>
    </row>
    <row r="1241" customFormat="1" s="2">
      <c r="A1241" s="6" t="n"/>
      <c r="B1241" s="4" t="n"/>
      <c r="C1241" s="4" t="n"/>
      <c r="D1241" s="7" t="n"/>
      <c r="E1241" s="17" t="n"/>
      <c r="F1241" s="20" t="n"/>
      <c r="G1241" s="47" t="n"/>
      <c r="H1241" s="47" t="n"/>
      <c r="I1241" s="47" t="n"/>
      <c r="J1241" s="47">
        <f>PRODUCT(F1241:I1241)</f>
        <v/>
      </c>
      <c r="K1241" s="20" t="n">
        <v/>
      </c>
      <c r="L1241" s="47" t="n">
        <v/>
      </c>
      <c r="M1241" s="47" t="n">
        <v/>
      </c>
      <c r="N1241" s="47" t="n">
        <v/>
      </c>
      <c r="O1241" s="47" t="n">
        <v/>
      </c>
      <c r="P1241" s="88" t="n"/>
    </row>
    <row r="1242" customFormat="1" s="2">
      <c r="A1242" s="112" t="n"/>
      <c r="B1242" s="112" t="n"/>
      <c r="C1242" s="112" t="inlineStr">
        <is>
          <t>Total Qty</t>
        </is>
      </c>
      <c r="D1242" s="120" t="n"/>
      <c r="E1242" s="121" t="n"/>
      <c r="F1242" s="123" t="n"/>
      <c r="G1242" s="123" t="n"/>
      <c r="H1242" s="123" t="n"/>
      <c r="I1242" s="123" t="n"/>
      <c r="J1242" s="123">
        <f>SUM(J1239:J1241)</f>
        <v/>
      </c>
      <c r="K1242" s="123" t="n">
        <v/>
      </c>
      <c r="L1242" s="123" t="n">
        <v/>
      </c>
      <c r="M1242" s="123" t="n">
        <v/>
      </c>
      <c r="N1242" s="123" t="n">
        <v/>
      </c>
      <c r="O1242" s="123" t="n">
        <v/>
      </c>
      <c r="P1242" s="88" t="n"/>
    </row>
    <row r="1243" customFormat="1" s="2">
      <c r="A1243" s="6" t="n"/>
      <c r="B1243" s="4" t="n"/>
      <c r="C1243" s="4" t="n"/>
      <c r="D1243" s="7" t="n"/>
      <c r="E1243" s="17" t="n"/>
      <c r="F1243" s="16" t="n"/>
      <c r="G1243" s="16" t="n"/>
      <c r="H1243" s="16" t="n"/>
      <c r="I1243" s="16" t="n"/>
      <c r="J1243" s="16" t="n"/>
      <c r="K1243" s="16" t="n">
        <v/>
      </c>
      <c r="L1243" s="16" t="n">
        <v/>
      </c>
      <c r="M1243" s="16" t="n">
        <v/>
      </c>
      <c r="N1243" s="16" t="n">
        <v/>
      </c>
      <c r="O1243" s="16" t="n">
        <v/>
      </c>
      <c r="P1243" s="88" t="n"/>
    </row>
    <row r="1244" ht="262.2" customFormat="1" customHeight="1" s="2">
      <c r="A1244" s="6">
        <f>A1238+1</f>
        <v/>
      </c>
      <c r="B1244" s="4" t="inlineStr">
        <is>
          <t>4.5 inch thick walls in Siporex with both side plaster</t>
        </is>
      </c>
      <c r="C1244"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D1244" s="7" t="inlineStr">
        <is>
          <t>Sq.ft</t>
        </is>
      </c>
      <c r="E1244" s="17" t="n"/>
      <c r="F1244" s="20" t="n"/>
      <c r="G1244" s="47" t="n"/>
      <c r="H1244" s="47" t="n"/>
      <c r="I1244" s="47" t="n"/>
      <c r="J1244" s="47" t="n"/>
      <c r="K1244" s="20" t="n">
        <v/>
      </c>
      <c r="L1244" s="47" t="n">
        <v/>
      </c>
      <c r="M1244" s="47" t="n">
        <v/>
      </c>
      <c r="N1244" s="47" t="n">
        <v/>
      </c>
      <c r="O1244" s="47" t="n">
        <v/>
      </c>
      <c r="P1244" s="88" t="n"/>
    </row>
    <row r="1245" customFormat="1" s="2">
      <c r="A1245" s="6" t="n"/>
      <c r="B1245" s="4" t="n"/>
      <c r="C1245" s="14" t="inlineStr">
        <is>
          <t>Gents Toilet</t>
        </is>
      </c>
      <c r="D1245" s="7" t="n"/>
      <c r="E1245" s="17" t="n"/>
      <c r="F1245" s="20" t="n"/>
      <c r="G1245" s="47" t="n"/>
      <c r="H1245" s="47" t="n"/>
      <c r="I1245" s="47" t="n"/>
      <c r="J1245" s="47">
        <f>PRODUCT(F1245:I1245)</f>
        <v/>
      </c>
      <c r="K1245" s="20" t="n">
        <v/>
      </c>
      <c r="L1245" s="47" t="n">
        <v/>
      </c>
      <c r="M1245" s="47" t="n">
        <v/>
      </c>
      <c r="N1245" s="47" t="n">
        <v/>
      </c>
      <c r="O1245" s="47" t="n">
        <v/>
      </c>
      <c r="P1245" s="88" t="n"/>
    </row>
    <row r="1246" customFormat="1" s="2">
      <c r="A1246" s="6" t="n"/>
      <c r="B1246" s="4" t="n"/>
      <c r="C1246" s="4" t="inlineStr">
        <is>
          <t>Door Side Wall</t>
        </is>
      </c>
      <c r="D1246" s="7" t="inlineStr">
        <is>
          <t>Sq.ft</t>
        </is>
      </c>
      <c r="E1246" s="17" t="n"/>
      <c r="F1246" s="20" t="n">
        <v>1</v>
      </c>
      <c r="G1246" s="47" t="n">
        <v>8.75</v>
      </c>
      <c r="H1246" s="47" t="n"/>
      <c r="I1246" s="47" t="n">
        <v>9</v>
      </c>
      <c r="J1246" s="47">
        <f>PRODUCT(F1246:I1246)</f>
        <v/>
      </c>
      <c r="K1246" s="20" t="n">
        <v>1</v>
      </c>
      <c r="L1246" s="47" t="n">
        <v/>
      </c>
      <c r="M1246" s="47" t="n">
        <v/>
      </c>
      <c r="N1246" s="47" t="n">
        <v/>
      </c>
      <c r="O1246" s="47" t="n">
        <v/>
      </c>
      <c r="P1246" s="88" t="n"/>
    </row>
    <row r="1247" customFormat="1" s="2">
      <c r="A1247" s="6" t="n"/>
      <c r="B1247" s="4" t="n"/>
      <c r="C1247" s="4" t="inlineStr">
        <is>
          <t>Door Area Less ( - )</t>
        </is>
      </c>
      <c r="D1247" s="7" t="inlineStr">
        <is>
          <t>Sq.ft</t>
        </is>
      </c>
      <c r="E1247" s="17" t="n"/>
      <c r="F1247" s="20" t="n">
        <v>-1</v>
      </c>
      <c r="G1247" s="47" t="n">
        <v>2.5</v>
      </c>
      <c r="H1247" s="47" t="n"/>
      <c r="I1247" s="47" t="n">
        <v>7</v>
      </c>
      <c r="J1247" s="47">
        <f>PRODUCT(F1247:I1247)</f>
        <v/>
      </c>
      <c r="K1247" s="20" t="n">
        <v>-1</v>
      </c>
      <c r="L1247" s="47" t="n">
        <v/>
      </c>
      <c r="M1247" s="47" t="n">
        <v/>
      </c>
      <c r="N1247" s="47" t="n">
        <v/>
      </c>
      <c r="O1247" s="47" t="n">
        <v/>
      </c>
      <c r="P1247" s="88" t="n"/>
    </row>
    <row r="1248" customFormat="1" s="2">
      <c r="A1248" s="6" t="n"/>
      <c r="B1248" s="4" t="n"/>
      <c r="C1248" s="4" t="n"/>
      <c r="D1248" s="7" t="n"/>
      <c r="E1248" s="17" t="n"/>
      <c r="F1248" s="20" t="n"/>
      <c r="G1248" s="47" t="n"/>
      <c r="H1248" s="47" t="n"/>
      <c r="I1248" s="47" t="n"/>
      <c r="J1248" s="47">
        <f>PRODUCT(F1248:I1248)</f>
        <v/>
      </c>
      <c r="K1248" s="20" t="n">
        <v/>
      </c>
      <c r="L1248" s="47" t="n">
        <v/>
      </c>
      <c r="M1248" s="47" t="n">
        <v/>
      </c>
      <c r="N1248" s="47" t="n">
        <v/>
      </c>
      <c r="O1248" s="47" t="n">
        <v/>
      </c>
      <c r="P1248" s="88" t="n"/>
    </row>
    <row r="1249" customFormat="1" s="2">
      <c r="A1249" s="6" t="n"/>
      <c r="B1249" s="4" t="n"/>
      <c r="C1249" s="14" t="inlineStr">
        <is>
          <t>Ladies Toilet</t>
        </is>
      </c>
      <c r="D1249" s="7" t="n"/>
      <c r="E1249" s="17" t="n"/>
      <c r="F1249" s="20" t="n"/>
      <c r="G1249" s="47" t="n"/>
      <c r="H1249" s="47" t="n"/>
      <c r="I1249" s="47" t="n"/>
      <c r="J1249" s="47">
        <f>PRODUCT(F1249:I1249)</f>
        <v/>
      </c>
      <c r="K1249" s="20" t="n">
        <v/>
      </c>
      <c r="L1249" s="47" t="n">
        <v/>
      </c>
      <c r="M1249" s="47" t="n">
        <v/>
      </c>
      <c r="N1249" s="47" t="n">
        <v/>
      </c>
      <c r="O1249" s="47" t="n">
        <v/>
      </c>
      <c r="P1249" s="88" t="n"/>
    </row>
    <row r="1250" customFormat="1" s="2">
      <c r="A1250" s="88" t="n"/>
      <c r="B1250" s="88" t="n"/>
      <c r="C1250" s="4" t="inlineStr">
        <is>
          <t>Left Side Wall</t>
        </is>
      </c>
      <c r="D1250" s="7" t="inlineStr">
        <is>
          <t>Sq.ft</t>
        </is>
      </c>
      <c r="E1250" s="17" t="n"/>
      <c r="F1250" s="20" t="n">
        <v>1</v>
      </c>
      <c r="G1250" s="47" t="n">
        <v>10</v>
      </c>
      <c r="H1250" s="47" t="n"/>
      <c r="I1250" s="47" t="n">
        <v>9</v>
      </c>
      <c r="J1250" s="47">
        <f>PRODUCT(F1250:I1250)</f>
        <v/>
      </c>
      <c r="K1250" s="20" t="n">
        <v>1</v>
      </c>
      <c r="L1250" s="47" t="n">
        <v/>
      </c>
      <c r="M1250" s="47" t="n">
        <v/>
      </c>
      <c r="N1250" s="47" t="n">
        <v/>
      </c>
      <c r="O1250" s="47" t="n">
        <v/>
      </c>
      <c r="P1250" s="88" t="n"/>
    </row>
    <row r="1251" customFormat="1" s="2">
      <c r="A1251" s="88" t="n"/>
      <c r="B1251" s="88" t="n"/>
      <c r="C1251" s="4" t="inlineStr">
        <is>
          <t>Door Area Less ( - )</t>
        </is>
      </c>
      <c r="D1251" s="7" t="inlineStr">
        <is>
          <t>Sq.ft</t>
        </is>
      </c>
      <c r="E1251" s="17" t="n"/>
      <c r="F1251" s="20" t="n">
        <v>-1</v>
      </c>
      <c r="G1251" s="47" t="n">
        <v>2.5</v>
      </c>
      <c r="H1251" s="47" t="n"/>
      <c r="I1251" s="47" t="n">
        <v>7</v>
      </c>
      <c r="J1251" s="47">
        <f>PRODUCT(F1251:I1251)</f>
        <v/>
      </c>
      <c r="K1251" s="20" t="n">
        <v>-1</v>
      </c>
      <c r="L1251" s="47" t="n">
        <v/>
      </c>
      <c r="M1251" s="47" t="n">
        <v/>
      </c>
      <c r="N1251" s="47" t="n">
        <v/>
      </c>
      <c r="O1251" s="47" t="n">
        <v/>
      </c>
      <c r="P1251" s="88" t="n"/>
    </row>
    <row r="1252" customFormat="1" s="2">
      <c r="A1252" s="88" t="n"/>
      <c r="B1252" s="88" t="n"/>
      <c r="C1252" s="4" t="inlineStr">
        <is>
          <t>Door Side Wall</t>
        </is>
      </c>
      <c r="D1252" s="7" t="inlineStr">
        <is>
          <t>Sq.ft</t>
        </is>
      </c>
      <c r="E1252" s="17" t="n"/>
      <c r="F1252" s="20" t="n">
        <v>1</v>
      </c>
      <c r="G1252" s="47" t="n">
        <v>3.86</v>
      </c>
      <c r="H1252" s="47" t="n"/>
      <c r="I1252" s="47" t="n">
        <v>9</v>
      </c>
      <c r="J1252" s="47">
        <f>PRODUCT(F1252:I1252)</f>
        <v/>
      </c>
      <c r="K1252" s="20" t="n">
        <v>1</v>
      </c>
      <c r="L1252" s="47" t="n">
        <v/>
      </c>
      <c r="M1252" s="47" t="n">
        <v/>
      </c>
      <c r="N1252" s="47" t="n">
        <v/>
      </c>
      <c r="O1252" s="47" t="n">
        <v/>
      </c>
      <c r="P1252" s="88" t="n"/>
    </row>
    <row r="1253" customFormat="1" s="2">
      <c r="A1253" s="88" t="n"/>
      <c r="B1253" s="88" t="n"/>
      <c r="C1253" s="4" t="inlineStr">
        <is>
          <t>Door Area Less ( - )</t>
        </is>
      </c>
      <c r="D1253" s="7" t="inlineStr">
        <is>
          <t>Sq.ft</t>
        </is>
      </c>
      <c r="E1253" s="17" t="n"/>
      <c r="F1253" s="20" t="n">
        <v>-1</v>
      </c>
      <c r="G1253" s="47" t="n">
        <v>2.5</v>
      </c>
      <c r="H1253" s="47" t="n"/>
      <c r="I1253" s="47" t="n">
        <v>7</v>
      </c>
      <c r="J1253" s="47">
        <f>PRODUCT(F1253:I1253)</f>
        <v/>
      </c>
      <c r="K1253" s="20" t="n">
        <v>-1</v>
      </c>
      <c r="L1253" s="47" t="n">
        <v/>
      </c>
      <c r="M1253" s="47" t="n">
        <v/>
      </c>
      <c r="N1253" s="47" t="n">
        <v/>
      </c>
      <c r="O1253" s="47" t="n">
        <v/>
      </c>
      <c r="P1253" s="88" t="n"/>
    </row>
    <row r="1254" customFormat="1" s="2">
      <c r="A1254" s="88" t="n"/>
      <c r="B1254" s="88" t="n"/>
      <c r="C1254" s="4" t="n"/>
      <c r="D1254" s="7" t="n"/>
      <c r="E1254" s="17" t="n"/>
      <c r="F1254" s="20" t="n"/>
      <c r="G1254" s="47" t="n"/>
      <c r="H1254" s="47" t="n"/>
      <c r="I1254" s="47" t="n"/>
      <c r="J1254" s="47">
        <f>PRODUCT(F1254:I1254)</f>
        <v/>
      </c>
      <c r="K1254" s="20" t="n">
        <v/>
      </c>
      <c r="L1254" s="47" t="n">
        <v/>
      </c>
      <c r="M1254" s="47" t="n">
        <v/>
      </c>
      <c r="N1254" s="47" t="n">
        <v/>
      </c>
      <c r="O1254" s="47" t="n">
        <v/>
      </c>
      <c r="P1254" s="88" t="n"/>
    </row>
    <row r="1255" customFormat="1" s="2">
      <c r="A1255" s="88" t="n"/>
      <c r="B1255" s="88" t="n"/>
      <c r="C1255" s="4" t="inlineStr">
        <is>
          <t>BM cabin Windoe Pack</t>
        </is>
      </c>
      <c r="D1255" s="7" t="inlineStr">
        <is>
          <t>Sq.ft</t>
        </is>
      </c>
      <c r="E1255" s="17" t="n"/>
      <c r="F1255" s="20" t="n">
        <v>1</v>
      </c>
      <c r="G1255" s="47" t="n">
        <v>2.5</v>
      </c>
      <c r="H1255" s="47" t="n"/>
      <c r="I1255" s="47" t="n">
        <v>3</v>
      </c>
      <c r="J1255" s="47">
        <f>PRODUCT(F1255:I1255)</f>
        <v/>
      </c>
      <c r="K1255" s="20" t="n">
        <v>1</v>
      </c>
      <c r="L1255" s="47" t="n">
        <v/>
      </c>
      <c r="M1255" s="47" t="n">
        <v/>
      </c>
      <c r="N1255" s="47" t="n">
        <v/>
      </c>
      <c r="O1255" s="47" t="n">
        <v/>
      </c>
      <c r="P1255" s="88" t="n"/>
    </row>
    <row r="1256" customFormat="1" s="2">
      <c r="A1256" s="88" t="n"/>
      <c r="B1256" s="88" t="n"/>
      <c r="C1256" s="4" t="n"/>
      <c r="D1256" s="7" t="n"/>
      <c r="E1256" s="17" t="n"/>
      <c r="F1256" s="20" t="n"/>
      <c r="G1256" s="47" t="n"/>
      <c r="H1256" s="47" t="n"/>
      <c r="I1256" s="47" t="n"/>
      <c r="J1256" s="47">
        <f>PRODUCT(F1256:I1256)</f>
        <v/>
      </c>
      <c r="K1256" s="20" t="n">
        <v/>
      </c>
      <c r="L1256" s="47" t="n">
        <v/>
      </c>
      <c r="M1256" s="47" t="n">
        <v/>
      </c>
      <c r="N1256" s="47" t="n">
        <v/>
      </c>
      <c r="O1256" s="47" t="n">
        <v>0</v>
      </c>
      <c r="P1256" s="88" t="n"/>
    </row>
    <row r="1257" customFormat="1" s="2">
      <c r="A1257" s="88" t="n"/>
      <c r="B1257" s="88" t="n"/>
      <c r="C1257" s="112" t="inlineStr">
        <is>
          <t>Total Qty</t>
        </is>
      </c>
      <c r="D1257" s="120" t="n"/>
      <c r="E1257" s="121" t="n"/>
      <c r="F1257" s="123" t="n"/>
      <c r="G1257" s="123" t="n"/>
      <c r="H1257" s="123" t="n"/>
      <c r="I1257" s="123" t="n"/>
      <c r="J1257" s="123">
        <f>ROUND(SUM(J1245:J1256),)</f>
        <v/>
      </c>
      <c r="K1257" s="123" t="n">
        <v/>
      </c>
      <c r="L1257" s="123" t="n">
        <v/>
      </c>
      <c r="M1257" s="123" t="n">
        <v/>
      </c>
      <c r="N1257" s="123" t="n">
        <v/>
      </c>
      <c r="O1257" s="123" t="n">
        <v>0</v>
      </c>
      <c r="P1257" s="88" t="n"/>
    </row>
  </sheetData>
  <autoFilter ref="A3:P1257"/>
  <mergeCells count="10">
    <mergeCell ref="F1:I1"/>
    <mergeCell ref="C1:C2"/>
    <mergeCell ref="B1:B2"/>
    <mergeCell ref="D1:D2"/>
    <mergeCell ref="E1:E2"/>
    <mergeCell ref="K1:N1"/>
    <mergeCell ref="J1:J2"/>
    <mergeCell ref="P1:P2"/>
    <mergeCell ref="O1:O2"/>
    <mergeCell ref="A1:A2"/>
  </mergeCells>
  <printOptions horizontalCentered="1" gridLines="1"/>
  <pageMargins left="0.25" right="0.25" top="0.75" bottom="0.75" header="0.3" footer="0.3"/>
  <pageSetup orientation="portrait" paperSize="9" scale="43" fitToHeight="40"/>
  <headerFooter>
    <oddHeader/>
    <oddFooter>&amp;C&amp;14 Page &amp;P of &amp;N</oddFooter>
    <evenHeader/>
    <evenFooter/>
    <firstHeader/>
    <firstFooter/>
  </headerFooter>
</worksheet>
</file>

<file path=xl/worksheets/sheet5.xml><?xml version="1.0" encoding="utf-8"?>
<worksheet xmlns="http://schemas.openxmlformats.org/spreadsheetml/2006/main">
  <sheetPr codeName="Sheet5">
    <outlinePr summaryBelow="1" summaryRight="1"/>
    <pageSetUpPr/>
  </sheetPr>
  <dimension ref="A1:Q40"/>
  <sheetViews>
    <sheetView workbookViewId="0">
      <selection activeCell="D6" sqref="D6"/>
    </sheetView>
  </sheetViews>
  <sheetFormatPr baseColWidth="8" defaultRowHeight="13.2"/>
  <cols>
    <col width="19.109375" customWidth="1" style="153" min="1" max="2"/>
    <col width="14.77734375" customWidth="1" style="153" min="3" max="3"/>
    <col width="15.109375" customWidth="1" style="153" min="4" max="4"/>
    <col width="49.44140625" customWidth="1" style="153" min="5" max="5"/>
    <col width="6.6640625" bestFit="1" customWidth="1" style="153" min="6" max="6"/>
    <col width="10.5546875" bestFit="1" customWidth="1" style="153" min="7" max="7"/>
    <col width="7.88671875" bestFit="1" customWidth="1" style="153" min="8" max="8"/>
    <col width="12.109375" bestFit="1" customWidth="1" style="153" min="9" max="9"/>
    <col width="10.5546875" bestFit="1" customWidth="1" style="153" min="10" max="10"/>
    <col width="9.44140625" bestFit="1" customWidth="1" style="153" min="11" max="11"/>
    <col width="12.109375" bestFit="1" customWidth="1" style="153" min="12" max="12"/>
    <col width="9.44140625" bestFit="1" customWidth="1" style="153" min="13" max="13"/>
    <col width="12.109375" bestFit="1" customWidth="1" style="153" min="14" max="14"/>
    <col width="12.5546875" bestFit="1" customWidth="1" style="104" min="15" max="15"/>
    <col width="19.77734375" customWidth="1" style="153" min="16" max="16"/>
    <col width="13.109375" bestFit="1" customWidth="1" style="153" min="17" max="17"/>
  </cols>
  <sheetData>
    <row r="1" ht="13.8" customHeight="1" s="153">
      <c r="A1" s="98" t="n"/>
      <c r="B1" s="98" t="n"/>
      <c r="C1" s="98" t="n"/>
      <c r="D1" s="98" t="n"/>
      <c r="E1" s="98" t="n"/>
      <c r="F1" s="99" t="n"/>
      <c r="G1" s="146" t="inlineStr">
        <is>
          <t>As per WO</t>
        </is>
      </c>
      <c r="H1" s="155" t="n"/>
      <c r="I1" s="156" t="n"/>
      <c r="J1" s="147" t="inlineStr">
        <is>
          <t>As per CWI</t>
        </is>
      </c>
      <c r="K1" s="155" t="n"/>
      <c r="L1" s="156" t="n"/>
      <c r="M1" s="145" t="inlineStr">
        <is>
          <t>Variance</t>
        </is>
      </c>
      <c r="N1" s="156" t="n"/>
      <c r="O1" s="147" t="inlineStr">
        <is>
          <t>CWI Remark</t>
        </is>
      </c>
      <c r="P1" s="147" t="inlineStr">
        <is>
          <t>Remark</t>
        </is>
      </c>
      <c r="Q1" s="145" t="inlineStr">
        <is>
          <t>PM Approval</t>
        </is>
      </c>
    </row>
    <row r="2" ht="19.2" customHeight="1" s="153">
      <c r="A2" s="85" t="inlineStr">
        <is>
          <t>TYPE</t>
        </is>
      </c>
      <c r="B2" s="85" t="inlineStr">
        <is>
          <t>NATURE OF WORK</t>
        </is>
      </c>
      <c r="C2" s="85" t="inlineStr">
        <is>
          <t>CATEGORY</t>
        </is>
      </c>
      <c r="D2" s="85" t="inlineStr">
        <is>
          <t>SUB CATEGORY</t>
        </is>
      </c>
      <c r="E2" s="85" t="inlineStr">
        <is>
          <t>Particulars</t>
        </is>
      </c>
      <c r="F2" s="86" t="inlineStr">
        <is>
          <t>UNIT</t>
        </is>
      </c>
      <c r="G2" s="86" t="inlineStr">
        <is>
          <t>RATE</t>
        </is>
      </c>
      <c r="H2" s="86" t="inlineStr">
        <is>
          <t>QTY</t>
        </is>
      </c>
      <c r="I2" s="86" t="inlineStr">
        <is>
          <t>AMOUNT</t>
        </is>
      </c>
      <c r="J2" s="86" t="inlineStr">
        <is>
          <t>RATE</t>
        </is>
      </c>
      <c r="K2" s="86" t="inlineStr">
        <is>
          <t>QTY</t>
        </is>
      </c>
      <c r="L2" s="86" t="inlineStr">
        <is>
          <t>AMOUNT</t>
        </is>
      </c>
      <c r="M2" s="86" t="inlineStr">
        <is>
          <t>QTY</t>
        </is>
      </c>
      <c r="N2" s="86" t="inlineStr">
        <is>
          <t>AMOUNT</t>
        </is>
      </c>
      <c r="O2" s="86" t="n"/>
      <c r="P2" s="86" t="n"/>
      <c r="Q2" s="86" t="n"/>
    </row>
    <row r="3" ht="55.2" customHeight="1" s="153">
      <c r="A3" s="4" t="inlineStr">
        <is>
          <t>Reimbursable Items</t>
        </is>
      </c>
      <c r="B3" s="4" t="inlineStr">
        <is>
          <t>Electricity &amp;Diesel Expenses to TKO</t>
        </is>
      </c>
      <c r="C3" s="4" t="inlineStr">
        <is>
          <t>Electricity &amp;Diesel Expenses to TKO</t>
        </is>
      </c>
      <c r="D3" s="4" t="inlineStr">
        <is>
          <t>Diesel for DG</t>
        </is>
      </c>
      <c r="E3" s="4" t="inlineStr">
        <is>
          <t>Reimbursement of Diesel for DG</t>
        </is>
      </c>
      <c r="F3" s="5" t="inlineStr">
        <is>
          <t>L.sum</t>
        </is>
      </c>
      <c r="G3" s="5" t="n">
        <v>3000</v>
      </c>
      <c r="H3" s="5" t="n">
        <v>1</v>
      </c>
      <c r="I3" s="5" t="n">
        <v>3000</v>
      </c>
      <c r="J3" s="5" t="n">
        <v>3600</v>
      </c>
      <c r="K3" s="91" t="n">
        <v>1</v>
      </c>
      <c r="L3" s="5" t="n">
        <v>3600</v>
      </c>
      <c r="M3" s="90" t="n">
        <v>0</v>
      </c>
      <c r="N3" s="90" t="n">
        <v>600</v>
      </c>
      <c r="O3" s="102" t="n"/>
      <c r="P3" s="100" t="inlineStr">
        <is>
          <t>Quantity Exceeded from the Work order project Manager Approval Required</t>
        </is>
      </c>
      <c r="Q3" s="88" t="n"/>
    </row>
    <row r="4" ht="52.8" customHeight="1" s="153">
      <c r="A4" s="4" t="inlineStr">
        <is>
          <t>Main BOQ</t>
        </is>
      </c>
      <c r="B4" s="4" t="inlineStr">
        <is>
          <t>Carpentry Work</t>
        </is>
      </c>
      <c r="C4" s="4" t="inlineStr">
        <is>
          <t>MISCELLANEOUS</t>
        </is>
      </c>
      <c r="D4" s="4" t="inlineStr">
        <is>
          <t>Rubber Mat in UPS room</t>
        </is>
      </c>
      <c r="E4" s="4" t="inlineStr">
        <is>
          <t>Rubber Mat in UPS room, 20mm thickness.</t>
        </is>
      </c>
      <c r="F4" s="5" t="inlineStr">
        <is>
          <t>Sft</t>
        </is>
      </c>
      <c r="G4" s="5" t="n">
        <v>140</v>
      </c>
      <c r="H4" s="5" t="n">
        <v>27</v>
      </c>
      <c r="I4" s="5" t="n">
        <v>3780</v>
      </c>
      <c r="J4" s="5" t="n">
        <v>140</v>
      </c>
      <c r="K4" s="91" t="n">
        <v>29</v>
      </c>
      <c r="L4" s="5" t="n">
        <v>4060</v>
      </c>
      <c r="M4" s="90" t="n">
        <v>2</v>
      </c>
      <c r="N4" s="90" t="n">
        <v>280</v>
      </c>
      <c r="O4" s="102" t="n"/>
      <c r="P4" s="100" t="inlineStr">
        <is>
          <t>Quantity Exceeded from the Work order project Manager Approval Required</t>
        </is>
      </c>
      <c r="Q4" s="88" t="n"/>
    </row>
    <row r="5" ht="52.8" customHeight="1" s="153">
      <c r="A5" s="4" t="inlineStr">
        <is>
          <t>Main BOQ</t>
        </is>
      </c>
      <c r="B5" s="4" t="inlineStr">
        <is>
          <t>Carpentry Work</t>
        </is>
      </c>
      <c r="C5" s="4" t="inlineStr">
        <is>
          <t>MISCELLANEOUS</t>
        </is>
      </c>
      <c r="D5" s="4" t="inlineStr">
        <is>
          <t>Lacqured Glass new</t>
        </is>
      </c>
      <c r="E5" s="4" t="inlineStr">
        <is>
          <t>Providing and fixing Lacqured glass in Fusion Orange colour for Theme wall. Make - Saint Gobain, Asahi</t>
        </is>
      </c>
      <c r="F5" s="5" t="inlineStr">
        <is>
          <t>sqft</t>
        </is>
      </c>
      <c r="G5" s="5" t="n">
        <v>525</v>
      </c>
      <c r="H5" s="5" t="n">
        <v>56</v>
      </c>
      <c r="I5" s="5" t="n">
        <v>29400</v>
      </c>
      <c r="J5" s="5" t="n">
        <v>525</v>
      </c>
      <c r="K5" s="91" t="n">
        <v>84</v>
      </c>
      <c r="L5" s="5" t="n">
        <v>44100</v>
      </c>
      <c r="M5" s="90" t="n">
        <v>28</v>
      </c>
      <c r="N5" s="90" t="n">
        <v>14700</v>
      </c>
      <c r="O5" s="102" t="n"/>
      <c r="P5" s="100" t="inlineStr">
        <is>
          <t>Quantity Exceeded from the Work order project Manager Approval Required</t>
        </is>
      </c>
      <c r="Q5" s="88" t="n"/>
    </row>
    <row r="6" ht="138" customHeight="1" s="153">
      <c r="A6" s="4" t="inlineStr">
        <is>
          <t>Main BOQ</t>
        </is>
      </c>
      <c r="B6" s="4" t="inlineStr">
        <is>
          <t>CIVIL WORKS</t>
        </is>
      </c>
      <c r="C6" s="4" t="inlineStr">
        <is>
          <t>FLOORING AND DADO</t>
        </is>
      </c>
      <c r="D6" s="4" t="inlineStr">
        <is>
          <t>Brick Bat Coba in Toilet Area</t>
        </is>
      </c>
      <c r="E6"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F6" s="5" t="inlineStr">
        <is>
          <t>Sft</t>
        </is>
      </c>
      <c r="G6" s="5" t="n">
        <v>75</v>
      </c>
      <c r="H6" s="5" t="n">
        <v>77</v>
      </c>
      <c r="I6" s="5" t="n">
        <v>5775</v>
      </c>
      <c r="J6" s="5" t="n">
        <v>75</v>
      </c>
      <c r="K6" s="91" t="n">
        <v>90</v>
      </c>
      <c r="L6" s="5" t="n">
        <v>6750</v>
      </c>
      <c r="M6" s="90" t="n">
        <v>13</v>
      </c>
      <c r="N6" s="90" t="n">
        <v>975</v>
      </c>
      <c r="O6" s="102" t="n"/>
      <c r="P6" s="100" t="inlineStr">
        <is>
          <t>Quantity Exceeded from the Work order project Manager Approval Required</t>
        </is>
      </c>
      <c r="Q6" s="88" t="n"/>
    </row>
    <row r="7" ht="96.59999999999999" customHeight="1" s="153">
      <c r="A7" s="4" t="inlineStr">
        <is>
          <t>Main BOQ</t>
        </is>
      </c>
      <c r="B7" s="4" t="inlineStr">
        <is>
          <t>Carpentry Work</t>
        </is>
      </c>
      <c r="C7" s="4" t="inlineStr">
        <is>
          <t>DOORS AND WINDOWS</t>
        </is>
      </c>
      <c r="D7" s="4" t="inlineStr">
        <is>
          <t>Fixed Glazing</t>
        </is>
      </c>
      <c r="E7"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F7" s="5" t="inlineStr">
        <is>
          <t>sft</t>
        </is>
      </c>
      <c r="G7" s="5" t="n">
        <v>450</v>
      </c>
      <c r="H7" s="5" t="n">
        <v>469</v>
      </c>
      <c r="I7" s="5" t="n">
        <v>211050</v>
      </c>
      <c r="J7" s="5" t="n">
        <v>450</v>
      </c>
      <c r="K7" s="91" t="n">
        <v>502</v>
      </c>
      <c r="L7" s="5" t="n">
        <v>225900</v>
      </c>
      <c r="M7" s="90" t="n">
        <v>33</v>
      </c>
      <c r="N7" s="90" t="n">
        <v>14850</v>
      </c>
      <c r="O7" s="102" t="n"/>
      <c r="P7" s="100" t="inlineStr">
        <is>
          <t>Quantity Exceeded from the Work order project Manager Approval Required</t>
        </is>
      </c>
      <c r="Q7" s="88" t="n"/>
    </row>
    <row r="8" ht="110.4" customHeight="1" s="153">
      <c r="A8" s="4" t="inlineStr">
        <is>
          <t>Main BOQ</t>
        </is>
      </c>
      <c r="B8" s="4" t="inlineStr">
        <is>
          <t>Carpentry Work</t>
        </is>
      </c>
      <c r="C8" s="4" t="inlineStr">
        <is>
          <t>DOORS AND WINDOWS</t>
        </is>
      </c>
      <c r="D8" s="4" t="inlineStr">
        <is>
          <t>Main Entrance doors for Branch and ATM</t>
        </is>
      </c>
      <c r="E8"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F8" s="5" t="inlineStr">
        <is>
          <t>nos</t>
        </is>
      </c>
      <c r="G8" s="5" t="n">
        <v>28500</v>
      </c>
      <c r="H8" s="5" t="n">
        <v>1</v>
      </c>
      <c r="I8" s="5" t="n">
        <v>28500</v>
      </c>
      <c r="J8" s="5" t="n">
        <v>28500</v>
      </c>
      <c r="K8" s="91" t="n">
        <v>2</v>
      </c>
      <c r="L8" s="5" t="n">
        <v>57000</v>
      </c>
      <c r="M8" s="90" t="n">
        <v>1</v>
      </c>
      <c r="N8" s="90" t="n">
        <v>28500</v>
      </c>
      <c r="O8" s="102" t="n"/>
      <c r="P8" s="100" t="inlineStr">
        <is>
          <t>Quantity Exceeded from the Work order project Manager Approval Required</t>
        </is>
      </c>
      <c r="Q8" s="88" t="n"/>
    </row>
    <row r="9" ht="52.8" customHeight="1" s="153">
      <c r="A9" s="4" t="inlineStr">
        <is>
          <t>Main BOQ</t>
        </is>
      </c>
      <c r="B9" s="4" t="inlineStr">
        <is>
          <t>Carpentry Work</t>
        </is>
      </c>
      <c r="C9" s="4" t="inlineStr">
        <is>
          <t>DOORS AND WINDOWS</t>
        </is>
      </c>
      <c r="D9" s="4" t="inlineStr">
        <is>
          <t>Low Height Door for Teller</t>
        </is>
      </c>
      <c r="E9" s="4" t="inlineStr">
        <is>
          <t>Providing &amp;fixing door as per design &amp;size and including Godrej tribolt latch lock. Size of door to match the height of side partition. [approx 5ft x 2ft-6 ]</t>
        </is>
      </c>
      <c r="F9" s="5" t="inlineStr">
        <is>
          <t>nos</t>
        </is>
      </c>
      <c r="G9" s="5" t="n">
        <v>5500</v>
      </c>
      <c r="H9" s="5" t="n">
        <v>1</v>
      </c>
      <c r="I9" s="5" t="n">
        <v>5500</v>
      </c>
      <c r="J9" s="5" t="n">
        <v>5500</v>
      </c>
      <c r="K9" s="91" t="n">
        <v>2</v>
      </c>
      <c r="L9" s="5" t="n">
        <v>11000</v>
      </c>
      <c r="M9" s="90" t="n">
        <v>1</v>
      </c>
      <c r="N9" s="90" t="n">
        <v>5500</v>
      </c>
      <c r="O9" s="102" t="n"/>
      <c r="P9" s="100" t="inlineStr">
        <is>
          <t>Quantity Exceeded from the Work order project Manager Approval Required</t>
        </is>
      </c>
      <c r="Q9" s="88" t="n"/>
    </row>
    <row r="10" ht="151.8" customHeight="1" s="153">
      <c r="A10" s="4" t="inlineStr">
        <is>
          <t>Main BOQ</t>
        </is>
      </c>
      <c r="B10" s="4" t="inlineStr">
        <is>
          <t>CIVIL WORKS</t>
        </is>
      </c>
      <c r="C10" s="4" t="inlineStr">
        <is>
          <t>FLOORING AND DADO</t>
        </is>
      </c>
      <c r="D10" s="4" t="inlineStr">
        <is>
          <t>Vitrified Tile for Flooring</t>
        </is>
      </c>
      <c r="E10"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F10" s="5" t="inlineStr">
        <is>
          <t>Sft</t>
        </is>
      </c>
      <c r="G10" s="5" t="n">
        <v>130</v>
      </c>
      <c r="H10" s="5" t="n">
        <v>127</v>
      </c>
      <c r="I10" s="5" t="n">
        <v>16510</v>
      </c>
      <c r="J10" s="5" t="n">
        <v>130</v>
      </c>
      <c r="K10" s="91" t="n">
        <v>140</v>
      </c>
      <c r="L10" s="5" t="n">
        <v>18200</v>
      </c>
      <c r="M10" s="90" t="n">
        <v>13</v>
      </c>
      <c r="N10" s="90" t="n">
        <v>1690</v>
      </c>
      <c r="O10" s="102" t="n"/>
      <c r="P10" s="100" t="inlineStr">
        <is>
          <t>Quantity Exceeded from the Work order project Manager Approval Required</t>
        </is>
      </c>
      <c r="Q10" s="88" t="n"/>
    </row>
    <row r="11" ht="151.8" customHeight="1" s="153">
      <c r="A11" s="4" t="inlineStr">
        <is>
          <t>Main BOQ</t>
        </is>
      </c>
      <c r="B11" s="4" t="inlineStr">
        <is>
          <t>CIVIL WORKS</t>
        </is>
      </c>
      <c r="C11" s="4" t="inlineStr">
        <is>
          <t>FLOORING AND DADO</t>
        </is>
      </c>
      <c r="D11" s="4" t="inlineStr">
        <is>
          <t>Vitrified Tile for Flooring 80x80</t>
        </is>
      </c>
      <c r="E11"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F11" s="5" t="inlineStr">
        <is>
          <t>Sft</t>
        </is>
      </c>
      <c r="G11" s="5" t="n">
        <v>145</v>
      </c>
      <c r="H11" s="5" t="n">
        <v>861</v>
      </c>
      <c r="I11" s="5" t="n">
        <v>124845</v>
      </c>
      <c r="J11" s="5" t="n">
        <v>145</v>
      </c>
      <c r="K11" s="91" t="n">
        <v>891</v>
      </c>
      <c r="L11" s="5" t="n">
        <v>129195</v>
      </c>
      <c r="M11" s="90" t="n">
        <v>30</v>
      </c>
      <c r="N11" s="90" t="n">
        <v>4350</v>
      </c>
      <c r="O11" s="102" t="n"/>
      <c r="P11" s="100" t="inlineStr">
        <is>
          <t>Quantity Exceeded from the Work order project Manager Approval Required</t>
        </is>
      </c>
      <c r="Q11" s="88" t="n"/>
    </row>
    <row r="12" ht="409.6" customHeight="1" s="153">
      <c r="A12" s="4" t="inlineStr">
        <is>
          <t>Main BOQ</t>
        </is>
      </c>
      <c r="B12" s="4" t="inlineStr">
        <is>
          <t>Carpentry Work</t>
        </is>
      </c>
      <c r="C12" s="4" t="inlineStr">
        <is>
          <t>FALSE-CELING</t>
        </is>
      </c>
      <c r="D12" s="4" t="inlineStr">
        <is>
          <t>Gypsum ceiling</t>
        </is>
      </c>
      <c r="E12"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F12" s="5" t="inlineStr">
        <is>
          <t>sft</t>
        </is>
      </c>
      <c r="G12" s="5" t="n">
        <v>90</v>
      </c>
      <c r="H12" s="5" t="n">
        <v>956</v>
      </c>
      <c r="I12" s="5" t="n">
        <v>86040</v>
      </c>
      <c r="J12" s="5" t="n">
        <v>90</v>
      </c>
      <c r="K12" s="91" t="n">
        <v>971</v>
      </c>
      <c r="L12" s="5" t="n">
        <v>87390</v>
      </c>
      <c r="M12" s="90" t="n">
        <v>15</v>
      </c>
      <c r="N12" s="90" t="n">
        <v>1350</v>
      </c>
      <c r="O12" s="102" t="n"/>
      <c r="P12" s="100" t="inlineStr">
        <is>
          <t>Quantity Exceeded from the Work order project Manager Approval Required</t>
        </is>
      </c>
      <c r="Q12" s="88" t="n"/>
    </row>
    <row r="13" ht="179.4" customHeight="1" s="153">
      <c r="A13" s="4" t="inlineStr">
        <is>
          <t>Main BOQ</t>
        </is>
      </c>
      <c r="B13" s="4" t="inlineStr">
        <is>
          <t>Carpentry Work</t>
        </is>
      </c>
      <c r="C13" s="4" t="inlineStr">
        <is>
          <t>FALSE-CELING</t>
        </is>
      </c>
      <c r="D13" s="4" t="inlineStr">
        <is>
          <t>Knauf Ceiling GRID [ARMSTRONG ]</t>
        </is>
      </c>
      <c r="E13"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F13" s="5" t="inlineStr">
        <is>
          <t>sft</t>
        </is>
      </c>
      <c r="G13" s="5" t="n">
        <v>115</v>
      </c>
      <c r="H13" s="5" t="n">
        <v>395</v>
      </c>
      <c r="I13" s="5" t="n">
        <v>45425</v>
      </c>
      <c r="J13" s="5" t="n">
        <v>115</v>
      </c>
      <c r="K13" s="91" t="n">
        <v>403</v>
      </c>
      <c r="L13" s="5" t="n">
        <v>46345</v>
      </c>
      <c r="M13" s="90" t="n">
        <v>8</v>
      </c>
      <c r="N13" s="90" t="n">
        <v>920</v>
      </c>
      <c r="O13" s="102" t="n"/>
      <c r="P13" s="100" t="inlineStr">
        <is>
          <t>Quantity Exceeded from the Work order project Manager Approval Required</t>
        </is>
      </c>
      <c r="Q13" s="88" t="n"/>
    </row>
    <row r="14" ht="193.2" customHeight="1" s="153">
      <c r="A14" s="4" t="inlineStr">
        <is>
          <t>Main BOQ</t>
        </is>
      </c>
      <c r="B14" s="4" t="inlineStr">
        <is>
          <t>Carpentry Work</t>
        </is>
      </c>
      <c r="C14" s="4" t="inlineStr">
        <is>
          <t>STORAGE UNITS AND COUNTERS</t>
        </is>
      </c>
      <c r="D14" s="4" t="inlineStr">
        <is>
          <t>Over Head Storage</t>
        </is>
      </c>
      <c r="E14"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F14" s="5" t="inlineStr">
        <is>
          <t>sft</t>
        </is>
      </c>
      <c r="G14" s="5" t="n">
        <v>850</v>
      </c>
      <c r="H14" s="5" t="n">
        <v>14</v>
      </c>
      <c r="I14" s="5" t="n">
        <v>11900</v>
      </c>
      <c r="J14" s="5" t="n">
        <v>850</v>
      </c>
      <c r="K14" s="91" t="n">
        <v>47</v>
      </c>
      <c r="L14" s="5" t="n">
        <v>39950</v>
      </c>
      <c r="M14" s="90" t="n">
        <v>33</v>
      </c>
      <c r="N14" s="90" t="n">
        <v>28050</v>
      </c>
      <c r="O14" s="102" t="n"/>
      <c r="P14" s="100" t="inlineStr">
        <is>
          <t>Quantity Exceeded from the Work order project Manager Approval Required</t>
        </is>
      </c>
      <c r="Q14" s="88" t="n"/>
    </row>
    <row r="15" ht="69" customHeight="1" s="153">
      <c r="A15" s="4" t="inlineStr">
        <is>
          <t>Non-Interior Work</t>
        </is>
      </c>
      <c r="B15" s="4" t="inlineStr">
        <is>
          <t>Non-Interior Works</t>
        </is>
      </c>
      <c r="C15" s="4" t="inlineStr">
        <is>
          <t>BRICK AND PLASTER WORKS</t>
        </is>
      </c>
      <c r="D15" s="4" t="inlineStr">
        <is>
          <t>Jet Black Granite</t>
        </is>
      </c>
      <c r="E15"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F15" s="5" t="inlineStr">
        <is>
          <t>Rft</t>
        </is>
      </c>
      <c r="G15" s="5" t="n">
        <v>245</v>
      </c>
      <c r="H15" s="5" t="n">
        <v>117</v>
      </c>
      <c r="I15" s="5" t="n">
        <v>28665</v>
      </c>
      <c r="J15" s="5" t="n">
        <v>245</v>
      </c>
      <c r="K15" s="91" t="n">
        <v>176</v>
      </c>
      <c r="L15" s="5" t="n">
        <v>43120</v>
      </c>
      <c r="M15" s="90" t="n">
        <v>59</v>
      </c>
      <c r="N15" s="90" t="n">
        <v>14455</v>
      </c>
      <c r="O15" s="102" t="n"/>
      <c r="P15" s="100" t="inlineStr">
        <is>
          <t>Quantity Exceeded from the Work order project Manager Approval Required</t>
        </is>
      </c>
      <c r="Q15" s="88" t="n"/>
    </row>
    <row r="16" ht="165.6" customHeight="1" s="153">
      <c r="A16" s="4" t="inlineStr">
        <is>
          <t>Non-Interior Work</t>
        </is>
      </c>
      <c r="B16" s="4" t="inlineStr">
        <is>
          <t>Non-Interior Works</t>
        </is>
      </c>
      <c r="C16" s="4" t="inlineStr">
        <is>
          <t>BRICK AND PLASTER WORKS</t>
        </is>
      </c>
      <c r="D16" s="4" t="inlineStr">
        <is>
          <t>Cement Plaster Externals</t>
        </is>
      </c>
      <c r="E16"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F16" s="5" t="inlineStr">
        <is>
          <t>Sft</t>
        </is>
      </c>
      <c r="G16" s="5" t="n">
        <v>40</v>
      </c>
      <c r="H16" s="5" t="n">
        <v>50</v>
      </c>
      <c r="I16" s="5" t="n">
        <v>2000</v>
      </c>
      <c r="J16" s="5" t="n">
        <v>40</v>
      </c>
      <c r="K16" s="91" t="n">
        <v>143</v>
      </c>
      <c r="L16" s="5" t="n">
        <v>5720</v>
      </c>
      <c r="M16" s="90" t="n">
        <v>93</v>
      </c>
      <c r="N16" s="90" t="n">
        <v>3720</v>
      </c>
      <c r="O16" s="102" t="n"/>
      <c r="P16" s="100" t="inlineStr">
        <is>
          <t>Quantity Exceeded from the Work order project Manager Approval Required</t>
        </is>
      </c>
      <c r="Q16" s="88" t="n"/>
    </row>
    <row r="17" ht="96.59999999999999" customHeight="1" s="153">
      <c r="A17" s="4" t="inlineStr">
        <is>
          <t>Non-Interior Work</t>
        </is>
      </c>
      <c r="B17" s="4" t="inlineStr">
        <is>
          <t>Non-Interior Works</t>
        </is>
      </c>
      <c r="C17" s="4" t="inlineStr">
        <is>
          <t>METAL-WORK</t>
        </is>
      </c>
      <c r="D17" s="4" t="inlineStr">
        <is>
          <t>SS-handrails</t>
        </is>
      </c>
      <c r="E17"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F17" s="5" t="inlineStr">
        <is>
          <t>Rft</t>
        </is>
      </c>
      <c r="G17" s="5" t="n">
        <v>1275</v>
      </c>
      <c r="H17" s="5" t="n">
        <v>12</v>
      </c>
      <c r="I17" s="5" t="n">
        <v>15300</v>
      </c>
      <c r="J17" s="5" t="n">
        <v>1275</v>
      </c>
      <c r="K17" s="91" t="n">
        <v>37</v>
      </c>
      <c r="L17" s="5" t="n">
        <v>47175</v>
      </c>
      <c r="M17" s="90" t="n">
        <v>25</v>
      </c>
      <c r="N17" s="90" t="n">
        <v>31875</v>
      </c>
      <c r="O17" s="102" t="n"/>
      <c r="P17" s="100" t="inlineStr">
        <is>
          <t>Quantity Exceeded from the Work order project Manager Approval Required</t>
        </is>
      </c>
      <c r="Q17" s="88" t="n"/>
    </row>
    <row r="18" ht="179.4" customHeight="1" s="153">
      <c r="A18" s="4" t="inlineStr">
        <is>
          <t>Main BOQ</t>
        </is>
      </c>
      <c r="B18" s="4" t="inlineStr">
        <is>
          <t>CIVIL WORKS</t>
        </is>
      </c>
      <c r="C18" s="4" t="inlineStr">
        <is>
          <t>PAINTING</t>
        </is>
      </c>
      <c r="D18" s="4" t="inlineStr">
        <is>
          <t>Paint on Walls &amp;Ceiling</t>
        </is>
      </c>
      <c r="E18"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18" s="5" t="inlineStr">
        <is>
          <t>Sft</t>
        </is>
      </c>
      <c r="G18" s="5" t="n">
        <v>21</v>
      </c>
      <c r="H18" s="5" t="n">
        <v>956</v>
      </c>
      <c r="I18" s="5" t="n">
        <v>20076</v>
      </c>
      <c r="J18" s="5" t="n">
        <v>21</v>
      </c>
      <c r="K18" s="91" t="n">
        <v>971</v>
      </c>
      <c r="L18" s="5" t="n">
        <v>20391</v>
      </c>
      <c r="M18" s="90" t="n">
        <v>15</v>
      </c>
      <c r="N18" s="90" t="n">
        <v>315</v>
      </c>
      <c r="O18" s="102" t="n"/>
      <c r="P18" s="100" t="inlineStr">
        <is>
          <t>Quantity Exceeded from the Work order project Manager Approval Required</t>
        </is>
      </c>
      <c r="Q18" s="88" t="n"/>
    </row>
    <row r="19" ht="124.2" customHeight="1" s="153">
      <c r="A19" s="4" t="inlineStr">
        <is>
          <t>Main BOQ</t>
        </is>
      </c>
      <c r="B19" s="4" t="inlineStr">
        <is>
          <t>Carpentry Work</t>
        </is>
      </c>
      <c r="C19" s="4" t="inlineStr">
        <is>
          <t>PARTITIONS AND PANELLING</t>
        </is>
      </c>
      <c r="D19" s="4" t="inlineStr">
        <is>
          <t>Wall or Column paneling in customer lobby</t>
        </is>
      </c>
      <c r="E19"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F19" s="5" t="inlineStr">
        <is>
          <t>sft</t>
        </is>
      </c>
      <c r="G19" s="5" t="n">
        <v>260</v>
      </c>
      <c r="H19" s="5" t="n">
        <v>476</v>
      </c>
      <c r="I19" s="5" t="n">
        <v>123760</v>
      </c>
      <c r="J19" s="5" t="n">
        <v>260</v>
      </c>
      <c r="K19" s="91" t="n">
        <v>1477</v>
      </c>
      <c r="L19" s="5" t="n">
        <v>384020</v>
      </c>
      <c r="M19" s="90" t="n">
        <v>1001</v>
      </c>
      <c r="N19" s="90" t="n">
        <v>260260</v>
      </c>
      <c r="O19" s="102" t="n"/>
      <c r="P19" s="100" t="inlineStr">
        <is>
          <t>Quantity Exceeded from the Work order project Manager Approval Required</t>
        </is>
      </c>
      <c r="Q19" s="88" t="n"/>
    </row>
    <row r="20" ht="69" customHeight="1" s="153">
      <c r="A20" s="4" t="inlineStr">
        <is>
          <t>Main BOQ</t>
        </is>
      </c>
      <c r="B20" s="4" t="inlineStr">
        <is>
          <t>Carpentry Work</t>
        </is>
      </c>
      <c r="C20" s="4" t="inlineStr">
        <is>
          <t>PARTITIONS AND PANELLING</t>
        </is>
      </c>
      <c r="D20" s="4" t="inlineStr">
        <is>
          <t>ACP Panellings at Entrance</t>
        </is>
      </c>
      <c r="E20" s="4" t="inlineStr">
        <is>
          <t>Providing &amp;fixing of Exterior grade 3mm Thick Aluminum Composite Panel [ACP] in silver grey as per approved shade with Aluminium framing of 2 x 1
, Weather sealant including all necessary hardware etc. complete as directed</t>
        </is>
      </c>
      <c r="F20" s="5" t="inlineStr">
        <is>
          <t>sft</t>
        </is>
      </c>
      <c r="G20" s="5" t="n">
        <v>325</v>
      </c>
      <c r="H20" s="5" t="n">
        <v>740</v>
      </c>
      <c r="I20" s="5" t="n">
        <v>240500</v>
      </c>
      <c r="J20" s="5" t="n">
        <v>325</v>
      </c>
      <c r="K20" s="91" t="n">
        <v>792</v>
      </c>
      <c r="L20" s="5" t="n">
        <v>257400</v>
      </c>
      <c r="M20" s="90" t="n">
        <v>52</v>
      </c>
      <c r="N20" s="90" t="n">
        <v>16900</v>
      </c>
      <c r="O20" s="102" t="n"/>
      <c r="P20" s="100" t="inlineStr">
        <is>
          <t>Quantity Exceeded from the Work order project Manager Approval Required</t>
        </is>
      </c>
      <c r="Q20" s="88" t="n"/>
    </row>
    <row r="21" ht="138" customHeight="1" s="153">
      <c r="A21" s="4" t="inlineStr">
        <is>
          <t>Main BOQ</t>
        </is>
      </c>
      <c r="B21" s="4" t="inlineStr">
        <is>
          <t>Carpentry Work</t>
        </is>
      </c>
      <c r="C21" s="4" t="inlineStr">
        <is>
          <t>PARTITIONS AND PANELLING</t>
        </is>
      </c>
      <c r="D21" s="4" t="inlineStr">
        <is>
          <t>Full height Partition between ATM &amp;UPS room</t>
        </is>
      </c>
      <c r="E2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F21" s="5" t="inlineStr">
        <is>
          <t>sft</t>
        </is>
      </c>
      <c r="G21" s="5" t="n">
        <v>380</v>
      </c>
      <c r="H21" s="5" t="n">
        <v>83</v>
      </c>
      <c r="I21" s="5" t="n">
        <v>31540</v>
      </c>
      <c r="J21" s="5" t="n">
        <v>380</v>
      </c>
      <c r="K21" s="91" t="n">
        <v>119</v>
      </c>
      <c r="L21" s="5" t="n">
        <v>45220</v>
      </c>
      <c r="M21" s="90" t="n">
        <v>36</v>
      </c>
      <c r="N21" s="90" t="n">
        <v>13680</v>
      </c>
      <c r="O21" s="102" t="n"/>
      <c r="P21" s="100" t="inlineStr">
        <is>
          <t>Quantity Exceeded from the Work order project Manager Approval Required</t>
        </is>
      </c>
      <c r="Q21" s="88" t="n"/>
    </row>
    <row r="22" ht="151.8" customHeight="1" s="153">
      <c r="A22" s="4" t="inlineStr">
        <is>
          <t>Main BOQ</t>
        </is>
      </c>
      <c r="B22" s="4" t="inlineStr">
        <is>
          <t>Carpentry Work</t>
        </is>
      </c>
      <c r="C22" s="4" t="inlineStr">
        <is>
          <t>LOOSE FURNITURE</t>
        </is>
      </c>
      <c r="D22" s="4" t="inlineStr">
        <is>
          <t>Back Office Table E5</t>
        </is>
      </c>
      <c r="E22"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F22" s="5" t="inlineStr">
        <is>
          <t>nos</t>
        </is>
      </c>
      <c r="G22" s="5" t="n">
        <v>15000</v>
      </c>
      <c r="H22" s="5" t="n">
        <v>3</v>
      </c>
      <c r="I22" s="5" t="n">
        <v>45000</v>
      </c>
      <c r="J22" s="5" t="n">
        <v>15000</v>
      </c>
      <c r="K22" s="91" t="n">
        <v>6</v>
      </c>
      <c r="L22" s="5" t="n">
        <v>90000</v>
      </c>
      <c r="M22" s="90" t="n">
        <v>3</v>
      </c>
      <c r="N22" s="90" t="n">
        <v>45000</v>
      </c>
      <c r="O22" s="102" t="n"/>
      <c r="P22" s="100" t="inlineStr">
        <is>
          <t>Quantity Exceeded from the Work order project Manager Approval Required</t>
        </is>
      </c>
      <c r="Q22" s="88" t="n"/>
    </row>
    <row r="23" ht="124.2" customHeight="1" s="153">
      <c r="A23" s="4" t="inlineStr">
        <is>
          <t>Main BOQ</t>
        </is>
      </c>
      <c r="B23" s="4" t="inlineStr">
        <is>
          <t>Carpentry Work</t>
        </is>
      </c>
      <c r="C23" s="4" t="inlineStr">
        <is>
          <t>LOOSE FURNITURE</t>
        </is>
      </c>
      <c r="D23" s="4" t="inlineStr">
        <is>
          <t>Storage unit big E9</t>
        </is>
      </c>
      <c r="E23"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F23" s="5" t="inlineStr">
        <is>
          <t>nos</t>
        </is>
      </c>
      <c r="G23" s="5" t="n">
        <v>8500</v>
      </c>
      <c r="H23" s="5" t="n">
        <v>3</v>
      </c>
      <c r="I23" s="5" t="n">
        <v>25500</v>
      </c>
      <c r="J23" s="5" t="n">
        <v>8500</v>
      </c>
      <c r="K23" s="91" t="n">
        <v>4</v>
      </c>
      <c r="L23" s="5" t="n">
        <v>34000</v>
      </c>
      <c r="M23" s="90" t="n">
        <v>1</v>
      </c>
      <c r="N23" s="90" t="n">
        <v>8500</v>
      </c>
      <c r="O23" s="102" t="n"/>
      <c r="P23" s="100" t="inlineStr">
        <is>
          <t>Quantity Exceeded from the Work order project Manager Approval Required</t>
        </is>
      </c>
      <c r="Q23" s="88" t="n"/>
    </row>
    <row r="24" ht="52.8" customHeight="1" s="153">
      <c r="A24" s="4" t="inlineStr">
        <is>
          <t>Main BOQ</t>
        </is>
      </c>
      <c r="B24" s="4" t="inlineStr">
        <is>
          <t>Carpentry Work</t>
        </is>
      </c>
      <c r="C24" s="4" t="inlineStr">
        <is>
          <t>PARTITIONS AND PANELLING</t>
        </is>
      </c>
      <c r="D24" s="4" t="inlineStr">
        <is>
          <t>Aluminum Skirting</t>
        </is>
      </c>
      <c r="E24" s="4" t="inlineStr">
        <is>
          <t>Providing and fixing Bottomline _ Cubik _ Ebco make Alluminium skirting of 90mm height</t>
        </is>
      </c>
      <c r="F24" s="5" t="inlineStr">
        <is>
          <t>Rft</t>
        </is>
      </c>
      <c r="G24" s="5" t="n">
        <v>90</v>
      </c>
      <c r="H24" s="5" t="n">
        <v>174</v>
      </c>
      <c r="I24" s="5" t="n">
        <v>15660</v>
      </c>
      <c r="J24" s="5" t="n">
        <v>90</v>
      </c>
      <c r="K24" s="91" t="n">
        <v>224</v>
      </c>
      <c r="L24" s="5" t="n">
        <v>20160</v>
      </c>
      <c r="M24" s="90" t="n">
        <v>50</v>
      </c>
      <c r="N24" s="90" t="n">
        <v>4500</v>
      </c>
      <c r="O24" s="102" t="n"/>
      <c r="P24" s="100" t="inlineStr">
        <is>
          <t>Quantity Exceeded from the Work order project Manager Approval Required</t>
        </is>
      </c>
      <c r="Q24" s="88" t="n"/>
    </row>
    <row r="25" ht="165.6" customHeight="1" s="153">
      <c r="A25" s="4" t="inlineStr">
        <is>
          <t>Main BOQ</t>
        </is>
      </c>
      <c r="B25" s="4" t="inlineStr">
        <is>
          <t>CIVIL WORKS</t>
        </is>
      </c>
      <c r="C25" s="4" t="inlineStr">
        <is>
          <t>FLOORING AND DADO</t>
        </is>
      </c>
      <c r="D25" s="4" t="inlineStr">
        <is>
          <t>Kota Stone Flooring</t>
        </is>
      </c>
      <c r="E25"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F25" s="5" t="inlineStr">
        <is>
          <t>Sft</t>
        </is>
      </c>
      <c r="G25" s="5" t="n">
        <v>160</v>
      </c>
      <c r="H25" s="5" t="n">
        <v>170</v>
      </c>
      <c r="I25" s="5" t="n">
        <v>27200</v>
      </c>
      <c r="J25" s="5" t="n">
        <v>160</v>
      </c>
      <c r="K25" s="91" t="n">
        <v>176</v>
      </c>
      <c r="L25" s="5" t="n">
        <v>28160</v>
      </c>
      <c r="M25" s="90" t="n">
        <v>6</v>
      </c>
      <c r="N25" s="90" t="n">
        <v>960</v>
      </c>
      <c r="O25" s="102" t="n"/>
      <c r="P25" s="100" t="inlineStr">
        <is>
          <t>Quantity Exceeded from the Work order project Manager Approval Required</t>
        </is>
      </c>
      <c r="Q25" s="88" t="n"/>
    </row>
    <row r="26" ht="138" customHeight="1" s="153">
      <c r="A26" s="4" t="inlineStr">
        <is>
          <t>Main BOQ</t>
        </is>
      </c>
      <c r="B26" s="4" t="inlineStr">
        <is>
          <t>Carpentry Work</t>
        </is>
      </c>
      <c r="C26" s="4" t="inlineStr">
        <is>
          <t>DOORS AND WINDOWS</t>
        </is>
      </c>
      <c r="D26" s="4" t="inlineStr">
        <is>
          <t>Sliding door</t>
        </is>
      </c>
      <c r="E26"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F26" s="5" t="inlineStr">
        <is>
          <t>nos</t>
        </is>
      </c>
      <c r="G26" s="5" t="n"/>
      <c r="H26" s="5" t="n"/>
      <c r="I26" s="5" t="n"/>
      <c r="J26" s="5" t="n">
        <v>11000</v>
      </c>
      <c r="K26" s="91" t="n">
        <v>1</v>
      </c>
      <c r="L26" s="5" t="n">
        <v>11000</v>
      </c>
      <c r="M26" s="90" t="n">
        <v>1</v>
      </c>
      <c r="N26" s="90" t="n">
        <v>11000</v>
      </c>
      <c r="O26" s="103" t="inlineStr">
        <is>
          <t>Rate Approval required</t>
        </is>
      </c>
      <c r="P26" s="105" t="inlineStr">
        <is>
          <t>Quantities Not in Work order Project Manager Approval required</t>
        </is>
      </c>
      <c r="Q26" s="88" t="n"/>
    </row>
    <row r="27" ht="41.4" customHeight="1" s="153">
      <c r="A27" s="4" t="inlineStr">
        <is>
          <t>Non Standard</t>
        </is>
      </c>
      <c r="B27" s="4" t="inlineStr">
        <is>
          <t>Carpentry Work</t>
        </is>
      </c>
      <c r="C27" s="4" t="inlineStr">
        <is>
          <t>MISCELLANEOUS</t>
        </is>
      </c>
      <c r="D27" s="4" t="inlineStr">
        <is>
          <t>Corner Guard</t>
        </is>
      </c>
      <c r="E27" s="4" t="inlineStr">
        <is>
          <t>Corner Guard</t>
        </is>
      </c>
      <c r="F27" s="5" t="inlineStr">
        <is>
          <t>Rft</t>
        </is>
      </c>
      <c r="G27" s="5" t="n"/>
      <c r="H27" s="5" t="n"/>
      <c r="I27" s="5" t="n"/>
      <c r="J27" s="5" t="n">
        <v>65</v>
      </c>
      <c r="K27" s="91" t="n">
        <v>123</v>
      </c>
      <c r="L27" s="5" t="n">
        <v>7995</v>
      </c>
      <c r="M27" s="90" t="n">
        <v>123</v>
      </c>
      <c r="N27" s="90" t="n">
        <v>7995</v>
      </c>
      <c r="O27" s="103" t="inlineStr">
        <is>
          <t>Rate Approval required</t>
        </is>
      </c>
      <c r="P27" s="105" t="inlineStr">
        <is>
          <t>Quantities Not in Work order Project Manager Approval required</t>
        </is>
      </c>
      <c r="Q27" s="88" t="n"/>
    </row>
    <row r="28" ht="55.2" customHeight="1" s="153">
      <c r="A28" s="4" t="inlineStr">
        <is>
          <t>Non-Standard</t>
        </is>
      </c>
      <c r="B28" s="4" t="inlineStr">
        <is>
          <t>Carpentry Work</t>
        </is>
      </c>
      <c r="C28" s="4" t="inlineStr">
        <is>
          <t>Carpentry Work</t>
        </is>
      </c>
      <c r="D28" s="4" t="inlineStr">
        <is>
          <t>Pantry Table</t>
        </is>
      </c>
      <c r="E28" s="4" t="inlineStr">
        <is>
          <t>Providing &amp; fixing the Pantry Table with MS Base, used in 25mm thick ply with both side laminet with top edge 2mm thik banding, MS Base with powder coated as per details given. ( Size - 4' x 3' )</t>
        </is>
      </c>
      <c r="F28" s="5" t="inlineStr">
        <is>
          <t>Nos</t>
        </is>
      </c>
      <c r="G28" s="5" t="n"/>
      <c r="H28" s="5" t="n"/>
      <c r="I28" s="5" t="n"/>
      <c r="J28" s="5" t="n">
        <v>12500</v>
      </c>
      <c r="K28" s="91" t="n">
        <v>1</v>
      </c>
      <c r="L28" s="5" t="n">
        <v>12500</v>
      </c>
      <c r="M28" s="90" t="n">
        <v>1</v>
      </c>
      <c r="N28" s="90" t="n">
        <v>12500</v>
      </c>
      <c r="O28" s="103" t="inlineStr">
        <is>
          <t>Rate Approval required</t>
        </is>
      </c>
      <c r="P28" s="105" t="inlineStr">
        <is>
          <t>Quantities Not in Work order Project Manager Approval required</t>
        </is>
      </c>
      <c r="Q28" s="88" t="n"/>
    </row>
    <row r="29" ht="69" customHeight="1" s="153">
      <c r="A29" s="4" t="inlineStr">
        <is>
          <t>Main BOQ</t>
        </is>
      </c>
      <c r="B29" s="4" t="inlineStr">
        <is>
          <t>Carpentry Work</t>
        </is>
      </c>
      <c r="C29" s="4" t="inlineStr">
        <is>
          <t>PARTITIONS AND PANELLING</t>
        </is>
      </c>
      <c r="D29" s="4" t="inlineStr">
        <is>
          <t>ATM Door Back Room</t>
        </is>
      </c>
      <c r="E29" s="4" t="inlineStr">
        <is>
          <t>ATM back room door - Providing and fixing ATM back room door, made of 25mm commercial ply or HDHMR boards finished in 1mm high gloss laminate, with lock, magnet and all fittings, as per approved design.  Ply make- Century, Greenply, Kitply. Laminate</t>
        </is>
      </c>
      <c r="F29" s="5" t="inlineStr">
        <is>
          <t>Sft</t>
        </is>
      </c>
      <c r="G29" s="5" t="n"/>
      <c r="H29" s="5" t="n"/>
      <c r="I29" s="5" t="n"/>
      <c r="J29" s="5" t="n">
        <v>300</v>
      </c>
      <c r="K29" s="91" t="n">
        <v>14</v>
      </c>
      <c r="L29" s="5" t="n">
        <v>4200</v>
      </c>
      <c r="M29" s="90" t="n">
        <v>14</v>
      </c>
      <c r="N29" s="90" t="n">
        <v>4200</v>
      </c>
      <c r="O29" s="103" t="inlineStr">
        <is>
          <t>Rate Approval required</t>
        </is>
      </c>
      <c r="P29" s="105" t="inlineStr">
        <is>
          <t>Quantities Not in Work order Project Manager Approval required</t>
        </is>
      </c>
      <c r="Q29" s="88" t="n"/>
    </row>
    <row r="30" ht="138" customHeight="1" s="153">
      <c r="A30" s="4" t="inlineStr">
        <is>
          <t>Main BOQ</t>
        </is>
      </c>
      <c r="B30" s="4" t="inlineStr">
        <is>
          <t>CIVIL WORKS</t>
        </is>
      </c>
      <c r="C30" s="4" t="inlineStr">
        <is>
          <t>FLOORING AND DADO</t>
        </is>
      </c>
      <c r="D30" s="4" t="inlineStr">
        <is>
          <t>External Flooring in Granite</t>
        </is>
      </c>
      <c r="E30"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F30" s="5" t="inlineStr">
        <is>
          <t>Sft</t>
        </is>
      </c>
      <c r="G30" s="5" t="n"/>
      <c r="H30" s="5" t="n"/>
      <c r="I30" s="5" t="n"/>
      <c r="J30" s="5" t="n">
        <v>350</v>
      </c>
      <c r="K30" s="91" t="n">
        <v>43</v>
      </c>
      <c r="L30" s="5" t="n">
        <v>15050</v>
      </c>
      <c r="M30" s="90" t="n">
        <v>43</v>
      </c>
      <c r="N30" s="90" t="n">
        <v>15050</v>
      </c>
      <c r="O30" s="103" t="inlineStr">
        <is>
          <t>Rate Approval required</t>
        </is>
      </c>
      <c r="P30" s="105" t="inlineStr">
        <is>
          <t>Quantities Not in Work order Project Manager Approval required</t>
        </is>
      </c>
      <c r="Q30" s="88" t="n"/>
    </row>
    <row r="31" ht="96.59999999999999" customHeight="1" s="153">
      <c r="A31" s="4" t="inlineStr">
        <is>
          <t>Main BOQ</t>
        </is>
      </c>
      <c r="B31" s="4" t="inlineStr">
        <is>
          <t>Carpentry Work</t>
        </is>
      </c>
      <c r="C31" s="4" t="inlineStr">
        <is>
          <t>LOOSE FURNITURE</t>
        </is>
      </c>
      <c r="D31" s="4" t="inlineStr">
        <is>
          <t>Writing Ledge 33 inch X18 inch Glass top ALLEN Model</t>
        </is>
      </c>
      <c r="E31"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F31" s="5" t="inlineStr">
        <is>
          <t>nos</t>
        </is>
      </c>
      <c r="G31" s="5" t="n"/>
      <c r="H31" s="5" t="n"/>
      <c r="I31" s="5" t="n"/>
      <c r="J31" s="5" t="n">
        <v>5500</v>
      </c>
      <c r="K31" s="91" t="n">
        <v>1</v>
      </c>
      <c r="L31" s="5" t="n">
        <v>5500</v>
      </c>
      <c r="M31" s="90" t="n">
        <v>1</v>
      </c>
      <c r="N31" s="90" t="n">
        <v>5500</v>
      </c>
      <c r="O31" s="103" t="inlineStr">
        <is>
          <t>Rate Approval required</t>
        </is>
      </c>
      <c r="P31" s="105" t="inlineStr">
        <is>
          <t>Quantities Not in Work order Project Manager Approval required</t>
        </is>
      </c>
      <c r="Q31" s="88" t="n"/>
    </row>
    <row r="32" ht="96.59999999999999" customHeight="1" s="153">
      <c r="A32" s="4" t="inlineStr">
        <is>
          <t>Non-Interior Work</t>
        </is>
      </c>
      <c r="B32" s="4" t="inlineStr">
        <is>
          <t>Non-Interior Works</t>
        </is>
      </c>
      <c r="C32" s="4" t="inlineStr">
        <is>
          <t>BRICK AND PLASTER WORKS</t>
        </is>
      </c>
      <c r="D32" s="4" t="inlineStr">
        <is>
          <t>MS Grill work for Strong Room Ceiling - applicable only in case no RCC is possible for ceiling</t>
        </is>
      </c>
      <c r="E32"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F32" s="5" t="inlineStr">
        <is>
          <t>Sft</t>
        </is>
      </c>
      <c r="G32" s="5" t="n"/>
      <c r="H32" s="5" t="n"/>
      <c r="I32" s="5" t="n"/>
      <c r="J32" s="5" t="n">
        <v>800</v>
      </c>
      <c r="K32" s="91" t="n">
        <v>90</v>
      </c>
      <c r="L32" s="5" t="n">
        <v>72000</v>
      </c>
      <c r="M32" s="90" t="n">
        <v>90</v>
      </c>
      <c r="N32" s="90" t="n">
        <v>72000</v>
      </c>
      <c r="O32" s="103" t="inlineStr">
        <is>
          <t>Rate Approval required</t>
        </is>
      </c>
      <c r="P32" s="105" t="inlineStr">
        <is>
          <t>Quantities Not in Work order Project Manager Approval required</t>
        </is>
      </c>
      <c r="Q32" s="88" t="n"/>
    </row>
    <row r="33" ht="41.4" customHeight="1" s="153">
      <c r="A33" s="4" t="inlineStr">
        <is>
          <t>Non Standard</t>
        </is>
      </c>
      <c r="B33" s="4" t="inlineStr">
        <is>
          <t>Non-Interior Works</t>
        </is>
      </c>
      <c r="C33" s="4" t="inlineStr">
        <is>
          <t>METAL-WORK</t>
        </is>
      </c>
      <c r="D33" s="4" t="inlineStr">
        <is>
          <t>Ms Staircase</t>
        </is>
      </c>
      <c r="E33" s="4" t="inlineStr">
        <is>
          <t>MS Sataircase</t>
        </is>
      </c>
      <c r="F33" s="5" t="inlineStr">
        <is>
          <t>L/s</t>
        </is>
      </c>
      <c r="G33" s="5" t="n"/>
      <c r="H33" s="5" t="n"/>
      <c r="I33" s="5" t="n"/>
      <c r="J33" s="5" t="n">
        <v>70000</v>
      </c>
      <c r="K33" s="91" t="n">
        <v>1</v>
      </c>
      <c r="L33" s="5" t="n">
        <v>70000</v>
      </c>
      <c r="M33" s="90" t="n">
        <v>1</v>
      </c>
      <c r="N33" s="90" t="n">
        <v>70000</v>
      </c>
      <c r="O33" s="103" t="inlineStr">
        <is>
          <t>Rate Approval required</t>
        </is>
      </c>
      <c r="P33" s="105" t="inlineStr">
        <is>
          <t>Quantities Not in Work order Project Manager Approval required</t>
        </is>
      </c>
      <c r="Q33" s="88" t="n"/>
    </row>
    <row r="34" ht="124.2" customHeight="1" s="153">
      <c r="A34" s="4" t="inlineStr">
        <is>
          <t>Main BOQ</t>
        </is>
      </c>
      <c r="B34" s="4" t="inlineStr">
        <is>
          <t>Carpentry Work</t>
        </is>
      </c>
      <c r="C34" s="4" t="inlineStr">
        <is>
          <t>LOOSE FURNITURE</t>
        </is>
      </c>
      <c r="D34" s="4" t="inlineStr">
        <is>
          <t>Pedestal unit E10</t>
        </is>
      </c>
      <c r="E34"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F34" s="5" t="inlineStr">
        <is>
          <t>nos</t>
        </is>
      </c>
      <c r="G34" s="5" t="n"/>
      <c r="H34" s="5" t="n"/>
      <c r="I34" s="5" t="n"/>
      <c r="J34" s="5" t="n">
        <v>5000</v>
      </c>
      <c r="K34" s="91" t="n">
        <v>6</v>
      </c>
      <c r="L34" s="5" t="n">
        <v>30000</v>
      </c>
      <c r="M34" s="90" t="n">
        <v>6</v>
      </c>
      <c r="N34" s="90" t="n">
        <v>30000</v>
      </c>
      <c r="O34" s="103" t="inlineStr">
        <is>
          <t>Rate Approval required</t>
        </is>
      </c>
      <c r="P34" s="105" t="inlineStr">
        <is>
          <t>Quantities Not in Work order Project Manager Approval required</t>
        </is>
      </c>
      <c r="Q34" s="88" t="n"/>
    </row>
    <row r="35" ht="234.6" customHeight="1" s="153">
      <c r="A35" s="4" t="inlineStr">
        <is>
          <t>Non-Interior Work</t>
        </is>
      </c>
      <c r="B35" s="4" t="inlineStr">
        <is>
          <t>Non-Interior Works</t>
        </is>
      </c>
      <c r="C35" s="4" t="inlineStr">
        <is>
          <t>BRICK AND PLASTER WORKS</t>
        </is>
      </c>
      <c r="D35" s="4" t="inlineStr">
        <is>
          <t>9 inch thick  walls in Siporex with both side plaster</t>
        </is>
      </c>
      <c r="E35"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F35" s="5" t="inlineStr">
        <is>
          <t>Sft</t>
        </is>
      </c>
      <c r="G35" s="5" t="n"/>
      <c r="H35" s="5" t="n"/>
      <c r="I35" s="5" t="n"/>
      <c r="J35" s="5" t="n">
        <v>180</v>
      </c>
      <c r="K35" s="91" t="n">
        <v>32</v>
      </c>
      <c r="L35" s="5" t="n">
        <v>5760</v>
      </c>
      <c r="M35" s="90" t="n">
        <v>32</v>
      </c>
      <c r="N35" s="90" t="n">
        <v>5760</v>
      </c>
      <c r="O35" s="103" t="inlineStr">
        <is>
          <t>Rate Approval required</t>
        </is>
      </c>
      <c r="P35" s="105" t="inlineStr">
        <is>
          <t>Quantities Not in Work order Project Manager Approval required</t>
        </is>
      </c>
      <c r="Q35" s="88" t="n"/>
    </row>
    <row r="36" ht="220.8" customHeight="1" s="153">
      <c r="A36" s="4" t="inlineStr">
        <is>
          <t>Non-Interior Work</t>
        </is>
      </c>
      <c r="B36" s="4" t="inlineStr">
        <is>
          <t>Non-Interior Works</t>
        </is>
      </c>
      <c r="C36" s="4" t="inlineStr">
        <is>
          <t>BRICK AND PLASTER WORKS</t>
        </is>
      </c>
      <c r="D36" s="4" t="inlineStr">
        <is>
          <t>9 inch thk. RCC for Strong Room walls with both side plaster</t>
        </is>
      </c>
      <c r="E36"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F36" s="5" t="inlineStr">
        <is>
          <t>Cft</t>
        </is>
      </c>
      <c r="G36" s="5" t="n"/>
      <c r="H36" s="5" t="n"/>
      <c r="I36" s="5" t="n"/>
      <c r="J36" s="5" t="n">
        <v>625</v>
      </c>
      <c r="K36" s="91" t="n">
        <v>484</v>
      </c>
      <c r="L36" s="5" t="n">
        <v>302500</v>
      </c>
      <c r="M36" s="90" t="n">
        <v>484</v>
      </c>
      <c r="N36" s="90" t="n">
        <v>302500</v>
      </c>
      <c r="O36" s="103" t="inlineStr">
        <is>
          <t>Rate Approval required</t>
        </is>
      </c>
      <c r="P36" s="105" t="inlineStr">
        <is>
          <t>Quantities Not in Work order Project Manager Approval required</t>
        </is>
      </c>
      <c r="Q36" s="88" t="n"/>
    </row>
    <row r="37" ht="41.4" customHeight="1" s="153">
      <c r="A37" s="4" t="inlineStr">
        <is>
          <t>Non Standard</t>
        </is>
      </c>
      <c r="B37" s="4" t="inlineStr">
        <is>
          <t>Non-Interior Works</t>
        </is>
      </c>
      <c r="C37" s="4" t="inlineStr">
        <is>
          <t>PARTITIONS AND PANELLING</t>
        </is>
      </c>
      <c r="D37" s="4" t="inlineStr">
        <is>
          <t>Ply Panelling</t>
        </is>
      </c>
      <c r="E37" s="4" t="inlineStr">
        <is>
          <t>Providing &amp; fixing Ply Panelling for Staircase &amp; ATM Ceiling</t>
        </is>
      </c>
      <c r="F37" s="5" t="inlineStr">
        <is>
          <t>Sq.ft</t>
        </is>
      </c>
      <c r="G37" s="5" t="n"/>
      <c r="H37" s="5" t="n"/>
      <c r="I37" s="5" t="n"/>
      <c r="J37" s="5" t="n">
        <v>185</v>
      </c>
      <c r="K37" s="91" t="n">
        <v>181</v>
      </c>
      <c r="L37" s="5" t="n">
        <v>33485</v>
      </c>
      <c r="M37" s="90" t="n">
        <v>181</v>
      </c>
      <c r="N37" s="90" t="n">
        <v>33485</v>
      </c>
      <c r="O37" s="103" t="inlineStr">
        <is>
          <t>Rate Approval required</t>
        </is>
      </c>
      <c r="P37" s="105" t="inlineStr">
        <is>
          <t>Quantities Not in Work order Project Manager Approval required</t>
        </is>
      </c>
      <c r="Q37" s="88" t="n"/>
    </row>
    <row r="38" ht="41.4" customHeight="1" s="153">
      <c r="A38" s="4" t="inlineStr">
        <is>
          <t>Non Standard</t>
        </is>
      </c>
      <c r="B38" s="4" t="inlineStr">
        <is>
          <t>Non-Interior Works</t>
        </is>
      </c>
      <c r="C38" s="4" t="inlineStr">
        <is>
          <t>MISCELLANEOUS</t>
        </is>
      </c>
      <c r="D38" s="4" t="inlineStr">
        <is>
          <t>LABOUR MATHADI</t>
        </is>
      </c>
      <c r="E38" s="4" t="inlineStr">
        <is>
          <t>ADDITIONAL LABOUR CHARGES FOR MATHADI</t>
        </is>
      </c>
      <c r="F38" s="5" t="inlineStr">
        <is>
          <t>LS</t>
        </is>
      </c>
      <c r="G38" s="5" t="n"/>
      <c r="H38" s="5" t="n"/>
      <c r="I38" s="5" t="n"/>
      <c r="J38" s="5" t="n">
        <v>36000</v>
      </c>
      <c r="K38" s="91" t="n">
        <v>1</v>
      </c>
      <c r="L38" s="5" t="n">
        <v>36000</v>
      </c>
      <c r="M38" s="90" t="n">
        <v>1</v>
      </c>
      <c r="N38" s="90" t="n">
        <v>36000</v>
      </c>
      <c r="O38" s="103" t="inlineStr">
        <is>
          <t>Rate Approval required</t>
        </is>
      </c>
      <c r="P38" s="105" t="inlineStr">
        <is>
          <t>Quantities Not in Work order Project Manager Approval required</t>
        </is>
      </c>
      <c r="Q38" s="88" t="n"/>
    </row>
    <row r="39" ht="262.2" customHeight="1" s="153">
      <c r="A39" s="4" t="inlineStr">
        <is>
          <t>Non-Interior Work</t>
        </is>
      </c>
      <c r="B39" s="4" t="inlineStr">
        <is>
          <t>Non-Interior Works</t>
        </is>
      </c>
      <c r="C39" s="4" t="inlineStr">
        <is>
          <t>BRICK AND PLASTER WORKS</t>
        </is>
      </c>
      <c r="D39" s="4" t="inlineStr">
        <is>
          <t>4.5 inch thick walls in Siporex with both side plaster</t>
        </is>
      </c>
      <c r="E39"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F39" s="5" t="inlineStr">
        <is>
          <t>Sq.ft</t>
        </is>
      </c>
      <c r="G39" s="5" t="n"/>
      <c r="H39" s="5" t="n"/>
      <c r="I39" s="5" t="n"/>
      <c r="J39" s="5" t="n">
        <v>140</v>
      </c>
      <c r="K39" s="91" t="n">
        <v>158</v>
      </c>
      <c r="L39" s="5" t="n">
        <v>22120</v>
      </c>
      <c r="M39" s="90" t="n">
        <v>158</v>
      </c>
      <c r="N39" s="90" t="n">
        <v>22120</v>
      </c>
      <c r="O39" s="103" t="inlineStr">
        <is>
          <t>Rate Approval required</t>
        </is>
      </c>
      <c r="P39" s="105" t="inlineStr">
        <is>
          <t>Quantities Not in Work order Project Manager Approval required</t>
        </is>
      </c>
      <c r="Q39" s="88" t="n"/>
    </row>
    <row r="40" ht="82.8" customHeight="1" s="153">
      <c r="A40" s="4" t="inlineStr">
        <is>
          <t>Non Standard</t>
        </is>
      </c>
      <c r="B40" s="4" t="inlineStr">
        <is>
          <t>Non-Interior Works</t>
        </is>
      </c>
      <c r="C40" s="4" t="inlineStr">
        <is>
          <t>DOORS AND WINDOWS</t>
        </is>
      </c>
      <c r="D40" s="4" t="inlineStr">
        <is>
          <t xml:space="preserve">Aluminium Door Frame 50mmx 38mm ( Door Size - 1050 x 2400mm ) </t>
        </is>
      </c>
      <c r="E40" s="4" t="inlineStr">
        <is>
          <t xml:space="preserve">Aluminium Door Frame 50mmx 38mm ( Door Size - 1050 x 2400mm ) </t>
        </is>
      </c>
      <c r="F40" s="5" t="inlineStr">
        <is>
          <t>Nos</t>
        </is>
      </c>
      <c r="G40" s="5" t="n"/>
      <c r="H40" s="5" t="n"/>
      <c r="I40" s="5" t="n"/>
      <c r="J40" s="5" t="n">
        <v>10000</v>
      </c>
      <c r="K40" s="92" t="n">
        <v>2</v>
      </c>
      <c r="L40" s="5" t="n">
        <v>20000</v>
      </c>
      <c r="M40" s="90" t="n">
        <v>2</v>
      </c>
      <c r="N40" s="90" t="n">
        <v>20000</v>
      </c>
      <c r="O40" s="103" t="inlineStr">
        <is>
          <t>Rate Approval required</t>
        </is>
      </c>
      <c r="P40" s="105" t="inlineStr">
        <is>
          <t>Quantities Not in Work order Project Manager Approval required</t>
        </is>
      </c>
      <c r="Q40" s="88" t="n"/>
    </row>
  </sheetData>
  <mergeCells count="3">
    <mergeCell ref="M1:N1"/>
    <mergeCell ref="J1:L1"/>
    <mergeCell ref="G1:I1"/>
  </mergeCell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Sheet1">
    <outlinePr summaryBelow="1" summaryRight="1"/>
    <pageSetUpPr/>
  </sheetPr>
  <dimension ref="A1:D19"/>
  <sheetViews>
    <sheetView view="pageBreakPreview" zoomScaleNormal="100" zoomScaleSheetLayoutView="100" workbookViewId="0">
      <selection activeCell="C14" sqref="C14"/>
    </sheetView>
  </sheetViews>
  <sheetFormatPr baseColWidth="8" defaultRowHeight="13.2"/>
  <cols>
    <col width="54.77734375" customWidth="1" style="38" min="1" max="1"/>
    <col width="16.5546875" bestFit="1" customWidth="1" style="38" min="2" max="2"/>
    <col width="16" bestFit="1" customWidth="1" style="38" min="3" max="3"/>
    <col width="22.44140625" customWidth="1" style="38" min="4" max="4"/>
    <col width="8.88671875" customWidth="1" style="38" min="5" max="16384"/>
  </cols>
  <sheetData>
    <row r="1" ht="14.4" customHeight="1" s="153">
      <c r="A1" s="48" t="inlineStr">
        <is>
          <t xml:space="preserve">Client : ICICI Bank Ltd, </t>
        </is>
      </c>
      <c r="B1" s="49" t="n"/>
      <c r="C1" s="49" t="n"/>
      <c r="D1" s="49" t="n"/>
    </row>
    <row r="2" ht="14.4" customHeight="1" s="153">
      <c r="A2" s="48" t="inlineStr">
        <is>
          <t>Project : ICICI Bank Ltd - Chaphekar, Chowk, Pune</t>
        </is>
      </c>
      <c r="B2" s="49" t="n"/>
      <c r="C2" s="49" t="n"/>
      <c r="D2" s="49" t="n"/>
    </row>
    <row r="3" ht="14.4" customHeight="1" s="153">
      <c r="A3" s="48" t="inlineStr">
        <is>
          <t>Location : Chaphekar, Chowk, Pune</t>
        </is>
      </c>
      <c r="B3" s="49" t="n"/>
      <c r="C3" s="49" t="n"/>
      <c r="D3" s="49" t="n"/>
    </row>
    <row r="4" ht="14.4" customHeight="1" s="153">
      <c r="A4" s="48" t="inlineStr">
        <is>
          <t>TKO Name: Bella inter décor</t>
        </is>
      </c>
      <c r="B4" s="49" t="n"/>
      <c r="C4" s="49" t="n"/>
      <c r="D4" s="49" t="n"/>
    </row>
    <row r="5" ht="14.4" customHeight="1" s="153">
      <c r="A5" s="48" t="inlineStr">
        <is>
          <t>PO No.: POCap-318369</t>
        </is>
      </c>
      <c r="B5" s="49" t="n"/>
      <c r="C5" s="49" t="n"/>
      <c r="D5" s="49" t="n"/>
    </row>
    <row r="6" ht="14.4" customHeight="1" s="153">
      <c r="A6" s="48" t="inlineStr">
        <is>
          <t>PO Date: 21/06/2025</t>
        </is>
      </c>
      <c r="B6" s="49" t="n"/>
      <c r="C6" s="49" t="n"/>
      <c r="D6" s="49" t="n"/>
    </row>
    <row r="7">
      <c r="A7" s="49" t="n"/>
      <c r="B7" s="49" t="n"/>
      <c r="C7" s="49" t="n"/>
      <c r="D7" s="49" t="n"/>
    </row>
    <row r="8">
      <c r="A8" s="152" t="inlineStr">
        <is>
          <t>Cost of Summary</t>
        </is>
      </c>
    </row>
    <row r="9" ht="13.8" customHeight="1" s="153" thickBot="1">
      <c r="A9" s="49" t="n"/>
      <c r="B9" s="49" t="n"/>
      <c r="C9" s="49" t="n"/>
      <c r="D9" s="49" t="n"/>
    </row>
    <row r="10" ht="27" customHeight="1" s="153" thickBot="1">
      <c r="A10" s="39" t="inlineStr">
        <is>
          <t>DESCRIPTION</t>
        </is>
      </c>
      <c r="B10" s="40" t="inlineStr">
        <is>
          <t>P ORDER
AMOUNT</t>
        </is>
      </c>
      <c r="C10" s="8" t="inlineStr">
        <is>
          <t>FINAL BILL AMOUNT</t>
        </is>
      </c>
      <c r="D10" s="9" t="inlineStr">
        <is>
          <t>REMARKS</t>
        </is>
      </c>
    </row>
    <row r="11">
      <c r="A11" s="41" t="inlineStr">
        <is>
          <t>CIVIL WORKS</t>
        </is>
      </c>
      <c r="B11" s="10">
        <f>SUMIF(BOQ!B:B,SUMMARY!A11,BOQ!J:J)</f>
        <v/>
      </c>
      <c r="C11" s="10">
        <f>SUMIF(BOQ!B:B,SUMMARY!A11,BOQ!N:N)</f>
        <v/>
      </c>
      <c r="D11" s="11" t="n"/>
    </row>
    <row r="12">
      <c r="A12" s="42" t="inlineStr">
        <is>
          <t>Carpentry Work</t>
        </is>
      </c>
      <c r="B12" s="10">
        <f>SUMIF(BOQ!B:B,SUMMARY!A12,BOQ!J:J)</f>
        <v/>
      </c>
      <c r="C12" s="10">
        <f>SUMIF(BOQ!B:B,SUMMARY!A12,BOQ!N:N)</f>
        <v/>
      </c>
      <c r="D12" s="11" t="n"/>
    </row>
    <row r="13">
      <c r="A13" s="42" t="inlineStr">
        <is>
          <t>Electrical Works</t>
        </is>
      </c>
      <c r="B13" s="10">
        <f>SUMIF(BOQ!B:B,SUMMARY!A13,BOQ!J:J)</f>
        <v/>
      </c>
      <c r="C13" s="10">
        <f>SUMIF(BOQ!B:B,SUMMARY!A13,BOQ!N:N)</f>
        <v/>
      </c>
      <c r="D13" s="11" t="n"/>
    </row>
    <row r="14">
      <c r="A14" s="42" t="inlineStr">
        <is>
          <t>Non-Interior Works</t>
        </is>
      </c>
      <c r="B14" s="10">
        <f>SUMIF(BOQ!B:B,SUMMARY!A14,BOQ!J:J)</f>
        <v/>
      </c>
      <c r="C14" s="10">
        <f>SUMIF(BOQ!B:B,SUMMARY!A14,BOQ!N:N)</f>
        <v/>
      </c>
      <c r="D14" s="11" t="n"/>
    </row>
    <row r="15">
      <c r="A15" s="42" t="inlineStr">
        <is>
          <t>Electricity &amp;Diesel Expenses to TKO</t>
        </is>
      </c>
      <c r="B15" s="10">
        <f>SUMIF(BOQ!B:B,SUMMARY!A15,BOQ!J:J)</f>
        <v/>
      </c>
      <c r="C15" s="10">
        <f>SUMIF(BOQ!B:B,SUMMARY!A15,BOQ!N:N)</f>
        <v/>
      </c>
      <c r="D15" s="11" t="n"/>
    </row>
    <row r="16">
      <c r="A16" s="42" t="inlineStr">
        <is>
          <t>Reimbursement of Vendor Elements</t>
        </is>
      </c>
      <c r="B16" s="10">
        <f>SUMIF(BOQ!B:B,SUMMARY!A16,BOQ!J:J)</f>
        <v/>
      </c>
      <c r="C16" s="10">
        <f>SUMIF(BOQ!B:B,SUMMARY!A16,BOQ!N:N)</f>
        <v/>
      </c>
      <c r="D16" s="11" t="n"/>
    </row>
    <row r="17" ht="13.8" customHeight="1" s="153" thickBot="1">
      <c r="A17" s="42" t="n"/>
      <c r="B17" s="10" t="n"/>
      <c r="C17" s="10">
        <f>SUMIF(BOQ!B:B,SUMMARY!A17,BOQ!N:N)</f>
        <v/>
      </c>
      <c r="D17" s="11" t="n"/>
    </row>
    <row r="18" ht="13.8" customHeight="1" s="153" thickBot="1">
      <c r="A18" s="43" t="inlineStr">
        <is>
          <t>SUB TOTAL AMOUNT</t>
        </is>
      </c>
      <c r="B18" s="12">
        <f>SUM(B11:B17)</f>
        <v/>
      </c>
      <c r="C18" s="12">
        <f>SUM(C11:C17)</f>
        <v/>
      </c>
      <c r="D18" s="13" t="n"/>
    </row>
    <row r="19">
      <c r="B19" s="44" t="n"/>
      <c r="C19" s="44">
        <f>B18-C18</f>
        <v/>
      </c>
    </row>
  </sheetData>
  <mergeCells count="1">
    <mergeCell ref="A8:D8"/>
  </mergeCells>
  <pageMargins left="0.7" right="0.7" top="0.75" bottom="0.75" header="0.3" footer="0.3"/>
  <pageSetup orientation="portrait" scale="92"/>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3.2"/>
  <cols>
    <col width="6.77734375" bestFit="1" customWidth="1" style="153" min="1" max="1"/>
    <col width="38.33203125" bestFit="1" customWidth="1" style="153" min="2" max="2"/>
    <col width="20.88671875" bestFit="1" customWidth="1" style="153" min="3" max="3"/>
    <col width="21.77734375" bestFit="1" customWidth="1" style="153" min="4" max="4"/>
    <col width="12.6640625" bestFit="1" customWidth="1" style="153" min="5" max="5"/>
    <col width="11.6640625" bestFit="1" customWidth="1" style="153" min="6" max="7"/>
    <col width="11.21875" bestFit="1" customWidth="1" style="153" min="9" max="11"/>
  </cols>
  <sheetData>
    <row r="1" customFormat="1" s="94">
      <c r="A1" s="94" t="inlineStr">
        <is>
          <t>Sr.No.</t>
        </is>
      </c>
      <c r="B1" s="94" t="inlineStr">
        <is>
          <t>Particulars</t>
        </is>
      </c>
      <c r="C1" s="94" t="inlineStr">
        <is>
          <t>As per WO Amount (Rs)</t>
        </is>
      </c>
      <c r="D1" s="94" t="inlineStr">
        <is>
          <t>As Per CWI Amount (Rs)</t>
        </is>
      </c>
      <c r="E1" s="94" t="inlineStr">
        <is>
          <t>Excess</t>
        </is>
      </c>
      <c r="F1" s="94" t="inlineStr">
        <is>
          <t>Saving</t>
        </is>
      </c>
      <c r="G1" s="94" t="inlineStr">
        <is>
          <t>Total</t>
        </is>
      </c>
    </row>
    <row r="2">
      <c r="A2" s="0" t="inlineStr">
        <is>
          <t>I</t>
        </is>
      </c>
      <c r="B2" s="0" t="inlineStr">
        <is>
          <t>CIVIL WORKS</t>
        </is>
      </c>
      <c r="C2" s="172" t="n">
        <v>497698</v>
      </c>
      <c r="D2" s="172" t="n">
        <v>461298</v>
      </c>
      <c r="E2" s="172" t="n">
        <v>23340</v>
      </c>
      <c r="F2" s="172" t="n">
        <v>-59740</v>
      </c>
      <c r="G2" s="172" t="n">
        <v>-36400</v>
      </c>
    </row>
    <row r="3">
      <c r="A3" s="0" t="inlineStr">
        <is>
          <t>II</t>
        </is>
      </c>
      <c r="B3" s="0" t="inlineStr">
        <is>
          <t>Carpentry Work</t>
        </is>
      </c>
      <c r="C3" s="172" t="n">
        <v>1762843</v>
      </c>
      <c r="D3" s="172" t="n">
        <v>2010248</v>
      </c>
      <c r="E3" s="172" t="n">
        <v>514185</v>
      </c>
      <c r="F3" s="172" t="n">
        <v>-266780</v>
      </c>
      <c r="G3" s="172" t="n">
        <v>247405</v>
      </c>
    </row>
    <row r="4">
      <c r="A4" s="0" t="inlineStr">
        <is>
          <t>III</t>
        </is>
      </c>
      <c r="B4" s="0" t="inlineStr">
        <is>
          <t>Electrical Works</t>
        </is>
      </c>
      <c r="C4" s="172" t="n">
        <v>545400</v>
      </c>
      <c r="D4" s="172" t="n">
        <v>545400</v>
      </c>
      <c r="E4" s="172" t="n">
        <v>0</v>
      </c>
      <c r="F4" s="172" t="n">
        <v>0</v>
      </c>
      <c r="G4" s="172" t="n">
        <v>0</v>
      </c>
    </row>
    <row r="5">
      <c r="A5" s="0" t="inlineStr">
        <is>
          <t>IV</t>
        </is>
      </c>
      <c r="B5" s="0" t="inlineStr">
        <is>
          <t>Non-Interior Works</t>
        </is>
      </c>
      <c r="C5" s="172" t="n">
        <v>266410</v>
      </c>
      <c r="D5" s="172" t="n">
        <v>768740</v>
      </c>
      <c r="E5" s="172" t="n">
        <v>611915</v>
      </c>
      <c r="F5" s="172" t="n">
        <v>-109585</v>
      </c>
      <c r="G5" s="172" t="n">
        <v>502330</v>
      </c>
    </row>
    <row r="6">
      <c r="A6" s="0" t="inlineStr">
        <is>
          <t>V</t>
        </is>
      </c>
      <c r="B6" s="0" t="inlineStr">
        <is>
          <t>Electricity &amp;Diesel Expenses to TKO</t>
        </is>
      </c>
      <c r="C6" s="172" t="n">
        <v>3000</v>
      </c>
      <c r="D6" s="172" t="n">
        <v>3600</v>
      </c>
      <c r="E6" s="172" t="n">
        <v>600</v>
      </c>
      <c r="F6" s="172" t="n">
        <v>0</v>
      </c>
      <c r="G6" s="172" t="n">
        <v>600</v>
      </c>
    </row>
    <row r="7">
      <c r="A7" s="0" t="inlineStr">
        <is>
          <t>VI</t>
        </is>
      </c>
      <c r="B7" s="0" t="inlineStr">
        <is>
          <t>Reimbursement of Vendor Elements</t>
        </is>
      </c>
      <c r="C7" s="172" t="n">
        <v>30000</v>
      </c>
      <c r="D7" s="172" t="n">
        <v>5000</v>
      </c>
      <c r="E7" s="172" t="n">
        <v>0</v>
      </c>
      <c r="F7" s="172" t="n">
        <v>-25000</v>
      </c>
      <c r="G7" s="172" t="n">
        <v>-25000</v>
      </c>
    </row>
    <row r="8">
      <c r="A8" s="0" t="inlineStr">
        <is>
          <t>VII</t>
        </is>
      </c>
      <c r="C8" s="172" t="n"/>
      <c r="D8" s="96" t="n"/>
      <c r="E8" s="96" t="n"/>
      <c r="F8" s="96" t="n"/>
      <c r="G8" s="96" t="n"/>
    </row>
    <row r="9">
      <c r="A9" s="0" t="inlineStr">
        <is>
          <t>VIII</t>
        </is>
      </c>
      <c r="C9" s="172" t="n"/>
      <c r="D9" s="96" t="n"/>
      <c r="E9" s="96" t="n"/>
      <c r="F9" s="96" t="n"/>
      <c r="G9" s="96" t="n"/>
    </row>
    <row r="10">
      <c r="A10" s="0" t="inlineStr">
        <is>
          <t>A</t>
        </is>
      </c>
      <c r="B10" s="0" t="inlineStr">
        <is>
          <t>TOTAL</t>
        </is>
      </c>
      <c r="C10" s="172" t="n">
        <v>3105351</v>
      </c>
      <c r="D10" s="172" t="n">
        <v>3794286</v>
      </c>
      <c r="E10" s="172" t="n">
        <v>1150040</v>
      </c>
      <c r="F10" s="172" t="n">
        <v>-461105</v>
      </c>
      <c r="G10" s="172" t="n">
        <v>688935</v>
      </c>
    </row>
    <row r="11">
      <c r="A11" s="0" t="inlineStr">
        <is>
          <t>TAXES</t>
        </is>
      </c>
      <c r="B11" s="0" t="inlineStr">
        <is>
          <t>TAXES:</t>
        </is>
      </c>
    </row>
    <row r="12">
      <c r="B12" s="0" t="inlineStr">
        <is>
          <t>Taxes as applicable (pl indicate applicable taxes)</t>
        </is>
      </c>
      <c r="C12" s="172" t="n"/>
    </row>
    <row r="13">
      <c r="A13" s="0" t="inlineStr">
        <is>
          <t>a)</t>
        </is>
      </c>
      <c r="C13" s="172" t="n"/>
    </row>
    <row r="14">
      <c r="A14" s="0" t="inlineStr">
        <is>
          <t>b)</t>
        </is>
      </c>
      <c r="C14" s="172" t="n">
        <v>279481.59</v>
      </c>
      <c r="D14" s="172" t="n">
        <v>341485.74</v>
      </c>
      <c r="E14" s="172" t="n">
        <v>103503.6</v>
      </c>
      <c r="F14" s="172" t="n">
        <v>-41499.45</v>
      </c>
      <c r="G14" s="172" t="n">
        <v>62004.14999999999</v>
      </c>
    </row>
    <row r="15">
      <c r="A15" s="0" t="inlineStr">
        <is>
          <t>c)</t>
        </is>
      </c>
      <c r="C15" s="172" t="n">
        <v>279481.59</v>
      </c>
      <c r="D15" s="172" t="n">
        <v>341485.74</v>
      </c>
      <c r="E15" s="172" t="n">
        <v>103503.6</v>
      </c>
      <c r="F15" s="172" t="n">
        <v>-41499.45</v>
      </c>
      <c r="G15" s="172" t="n">
        <v>62004.14999999999</v>
      </c>
    </row>
    <row r="16">
      <c r="C16" s="172" t="n"/>
      <c r="D16" s="172" t="n"/>
      <c r="E16" s="172" t="n"/>
      <c r="F16" s="172" t="n"/>
      <c r="G16" s="172" t="n"/>
    </row>
    <row r="17">
      <c r="A17" s="0" t="inlineStr">
        <is>
          <t>B</t>
        </is>
      </c>
      <c r="B17" s="0" t="inlineStr">
        <is>
          <t>Total</t>
        </is>
      </c>
      <c r="C17" s="172" t="n">
        <v>558963.1799999999</v>
      </c>
      <c r="D17" s="172" t="n">
        <v>682971.48</v>
      </c>
      <c r="E17" s="172" t="n">
        <v>207007.2</v>
      </c>
      <c r="F17" s="172" t="n">
        <v>-82998.89999999999</v>
      </c>
      <c r="G17" s="172" t="n">
        <v>124008.3</v>
      </c>
    </row>
    <row r="19">
      <c r="A19" s="0" t="inlineStr">
        <is>
          <t>(A + B)</t>
        </is>
      </c>
      <c r="B19" s="0" t="inlineStr">
        <is>
          <t>Grand Total (incl. taxes)</t>
        </is>
      </c>
      <c r="C19" s="172" t="n">
        <v>3664314.18</v>
      </c>
      <c r="D19" s="172" t="n">
        <v>4477257.48</v>
      </c>
      <c r="E19" s="172" t="n">
        <v>1357047.2</v>
      </c>
      <c r="F19" s="172" t="n">
        <v>-544103.9</v>
      </c>
      <c r="G19" s="172" t="n">
        <v>812943.3</v>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Online2PDF.com</dc:creator>
  <dcterms:created xmlns:dcterms="http://purl.org/dc/terms/" xmlns:xsi="http://www.w3.org/2001/XMLSchema-instance" xsi:type="dcterms:W3CDTF">2025-09-28T16:56:56Z</dcterms:created>
  <dcterms:modified xmlns:dcterms="http://purl.org/dc/terms/" xmlns:xsi="http://www.w3.org/2001/XMLSchema-instance" xsi:type="dcterms:W3CDTF">2026-03-07T11:21:44Z</dcterms:modified>
  <cp:lastModifiedBy>Ashish Devlekar/IND</cp:lastModifiedBy>
  <cp:lastPrinted>2025-10-01T07:55:43Z</cp:lastPrinted>
</cp:coreProperties>
</file>